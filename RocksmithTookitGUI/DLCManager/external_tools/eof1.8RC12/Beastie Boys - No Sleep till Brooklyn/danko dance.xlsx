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ocksmith-custom-song-toolkit\RocksmithTookitGUI\DLCManager\external_tools\eof1.8RC12\Beastie Boys - No Sleep till Brooklyn\"/>
    </mc:Choice>
  </mc:AlternateContent>
  <xr:revisionPtr revIDLastSave="0" documentId="13_ncr:1_{DBA3FB95-1891-483A-AB88-9D8580B47A1E}" xr6:coauthVersionLast="45" xr6:coauthVersionMax="45" xr10:uidLastSave="{00000000-0000-0000-0000-000000000000}"/>
  <bookViews>
    <workbookView xWindow="-98" yWindow="-98" windowWidth="26116" windowHeight="15675" activeTab="1" xr2:uid="{EDB7CC2F-7632-4985-B16A-C5B434D51DD6}"/>
  </bookViews>
  <sheets>
    <sheet name="Sheet1" sheetId="1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2" i="4" l="1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6" i="4"/>
  <c r="A147" i="4"/>
  <c r="A148" i="4"/>
  <c r="A149" i="4"/>
  <c r="A150" i="4"/>
  <c r="A151" i="4"/>
  <c r="A152" i="4"/>
  <c r="A156" i="4"/>
  <c r="A157" i="4"/>
  <c r="A158" i="4"/>
  <c r="A159" i="4"/>
  <c r="A160" i="4"/>
  <c r="A161" i="4"/>
  <c r="A162" i="4"/>
  <c r="A166" i="4"/>
  <c r="A167" i="4"/>
  <c r="A168" i="4"/>
  <c r="A169" i="4"/>
  <c r="A170" i="4"/>
  <c r="A171" i="4"/>
  <c r="A172" i="4"/>
  <c r="A176" i="4"/>
  <c r="A177" i="4"/>
  <c r="A178" i="4"/>
  <c r="A179" i="4"/>
  <c r="A180" i="4"/>
  <c r="A181" i="4"/>
  <c r="A182" i="4"/>
  <c r="A186" i="4"/>
  <c r="A187" i="4"/>
  <c r="A188" i="4"/>
  <c r="A189" i="4"/>
  <c r="A190" i="4"/>
  <c r="A191" i="4"/>
  <c r="A192" i="4"/>
  <c r="A196" i="4"/>
  <c r="A197" i="4"/>
  <c r="A198" i="4"/>
  <c r="A199" i="4"/>
  <c r="A200" i="4"/>
  <c r="A201" i="4"/>
  <c r="A202" i="4"/>
  <c r="A206" i="4"/>
  <c r="A207" i="4"/>
  <c r="A208" i="4"/>
  <c r="A209" i="4"/>
  <c r="A210" i="4"/>
  <c r="A211" i="4"/>
  <c r="A212" i="4"/>
  <c r="A216" i="4"/>
  <c r="A217" i="4"/>
  <c r="A218" i="4"/>
  <c r="A219" i="4"/>
  <c r="A220" i="4"/>
  <c r="A221" i="4"/>
  <c r="A222" i="4"/>
  <c r="A226" i="4"/>
  <c r="A227" i="4"/>
  <c r="A228" i="4"/>
  <c r="A229" i="4"/>
  <c r="A230" i="4"/>
  <c r="A231" i="4"/>
  <c r="A232" i="4"/>
  <c r="A236" i="4"/>
  <c r="A237" i="4"/>
  <c r="A238" i="4"/>
  <c r="A239" i="4"/>
  <c r="A240" i="4"/>
  <c r="A241" i="4"/>
  <c r="A242" i="4"/>
  <c r="A246" i="4"/>
  <c r="A247" i="4"/>
  <c r="A248" i="4"/>
  <c r="A249" i="4"/>
  <c r="A250" i="4"/>
  <c r="A251" i="4"/>
  <c r="A252" i="4"/>
  <c r="A256" i="4"/>
  <c r="A257" i="4"/>
  <c r="A258" i="4"/>
  <c r="A259" i="4"/>
  <c r="A260" i="4"/>
  <c r="A261" i="4"/>
  <c r="A262" i="4"/>
  <c r="A266" i="4"/>
  <c r="A267" i="4"/>
  <c r="A268" i="4"/>
  <c r="A269" i="4"/>
  <c r="A101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5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" i="4"/>
  <c r="A185" i="4"/>
  <c r="A193" i="4"/>
  <c r="A194" i="4"/>
  <c r="A195" i="4"/>
  <c r="A203" i="4"/>
  <c r="A204" i="4"/>
  <c r="A205" i="4"/>
  <c r="A213" i="4"/>
  <c r="A214" i="4"/>
  <c r="A215" i="4"/>
  <c r="A223" i="4"/>
  <c r="A224" i="4"/>
  <c r="A225" i="4"/>
  <c r="A233" i="4"/>
  <c r="A234" i="4"/>
  <c r="A235" i="4"/>
  <c r="A243" i="4"/>
  <c r="A244" i="4"/>
  <c r="A245" i="4"/>
  <c r="A253" i="4"/>
  <c r="A254" i="4"/>
  <c r="A255" i="4"/>
  <c r="A263" i="4"/>
  <c r="A264" i="4"/>
  <c r="A265" i="4"/>
  <c r="A184" i="4"/>
  <c r="A145" i="4"/>
  <c r="A153" i="4"/>
  <c r="A154" i="4"/>
  <c r="A155" i="4"/>
  <c r="A163" i="4"/>
  <c r="A164" i="4"/>
  <c r="A165" i="4"/>
  <c r="A173" i="4"/>
  <c r="A174" i="4"/>
  <c r="A175" i="4"/>
  <c r="A183" i="4"/>
  <c r="A144" i="4"/>
  <c r="J357" i="1" l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355" i="1"/>
  <c r="J356" i="1"/>
  <c r="J354" i="1"/>
  <c r="J352" i="1"/>
  <c r="J353" i="1"/>
  <c r="J351" i="1"/>
  <c r="J347" i="1"/>
  <c r="J348" i="1"/>
  <c r="J349" i="1"/>
  <c r="J350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24" i="1"/>
  <c r="J325" i="1"/>
  <c r="J326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8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1" i="1"/>
  <c r="E1" i="1"/>
  <c r="C1" i="1" l="1"/>
  <c r="F668" i="1"/>
  <c r="F669" i="1"/>
  <c r="E669" i="1" s="1"/>
  <c r="F670" i="1"/>
  <c r="E670" i="1" s="1"/>
  <c r="F671" i="1"/>
  <c r="F672" i="1"/>
  <c r="F673" i="1"/>
  <c r="E673" i="1" s="1"/>
  <c r="F674" i="1"/>
  <c r="E674" i="1" s="1"/>
  <c r="F675" i="1"/>
  <c r="F676" i="1"/>
  <c r="F677" i="1"/>
  <c r="F678" i="1"/>
  <c r="E678" i="1" s="1"/>
  <c r="F679" i="1"/>
  <c r="F680" i="1"/>
  <c r="F681" i="1"/>
  <c r="E681" i="1" s="1"/>
  <c r="F682" i="1"/>
  <c r="E682" i="1" s="1"/>
  <c r="F683" i="1"/>
  <c r="F684" i="1"/>
  <c r="F685" i="1"/>
  <c r="E685" i="1" s="1"/>
  <c r="F686" i="1"/>
  <c r="F687" i="1"/>
  <c r="F688" i="1"/>
  <c r="F689" i="1"/>
  <c r="E689" i="1" s="1"/>
  <c r="F690" i="1"/>
  <c r="E690" i="1" s="1"/>
  <c r="F691" i="1"/>
  <c r="F692" i="1"/>
  <c r="F693" i="1"/>
  <c r="F694" i="1"/>
  <c r="E694" i="1" s="1"/>
  <c r="F695" i="1"/>
  <c r="F696" i="1"/>
  <c r="F814" i="1"/>
  <c r="E814" i="1" s="1"/>
  <c r="F815" i="1"/>
  <c r="F816" i="1"/>
  <c r="F817" i="1"/>
  <c r="E817" i="1" s="1"/>
  <c r="F818" i="1"/>
  <c r="E818" i="1" s="1"/>
  <c r="F819" i="1"/>
  <c r="F820" i="1"/>
  <c r="F821" i="1"/>
  <c r="E821" i="1" s="1"/>
  <c r="F822" i="1"/>
  <c r="E822" i="1" s="1"/>
  <c r="F823" i="1"/>
  <c r="F824" i="1"/>
  <c r="F825" i="1"/>
  <c r="E825" i="1" s="1"/>
  <c r="F826" i="1"/>
  <c r="E826" i="1" s="1"/>
  <c r="F827" i="1"/>
  <c r="F828" i="1"/>
  <c r="F829" i="1"/>
  <c r="E829" i="1" s="1"/>
  <c r="F830" i="1"/>
  <c r="F831" i="1"/>
  <c r="F832" i="1"/>
  <c r="F833" i="1"/>
  <c r="E833" i="1" s="1"/>
  <c r="F834" i="1"/>
  <c r="E834" i="1" s="1"/>
  <c r="F835" i="1"/>
  <c r="F836" i="1"/>
  <c r="F837" i="1"/>
  <c r="E837" i="1" s="1"/>
  <c r="F838" i="1"/>
  <c r="E838" i="1" s="1"/>
  <c r="F839" i="1"/>
  <c r="F840" i="1"/>
  <c r="F841" i="1"/>
  <c r="E841" i="1" s="1"/>
  <c r="F842" i="1"/>
  <c r="E842" i="1" s="1"/>
  <c r="F843" i="1"/>
  <c r="F844" i="1"/>
  <c r="F845" i="1"/>
  <c r="F846" i="1"/>
  <c r="F847" i="1"/>
  <c r="F848" i="1"/>
  <c r="F849" i="1"/>
  <c r="E849" i="1" s="1"/>
  <c r="F850" i="1"/>
  <c r="E850" i="1" s="1"/>
  <c r="F851" i="1"/>
  <c r="F852" i="1"/>
  <c r="F853" i="1"/>
  <c r="E853" i="1" s="1"/>
  <c r="F958" i="1"/>
  <c r="E958" i="1" s="1"/>
  <c r="F959" i="1"/>
  <c r="F960" i="1"/>
  <c r="F961" i="1"/>
  <c r="E961" i="1" s="1"/>
  <c r="F962" i="1"/>
  <c r="E962" i="1" s="1"/>
  <c r="F667" i="1"/>
  <c r="F314" i="1"/>
  <c r="F315" i="1"/>
  <c r="F316" i="1"/>
  <c r="F317" i="1"/>
  <c r="E317" i="1" s="1"/>
  <c r="F318" i="1"/>
  <c r="E318" i="1" s="1"/>
  <c r="F319" i="1"/>
  <c r="F320" i="1"/>
  <c r="F321" i="1"/>
  <c r="E321" i="1" s="1"/>
  <c r="F322" i="1"/>
  <c r="F323" i="1"/>
  <c r="F324" i="1"/>
  <c r="F325" i="1"/>
  <c r="E325" i="1" s="1"/>
  <c r="F326" i="1"/>
  <c r="E326" i="1" s="1"/>
  <c r="F327" i="1"/>
  <c r="F328" i="1"/>
  <c r="F329" i="1"/>
  <c r="E329" i="1" s="1"/>
  <c r="F330" i="1"/>
  <c r="F331" i="1"/>
  <c r="F332" i="1"/>
  <c r="F333" i="1"/>
  <c r="E333" i="1" s="1"/>
  <c r="F334" i="1"/>
  <c r="E334" i="1" s="1"/>
  <c r="F335" i="1"/>
  <c r="F336" i="1"/>
  <c r="F337" i="1"/>
  <c r="E337" i="1" s="1"/>
  <c r="F338" i="1"/>
  <c r="F339" i="1"/>
  <c r="F340" i="1"/>
  <c r="F341" i="1"/>
  <c r="E341" i="1" s="1"/>
  <c r="F342" i="1"/>
  <c r="E342" i="1" s="1"/>
  <c r="F343" i="1"/>
  <c r="F344" i="1"/>
  <c r="F345" i="1"/>
  <c r="E345" i="1" s="1"/>
  <c r="F346" i="1"/>
  <c r="F347" i="1"/>
  <c r="F348" i="1"/>
  <c r="F401" i="1"/>
  <c r="E401" i="1" s="1"/>
  <c r="F402" i="1"/>
  <c r="F403" i="1"/>
  <c r="F404" i="1"/>
  <c r="F405" i="1"/>
  <c r="F406" i="1"/>
  <c r="F407" i="1"/>
  <c r="F408" i="1"/>
  <c r="F409" i="1"/>
  <c r="E409" i="1" s="1"/>
  <c r="F410" i="1"/>
  <c r="E410" i="1" s="1"/>
  <c r="F411" i="1"/>
  <c r="F412" i="1"/>
  <c r="F413" i="1"/>
  <c r="E413" i="1" s="1"/>
  <c r="F414" i="1"/>
  <c r="F415" i="1"/>
  <c r="F416" i="1"/>
  <c r="F417" i="1"/>
  <c r="E417" i="1" s="1"/>
  <c r="F418" i="1"/>
  <c r="E418" i="1" s="1"/>
  <c r="F419" i="1"/>
  <c r="F420" i="1"/>
  <c r="F421" i="1"/>
  <c r="F422" i="1"/>
  <c r="F423" i="1"/>
  <c r="F424" i="1"/>
  <c r="F425" i="1"/>
  <c r="E425" i="1" s="1"/>
  <c r="F426" i="1"/>
  <c r="E426" i="1" s="1"/>
  <c r="F427" i="1"/>
  <c r="F428" i="1"/>
  <c r="F429" i="1"/>
  <c r="E429" i="1" s="1"/>
  <c r="F430" i="1"/>
  <c r="F431" i="1"/>
  <c r="F432" i="1"/>
  <c r="F433" i="1"/>
  <c r="E433" i="1" s="1"/>
  <c r="F434" i="1"/>
  <c r="E434" i="1" s="1"/>
  <c r="F435" i="1"/>
  <c r="F436" i="1"/>
  <c r="F437" i="1"/>
  <c r="F438" i="1"/>
  <c r="E438" i="1" s="1"/>
  <c r="F439" i="1"/>
  <c r="F440" i="1"/>
  <c r="F441" i="1"/>
  <c r="E441" i="1" s="1"/>
  <c r="F442" i="1"/>
  <c r="F443" i="1"/>
  <c r="F444" i="1"/>
  <c r="F445" i="1"/>
  <c r="E445" i="1" s="1"/>
  <c r="F446" i="1"/>
  <c r="E446" i="1" s="1"/>
  <c r="F447" i="1"/>
  <c r="F448" i="1"/>
  <c r="F449" i="1"/>
  <c r="E449" i="1" s="1"/>
  <c r="F450" i="1"/>
  <c r="F451" i="1"/>
  <c r="F452" i="1"/>
  <c r="F453" i="1"/>
  <c r="F454" i="1"/>
  <c r="E454" i="1" s="1"/>
  <c r="F455" i="1"/>
  <c r="F456" i="1"/>
  <c r="F457" i="1"/>
  <c r="E457" i="1" s="1"/>
  <c r="F458" i="1"/>
  <c r="F459" i="1"/>
  <c r="F460" i="1"/>
  <c r="F461" i="1"/>
  <c r="E461" i="1" s="1"/>
  <c r="F462" i="1"/>
  <c r="E462" i="1" s="1"/>
  <c r="F463" i="1"/>
  <c r="F464" i="1"/>
  <c r="F465" i="1"/>
  <c r="E465" i="1" s="1"/>
  <c r="F466" i="1"/>
  <c r="F467" i="1"/>
  <c r="F468" i="1"/>
  <c r="F469" i="1"/>
  <c r="F470" i="1"/>
  <c r="F471" i="1"/>
  <c r="F472" i="1"/>
  <c r="F473" i="1"/>
  <c r="E473" i="1" s="1"/>
  <c r="F474" i="1"/>
  <c r="E474" i="1" s="1"/>
  <c r="F475" i="1"/>
  <c r="F476" i="1"/>
  <c r="F477" i="1"/>
  <c r="E477" i="1" s="1"/>
  <c r="F478" i="1"/>
  <c r="F479" i="1"/>
  <c r="F480" i="1"/>
  <c r="F481" i="1"/>
  <c r="E481" i="1" s="1"/>
  <c r="F482" i="1"/>
  <c r="E482" i="1" s="1"/>
  <c r="F483" i="1"/>
  <c r="F484" i="1"/>
  <c r="F485" i="1"/>
  <c r="F486" i="1"/>
  <c r="E486" i="1" s="1"/>
  <c r="F487" i="1"/>
  <c r="F488" i="1"/>
  <c r="F489" i="1"/>
  <c r="E489" i="1" s="1"/>
  <c r="F490" i="1"/>
  <c r="E490" i="1" s="1"/>
  <c r="F491" i="1"/>
  <c r="F492" i="1"/>
  <c r="F493" i="1"/>
  <c r="E493" i="1" s="1"/>
  <c r="F494" i="1"/>
  <c r="F495" i="1"/>
  <c r="F496" i="1"/>
  <c r="F497" i="1"/>
  <c r="E497" i="1" s="1"/>
  <c r="F498" i="1"/>
  <c r="E498" i="1" s="1"/>
  <c r="F499" i="1"/>
  <c r="F500" i="1"/>
  <c r="F501" i="1"/>
  <c r="F502" i="1"/>
  <c r="E502" i="1" s="1"/>
  <c r="F503" i="1"/>
  <c r="F504" i="1"/>
  <c r="F505" i="1"/>
  <c r="E505" i="1" s="1"/>
  <c r="F506" i="1"/>
  <c r="E506" i="1" s="1"/>
  <c r="F507" i="1"/>
  <c r="F508" i="1"/>
  <c r="F509" i="1"/>
  <c r="E509" i="1" s="1"/>
  <c r="F510" i="1"/>
  <c r="E510" i="1" s="1"/>
  <c r="F511" i="1"/>
  <c r="F512" i="1"/>
  <c r="F513" i="1"/>
  <c r="E513" i="1" s="1"/>
  <c r="F514" i="1"/>
  <c r="F515" i="1"/>
  <c r="F516" i="1"/>
  <c r="F517" i="1"/>
  <c r="F518" i="1"/>
  <c r="E518" i="1" s="1"/>
  <c r="F519" i="1"/>
  <c r="F520" i="1"/>
  <c r="F521" i="1"/>
  <c r="E521" i="1" s="1"/>
  <c r="F522" i="1"/>
  <c r="F523" i="1"/>
  <c r="F524" i="1"/>
  <c r="F525" i="1"/>
  <c r="E525" i="1" s="1"/>
  <c r="F526" i="1"/>
  <c r="E526" i="1" s="1"/>
  <c r="F527" i="1"/>
  <c r="F528" i="1"/>
  <c r="F529" i="1"/>
  <c r="E529" i="1" s="1"/>
  <c r="F530" i="1"/>
  <c r="E530" i="1" s="1"/>
  <c r="F531" i="1"/>
  <c r="F532" i="1"/>
  <c r="F533" i="1"/>
  <c r="F534" i="1"/>
  <c r="F535" i="1"/>
  <c r="F536" i="1"/>
  <c r="F537" i="1"/>
  <c r="E537" i="1" s="1"/>
  <c r="F538" i="1"/>
  <c r="E538" i="1" s="1"/>
  <c r="F539" i="1"/>
  <c r="F540" i="1"/>
  <c r="F541" i="1"/>
  <c r="E541" i="1" s="1"/>
  <c r="F542" i="1"/>
  <c r="E542" i="1" s="1"/>
  <c r="F543" i="1"/>
  <c r="F544" i="1"/>
  <c r="F545" i="1"/>
  <c r="E545" i="1" s="1"/>
  <c r="F546" i="1"/>
  <c r="E546" i="1" s="1"/>
  <c r="F547" i="1"/>
  <c r="F548" i="1"/>
  <c r="F549" i="1"/>
  <c r="F550" i="1"/>
  <c r="E550" i="1" s="1"/>
  <c r="F551" i="1"/>
  <c r="F552" i="1"/>
  <c r="F553" i="1"/>
  <c r="E553" i="1" s="1"/>
  <c r="F554" i="1"/>
  <c r="E554" i="1" s="1"/>
  <c r="F555" i="1"/>
  <c r="F556" i="1"/>
  <c r="F557" i="1"/>
  <c r="E557" i="1" s="1"/>
  <c r="F558" i="1"/>
  <c r="F559" i="1"/>
  <c r="F560" i="1"/>
  <c r="F561" i="1"/>
  <c r="E561" i="1" s="1"/>
  <c r="F562" i="1"/>
  <c r="E562" i="1" s="1"/>
  <c r="F563" i="1"/>
  <c r="F564" i="1"/>
  <c r="F565" i="1"/>
  <c r="F566" i="1"/>
  <c r="E566" i="1" s="1"/>
  <c r="F567" i="1"/>
  <c r="F568" i="1"/>
  <c r="F569" i="1"/>
  <c r="E569" i="1" s="1"/>
  <c r="F570" i="1"/>
  <c r="E570" i="1" s="1"/>
  <c r="F571" i="1"/>
  <c r="F572" i="1"/>
  <c r="F573" i="1"/>
  <c r="E573" i="1" s="1"/>
  <c r="F574" i="1"/>
  <c r="E574" i="1" s="1"/>
  <c r="F575" i="1"/>
  <c r="F576" i="1"/>
  <c r="F577" i="1"/>
  <c r="E577" i="1" s="1"/>
  <c r="F578" i="1"/>
  <c r="F579" i="1"/>
  <c r="F580" i="1"/>
  <c r="F581" i="1"/>
  <c r="F582" i="1"/>
  <c r="E582" i="1" s="1"/>
  <c r="F583" i="1"/>
  <c r="F584" i="1"/>
  <c r="F585" i="1"/>
  <c r="E585" i="1" s="1"/>
  <c r="F586" i="1"/>
  <c r="F587" i="1"/>
  <c r="F588" i="1"/>
  <c r="F589" i="1"/>
  <c r="E589" i="1" s="1"/>
  <c r="F590" i="1"/>
  <c r="E590" i="1" s="1"/>
  <c r="F591" i="1"/>
  <c r="F592" i="1"/>
  <c r="F593" i="1"/>
  <c r="E593" i="1" s="1"/>
  <c r="F594" i="1"/>
  <c r="E594" i="1" s="1"/>
  <c r="F595" i="1"/>
  <c r="F596" i="1"/>
  <c r="F597" i="1"/>
  <c r="F598" i="1"/>
  <c r="F599" i="1"/>
  <c r="F600" i="1"/>
  <c r="F601" i="1"/>
  <c r="E601" i="1" s="1"/>
  <c r="F602" i="1"/>
  <c r="E602" i="1" s="1"/>
  <c r="F603" i="1"/>
  <c r="F604" i="1"/>
  <c r="F605" i="1"/>
  <c r="E605" i="1" s="1"/>
  <c r="F606" i="1"/>
  <c r="E606" i="1" s="1"/>
  <c r="F607" i="1"/>
  <c r="F608" i="1"/>
  <c r="F609" i="1"/>
  <c r="E609" i="1" s="1"/>
  <c r="F610" i="1"/>
  <c r="E610" i="1" s="1"/>
  <c r="F611" i="1"/>
  <c r="F612" i="1"/>
  <c r="F613" i="1"/>
  <c r="F614" i="1"/>
  <c r="E614" i="1" s="1"/>
  <c r="F615" i="1"/>
  <c r="F616" i="1"/>
  <c r="F617" i="1"/>
  <c r="E617" i="1" s="1"/>
  <c r="F618" i="1"/>
  <c r="E618" i="1" s="1"/>
  <c r="F619" i="1"/>
  <c r="F620" i="1"/>
  <c r="F621" i="1"/>
  <c r="E621" i="1" s="1"/>
  <c r="F622" i="1"/>
  <c r="F623" i="1"/>
  <c r="F624" i="1"/>
  <c r="F625" i="1"/>
  <c r="E625" i="1" s="1"/>
  <c r="F626" i="1"/>
  <c r="E626" i="1" s="1"/>
  <c r="F627" i="1"/>
  <c r="F628" i="1"/>
  <c r="F629" i="1"/>
  <c r="F630" i="1"/>
  <c r="E630" i="1" s="1"/>
  <c r="F631" i="1"/>
  <c r="F632" i="1"/>
  <c r="F633" i="1"/>
  <c r="E633" i="1" s="1"/>
  <c r="F634" i="1"/>
  <c r="E634" i="1" s="1"/>
  <c r="F635" i="1"/>
  <c r="F636" i="1"/>
  <c r="F637" i="1"/>
  <c r="E637" i="1" s="1"/>
  <c r="F638" i="1"/>
  <c r="E638" i="1" s="1"/>
  <c r="F639" i="1"/>
  <c r="F640" i="1"/>
  <c r="F641" i="1"/>
  <c r="E641" i="1" s="1"/>
  <c r="F642" i="1"/>
  <c r="F643" i="1"/>
  <c r="F644" i="1"/>
  <c r="F645" i="1"/>
  <c r="F646" i="1"/>
  <c r="E646" i="1" s="1"/>
  <c r="F647" i="1"/>
  <c r="F648" i="1"/>
  <c r="F649" i="1"/>
  <c r="E649" i="1" s="1"/>
  <c r="F650" i="1"/>
  <c r="F651" i="1"/>
  <c r="F652" i="1"/>
  <c r="F653" i="1"/>
  <c r="E653" i="1" s="1"/>
  <c r="F654" i="1"/>
  <c r="E654" i="1" s="1"/>
  <c r="F655" i="1"/>
  <c r="F656" i="1"/>
  <c r="F657" i="1"/>
  <c r="E657" i="1" s="1"/>
  <c r="F658" i="1"/>
  <c r="E658" i="1" s="1"/>
  <c r="F659" i="1"/>
  <c r="F660" i="1"/>
  <c r="F661" i="1"/>
  <c r="F662" i="1"/>
  <c r="F663" i="1"/>
  <c r="F664" i="1"/>
  <c r="F665" i="1"/>
  <c r="E665" i="1" s="1"/>
  <c r="F666" i="1"/>
  <c r="E666" i="1" s="1"/>
  <c r="F70" i="1"/>
  <c r="E70" i="1" s="1"/>
  <c r="F71" i="1"/>
  <c r="F72" i="1"/>
  <c r="F73" i="1"/>
  <c r="F74" i="1"/>
  <c r="F75" i="1"/>
  <c r="F76" i="1"/>
  <c r="F77" i="1"/>
  <c r="E77" i="1" s="1"/>
  <c r="F78" i="1"/>
  <c r="E78" i="1" s="1"/>
  <c r="F79" i="1"/>
  <c r="F80" i="1"/>
  <c r="F81" i="1"/>
  <c r="F82" i="1"/>
  <c r="F83" i="1"/>
  <c r="F84" i="1"/>
  <c r="F85" i="1"/>
  <c r="E85" i="1" s="1"/>
  <c r="F86" i="1"/>
  <c r="E86" i="1" s="1"/>
  <c r="F87" i="1"/>
  <c r="F88" i="1"/>
  <c r="F89" i="1"/>
  <c r="F90" i="1"/>
  <c r="F91" i="1"/>
  <c r="F92" i="1"/>
  <c r="F93" i="1"/>
  <c r="E93" i="1" s="1"/>
  <c r="F94" i="1"/>
  <c r="E94" i="1" s="1"/>
  <c r="F95" i="1"/>
  <c r="F96" i="1"/>
  <c r="F97" i="1"/>
  <c r="F98" i="1"/>
  <c r="F99" i="1"/>
  <c r="F100" i="1"/>
  <c r="F101" i="1"/>
  <c r="E101" i="1" s="1"/>
  <c r="F102" i="1"/>
  <c r="E102" i="1" s="1"/>
  <c r="F103" i="1"/>
  <c r="F104" i="1"/>
  <c r="F105" i="1"/>
  <c r="F106" i="1"/>
  <c r="F107" i="1"/>
  <c r="F108" i="1"/>
  <c r="F109" i="1"/>
  <c r="E109" i="1" s="1"/>
  <c r="F110" i="1"/>
  <c r="E110" i="1" s="1"/>
  <c r="F111" i="1"/>
  <c r="F112" i="1"/>
  <c r="F113" i="1"/>
  <c r="F114" i="1"/>
  <c r="F115" i="1"/>
  <c r="F116" i="1"/>
  <c r="F117" i="1"/>
  <c r="E117" i="1" s="1"/>
  <c r="F118" i="1"/>
  <c r="E118" i="1" s="1"/>
  <c r="F119" i="1"/>
  <c r="F120" i="1"/>
  <c r="F121" i="1"/>
  <c r="F122" i="1"/>
  <c r="F123" i="1"/>
  <c r="F124" i="1"/>
  <c r="F125" i="1"/>
  <c r="E125" i="1" s="1"/>
  <c r="F126" i="1"/>
  <c r="E126" i="1" s="1"/>
  <c r="F127" i="1"/>
  <c r="F128" i="1"/>
  <c r="F129" i="1"/>
  <c r="F130" i="1"/>
  <c r="F131" i="1"/>
  <c r="F132" i="1"/>
  <c r="F133" i="1"/>
  <c r="E133" i="1" s="1"/>
  <c r="F134" i="1"/>
  <c r="E134" i="1" s="1"/>
  <c r="F135" i="1"/>
  <c r="F136" i="1"/>
  <c r="F137" i="1"/>
  <c r="F138" i="1"/>
  <c r="F139" i="1"/>
  <c r="F140" i="1"/>
  <c r="F141" i="1"/>
  <c r="E141" i="1" s="1"/>
  <c r="F142" i="1"/>
  <c r="E142" i="1" s="1"/>
  <c r="F143" i="1"/>
  <c r="F144" i="1"/>
  <c r="F145" i="1"/>
  <c r="F146" i="1"/>
  <c r="F147" i="1"/>
  <c r="F148" i="1"/>
  <c r="F149" i="1"/>
  <c r="E149" i="1" s="1"/>
  <c r="F150" i="1"/>
  <c r="E150" i="1" s="1"/>
  <c r="F151" i="1"/>
  <c r="F152" i="1"/>
  <c r="F153" i="1"/>
  <c r="F154" i="1"/>
  <c r="F155" i="1"/>
  <c r="F156" i="1"/>
  <c r="F157" i="1"/>
  <c r="E157" i="1" s="1"/>
  <c r="F158" i="1"/>
  <c r="E158" i="1" s="1"/>
  <c r="F159" i="1"/>
  <c r="F160" i="1"/>
  <c r="F161" i="1"/>
  <c r="F162" i="1"/>
  <c r="F163" i="1"/>
  <c r="F164" i="1"/>
  <c r="F165" i="1"/>
  <c r="E165" i="1" s="1"/>
  <c r="F166" i="1"/>
  <c r="E166" i="1" s="1"/>
  <c r="F167" i="1"/>
  <c r="F168" i="1"/>
  <c r="F169" i="1"/>
  <c r="F170" i="1"/>
  <c r="F171" i="1"/>
  <c r="F172" i="1"/>
  <c r="F173" i="1"/>
  <c r="E173" i="1" s="1"/>
  <c r="F174" i="1"/>
  <c r="E174" i="1" s="1"/>
  <c r="F175" i="1"/>
  <c r="F176" i="1"/>
  <c r="F177" i="1"/>
  <c r="F178" i="1"/>
  <c r="F179" i="1"/>
  <c r="F180" i="1"/>
  <c r="F181" i="1"/>
  <c r="E181" i="1" s="1"/>
  <c r="F182" i="1"/>
  <c r="E182" i="1" s="1"/>
  <c r="F183" i="1"/>
  <c r="F184" i="1"/>
  <c r="F185" i="1"/>
  <c r="F186" i="1"/>
  <c r="F187" i="1"/>
  <c r="F188" i="1"/>
  <c r="F189" i="1"/>
  <c r="E189" i="1" s="1"/>
  <c r="F190" i="1"/>
  <c r="E190" i="1" s="1"/>
  <c r="F191" i="1"/>
  <c r="F192" i="1"/>
  <c r="F193" i="1"/>
  <c r="F194" i="1"/>
  <c r="F195" i="1"/>
  <c r="F196" i="1"/>
  <c r="F197" i="1"/>
  <c r="E197" i="1" s="1"/>
  <c r="F198" i="1"/>
  <c r="E198" i="1" s="1"/>
  <c r="F199" i="1"/>
  <c r="F200" i="1"/>
  <c r="F201" i="1"/>
  <c r="F202" i="1"/>
  <c r="F203" i="1"/>
  <c r="F204" i="1"/>
  <c r="F205" i="1"/>
  <c r="E205" i="1" s="1"/>
  <c r="F206" i="1"/>
  <c r="E206" i="1" s="1"/>
  <c r="F207" i="1"/>
  <c r="F208" i="1"/>
  <c r="F209" i="1"/>
  <c r="F210" i="1"/>
  <c r="F211" i="1"/>
  <c r="F212" i="1"/>
  <c r="F213" i="1"/>
  <c r="E213" i="1" s="1"/>
  <c r="F214" i="1"/>
  <c r="E214" i="1" s="1"/>
  <c r="F215" i="1"/>
  <c r="F216" i="1"/>
  <c r="F217" i="1"/>
  <c r="F218" i="1"/>
  <c r="F219" i="1"/>
  <c r="F220" i="1"/>
  <c r="F221" i="1"/>
  <c r="E221" i="1" s="1"/>
  <c r="F222" i="1"/>
  <c r="E222" i="1" s="1"/>
  <c r="F223" i="1"/>
  <c r="F224" i="1"/>
  <c r="F225" i="1"/>
  <c r="F226" i="1"/>
  <c r="F227" i="1"/>
  <c r="F228" i="1"/>
  <c r="F229" i="1"/>
  <c r="E229" i="1" s="1"/>
  <c r="F230" i="1"/>
  <c r="E230" i="1" s="1"/>
  <c r="F231" i="1"/>
  <c r="F232" i="1"/>
  <c r="F233" i="1"/>
  <c r="F234" i="1"/>
  <c r="F235" i="1"/>
  <c r="F236" i="1"/>
  <c r="F237" i="1"/>
  <c r="E237" i="1" s="1"/>
  <c r="F238" i="1"/>
  <c r="E238" i="1" s="1"/>
  <c r="F239" i="1"/>
  <c r="F240" i="1"/>
  <c r="F241" i="1"/>
  <c r="F242" i="1"/>
  <c r="F243" i="1"/>
  <c r="F244" i="1"/>
  <c r="F245" i="1"/>
  <c r="E245" i="1" s="1"/>
  <c r="F246" i="1"/>
  <c r="E246" i="1" s="1"/>
  <c r="F247" i="1"/>
  <c r="F248" i="1"/>
  <c r="F249" i="1"/>
  <c r="F250" i="1"/>
  <c r="F251" i="1"/>
  <c r="F252" i="1"/>
  <c r="F253" i="1"/>
  <c r="E253" i="1" s="1"/>
  <c r="F254" i="1"/>
  <c r="E254" i="1" s="1"/>
  <c r="F255" i="1"/>
  <c r="F256" i="1"/>
  <c r="F257" i="1"/>
  <c r="F258" i="1"/>
  <c r="F259" i="1"/>
  <c r="F260" i="1"/>
  <c r="F261" i="1"/>
  <c r="E261" i="1" s="1"/>
  <c r="F262" i="1"/>
  <c r="E262" i="1" s="1"/>
  <c r="F263" i="1"/>
  <c r="F264" i="1"/>
  <c r="F265" i="1"/>
  <c r="F266" i="1"/>
  <c r="F267" i="1"/>
  <c r="F268" i="1"/>
  <c r="F269" i="1"/>
  <c r="E269" i="1" s="1"/>
  <c r="F270" i="1"/>
  <c r="E270" i="1" s="1"/>
  <c r="F271" i="1"/>
  <c r="F272" i="1"/>
  <c r="F273" i="1"/>
  <c r="F274" i="1"/>
  <c r="F275" i="1"/>
  <c r="F276" i="1"/>
  <c r="F277" i="1"/>
  <c r="E277" i="1" s="1"/>
  <c r="F278" i="1"/>
  <c r="E278" i="1" s="1"/>
  <c r="F279" i="1"/>
  <c r="F280" i="1"/>
  <c r="F281" i="1"/>
  <c r="F282" i="1"/>
  <c r="F283" i="1"/>
  <c r="F284" i="1"/>
  <c r="F285" i="1"/>
  <c r="E285" i="1" s="1"/>
  <c r="F286" i="1"/>
  <c r="E286" i="1" s="1"/>
  <c r="F287" i="1"/>
  <c r="F288" i="1"/>
  <c r="F289" i="1"/>
  <c r="F290" i="1"/>
  <c r="F291" i="1"/>
  <c r="F292" i="1"/>
  <c r="F293" i="1"/>
  <c r="E293" i="1" s="1"/>
  <c r="F294" i="1"/>
  <c r="E294" i="1" s="1"/>
  <c r="F295" i="1"/>
  <c r="F296" i="1"/>
  <c r="F297" i="1"/>
  <c r="F298" i="1"/>
  <c r="F299" i="1"/>
  <c r="F300" i="1"/>
  <c r="F301" i="1"/>
  <c r="E301" i="1" s="1"/>
  <c r="F302" i="1"/>
  <c r="E302" i="1" s="1"/>
  <c r="F303" i="1"/>
  <c r="F304" i="1"/>
  <c r="F305" i="1"/>
  <c r="F306" i="1"/>
  <c r="F307" i="1"/>
  <c r="F308" i="1"/>
  <c r="F309" i="1"/>
  <c r="E309" i="1" s="1"/>
  <c r="F310" i="1"/>
  <c r="E310" i="1" s="1"/>
  <c r="F311" i="1"/>
  <c r="F312" i="1"/>
  <c r="F313" i="1"/>
  <c r="F69" i="1"/>
  <c r="E69" i="1" s="1"/>
  <c r="F54" i="1"/>
  <c r="E54" i="1" s="1"/>
  <c r="F55" i="1"/>
  <c r="F56" i="1"/>
  <c r="F57" i="1"/>
  <c r="F58" i="1"/>
  <c r="F59" i="1"/>
  <c r="F60" i="1"/>
  <c r="F61" i="1"/>
  <c r="E61" i="1" s="1"/>
  <c r="F62" i="1"/>
  <c r="E62" i="1" s="1"/>
  <c r="F63" i="1"/>
  <c r="F64" i="1"/>
  <c r="F65" i="1"/>
  <c r="F66" i="1"/>
  <c r="F67" i="1"/>
  <c r="F68" i="1"/>
  <c r="F53" i="1"/>
  <c r="E53" i="1" s="1"/>
  <c r="F698" i="1"/>
  <c r="E698" i="1" s="1"/>
  <c r="F699" i="1"/>
  <c r="F700" i="1"/>
  <c r="F701" i="1"/>
  <c r="F702" i="1"/>
  <c r="E702" i="1" s="1"/>
  <c r="F703" i="1"/>
  <c r="F704" i="1"/>
  <c r="F705" i="1"/>
  <c r="E705" i="1" s="1"/>
  <c r="F706" i="1"/>
  <c r="E706" i="1" s="1"/>
  <c r="F707" i="1"/>
  <c r="F708" i="1"/>
  <c r="F709" i="1"/>
  <c r="E709" i="1" s="1"/>
  <c r="F710" i="1"/>
  <c r="E710" i="1" s="1"/>
  <c r="F711" i="1"/>
  <c r="F712" i="1"/>
  <c r="F713" i="1"/>
  <c r="E713" i="1" s="1"/>
  <c r="F714" i="1"/>
  <c r="F715" i="1"/>
  <c r="F716" i="1"/>
  <c r="F717" i="1"/>
  <c r="E717" i="1" s="1"/>
  <c r="F718" i="1"/>
  <c r="E718" i="1" s="1"/>
  <c r="F719" i="1"/>
  <c r="F720" i="1"/>
  <c r="F721" i="1"/>
  <c r="E721" i="1" s="1"/>
  <c r="F722" i="1"/>
  <c r="E722" i="1" s="1"/>
  <c r="F723" i="1"/>
  <c r="F724" i="1"/>
  <c r="F725" i="1"/>
  <c r="E725" i="1" s="1"/>
  <c r="F726" i="1"/>
  <c r="E726" i="1" s="1"/>
  <c r="F727" i="1"/>
  <c r="F728" i="1"/>
  <c r="F729" i="1"/>
  <c r="E729" i="1" s="1"/>
  <c r="F730" i="1"/>
  <c r="F731" i="1"/>
  <c r="F732" i="1"/>
  <c r="F733" i="1"/>
  <c r="E733" i="1" s="1"/>
  <c r="F734" i="1"/>
  <c r="F735" i="1"/>
  <c r="F736" i="1"/>
  <c r="F737" i="1"/>
  <c r="E737" i="1" s="1"/>
  <c r="F738" i="1"/>
  <c r="E738" i="1" s="1"/>
  <c r="F739" i="1"/>
  <c r="F740" i="1"/>
  <c r="F741" i="1"/>
  <c r="E741" i="1" s="1"/>
  <c r="F742" i="1"/>
  <c r="E742" i="1" s="1"/>
  <c r="F743" i="1"/>
  <c r="F744" i="1"/>
  <c r="F745" i="1"/>
  <c r="E745" i="1" s="1"/>
  <c r="F746" i="1"/>
  <c r="E746" i="1" s="1"/>
  <c r="F747" i="1"/>
  <c r="F748" i="1"/>
  <c r="F749" i="1"/>
  <c r="F750" i="1"/>
  <c r="E750" i="1" s="1"/>
  <c r="F751" i="1"/>
  <c r="F752" i="1"/>
  <c r="F753" i="1"/>
  <c r="E753" i="1" s="1"/>
  <c r="F754" i="1"/>
  <c r="E754" i="1" s="1"/>
  <c r="F755" i="1"/>
  <c r="F756" i="1"/>
  <c r="F757" i="1"/>
  <c r="E757" i="1" s="1"/>
  <c r="F758" i="1"/>
  <c r="F759" i="1"/>
  <c r="F760" i="1"/>
  <c r="F761" i="1"/>
  <c r="E761" i="1" s="1"/>
  <c r="F762" i="1"/>
  <c r="E762" i="1" s="1"/>
  <c r="F763" i="1"/>
  <c r="F764" i="1"/>
  <c r="F765" i="1"/>
  <c r="F766" i="1"/>
  <c r="E766" i="1" s="1"/>
  <c r="F767" i="1"/>
  <c r="F768" i="1"/>
  <c r="F769" i="1"/>
  <c r="E769" i="1" s="1"/>
  <c r="F770" i="1"/>
  <c r="E770" i="1" s="1"/>
  <c r="F771" i="1"/>
  <c r="F772" i="1"/>
  <c r="F773" i="1"/>
  <c r="E773" i="1" s="1"/>
  <c r="F774" i="1"/>
  <c r="E774" i="1" s="1"/>
  <c r="F775" i="1"/>
  <c r="F776" i="1"/>
  <c r="F777" i="1"/>
  <c r="E777" i="1" s="1"/>
  <c r="F778" i="1"/>
  <c r="F779" i="1"/>
  <c r="F780" i="1"/>
  <c r="F781" i="1"/>
  <c r="E781" i="1" s="1"/>
  <c r="F782" i="1"/>
  <c r="E782" i="1" s="1"/>
  <c r="F783" i="1"/>
  <c r="F784" i="1"/>
  <c r="F785" i="1"/>
  <c r="E785" i="1" s="1"/>
  <c r="F786" i="1"/>
  <c r="E786" i="1" s="1"/>
  <c r="F787" i="1"/>
  <c r="F788" i="1"/>
  <c r="F789" i="1"/>
  <c r="E789" i="1" s="1"/>
  <c r="F790" i="1"/>
  <c r="E790" i="1" s="1"/>
  <c r="F791" i="1"/>
  <c r="F792" i="1"/>
  <c r="F793" i="1"/>
  <c r="E793" i="1" s="1"/>
  <c r="F794" i="1"/>
  <c r="F795" i="1"/>
  <c r="F796" i="1"/>
  <c r="F797" i="1"/>
  <c r="E797" i="1" s="1"/>
  <c r="F798" i="1"/>
  <c r="F799" i="1"/>
  <c r="F800" i="1"/>
  <c r="F801" i="1"/>
  <c r="E801" i="1" s="1"/>
  <c r="F802" i="1"/>
  <c r="E802" i="1" s="1"/>
  <c r="F803" i="1"/>
  <c r="F804" i="1"/>
  <c r="F805" i="1"/>
  <c r="E805" i="1" s="1"/>
  <c r="F806" i="1"/>
  <c r="E806" i="1" s="1"/>
  <c r="F807" i="1"/>
  <c r="F808" i="1"/>
  <c r="F809" i="1"/>
  <c r="E809" i="1" s="1"/>
  <c r="F810" i="1"/>
  <c r="E810" i="1" s="1"/>
  <c r="F811" i="1"/>
  <c r="F812" i="1"/>
  <c r="F813" i="1"/>
  <c r="F854" i="1"/>
  <c r="E854" i="1" s="1"/>
  <c r="F855" i="1"/>
  <c r="F856" i="1"/>
  <c r="F857" i="1"/>
  <c r="E857" i="1" s="1"/>
  <c r="F858" i="1"/>
  <c r="E858" i="1" s="1"/>
  <c r="F859" i="1"/>
  <c r="F860" i="1"/>
  <c r="F861" i="1"/>
  <c r="E861" i="1" s="1"/>
  <c r="F862" i="1"/>
  <c r="E862" i="1" s="1"/>
  <c r="F863" i="1"/>
  <c r="F864" i="1"/>
  <c r="F865" i="1"/>
  <c r="E865" i="1" s="1"/>
  <c r="F866" i="1"/>
  <c r="F867" i="1"/>
  <c r="F868" i="1"/>
  <c r="F869" i="1"/>
  <c r="E869" i="1" s="1"/>
  <c r="F870" i="1"/>
  <c r="E870" i="1" s="1"/>
  <c r="F871" i="1"/>
  <c r="F872" i="1"/>
  <c r="F873" i="1"/>
  <c r="E873" i="1" s="1"/>
  <c r="F874" i="1"/>
  <c r="E874" i="1" s="1"/>
  <c r="F875" i="1"/>
  <c r="F876" i="1"/>
  <c r="F877" i="1"/>
  <c r="E877" i="1" s="1"/>
  <c r="F878" i="1"/>
  <c r="E878" i="1" s="1"/>
  <c r="F879" i="1"/>
  <c r="F880" i="1"/>
  <c r="F881" i="1"/>
  <c r="E881" i="1" s="1"/>
  <c r="F882" i="1"/>
  <c r="E882" i="1" s="1"/>
  <c r="F883" i="1"/>
  <c r="F884" i="1"/>
  <c r="F885" i="1"/>
  <c r="E885" i="1" s="1"/>
  <c r="F886" i="1"/>
  <c r="E886" i="1" s="1"/>
  <c r="F887" i="1"/>
  <c r="F888" i="1"/>
  <c r="F889" i="1"/>
  <c r="E889" i="1" s="1"/>
  <c r="F890" i="1"/>
  <c r="E890" i="1" s="1"/>
  <c r="F891" i="1"/>
  <c r="F892" i="1"/>
  <c r="F893" i="1"/>
  <c r="E893" i="1" s="1"/>
  <c r="F894" i="1"/>
  <c r="E894" i="1" s="1"/>
  <c r="F895" i="1"/>
  <c r="F896" i="1"/>
  <c r="F897" i="1"/>
  <c r="E897" i="1" s="1"/>
  <c r="F898" i="1"/>
  <c r="F899" i="1"/>
  <c r="F900" i="1"/>
  <c r="F901" i="1"/>
  <c r="E901" i="1" s="1"/>
  <c r="F902" i="1"/>
  <c r="E902" i="1" s="1"/>
  <c r="F903" i="1"/>
  <c r="F904" i="1"/>
  <c r="F905" i="1"/>
  <c r="E905" i="1" s="1"/>
  <c r="F906" i="1"/>
  <c r="E906" i="1" s="1"/>
  <c r="F907" i="1"/>
  <c r="F908" i="1"/>
  <c r="F909" i="1"/>
  <c r="E909" i="1" s="1"/>
  <c r="F910" i="1"/>
  <c r="E910" i="1" s="1"/>
  <c r="F911" i="1"/>
  <c r="F912" i="1"/>
  <c r="F913" i="1"/>
  <c r="E913" i="1" s="1"/>
  <c r="F914" i="1"/>
  <c r="E914" i="1" s="1"/>
  <c r="F915" i="1"/>
  <c r="F916" i="1"/>
  <c r="F917" i="1"/>
  <c r="E917" i="1" s="1"/>
  <c r="F918" i="1"/>
  <c r="E918" i="1" s="1"/>
  <c r="F919" i="1"/>
  <c r="F920" i="1"/>
  <c r="F921" i="1"/>
  <c r="E921" i="1" s="1"/>
  <c r="F922" i="1"/>
  <c r="E922" i="1" s="1"/>
  <c r="F923" i="1"/>
  <c r="F924" i="1"/>
  <c r="F925" i="1"/>
  <c r="E925" i="1" s="1"/>
  <c r="F926" i="1"/>
  <c r="E926" i="1" s="1"/>
  <c r="F927" i="1"/>
  <c r="F928" i="1"/>
  <c r="F929" i="1"/>
  <c r="E929" i="1" s="1"/>
  <c r="F930" i="1"/>
  <c r="F931" i="1"/>
  <c r="F932" i="1"/>
  <c r="F933" i="1"/>
  <c r="E933" i="1" s="1"/>
  <c r="F934" i="1"/>
  <c r="E934" i="1" s="1"/>
  <c r="F935" i="1"/>
  <c r="F936" i="1"/>
  <c r="F937" i="1"/>
  <c r="E937" i="1" s="1"/>
  <c r="F938" i="1"/>
  <c r="E938" i="1" s="1"/>
  <c r="F939" i="1"/>
  <c r="F940" i="1"/>
  <c r="F941" i="1"/>
  <c r="E941" i="1" s="1"/>
  <c r="F942" i="1"/>
  <c r="E942" i="1" s="1"/>
  <c r="F943" i="1"/>
  <c r="F944" i="1"/>
  <c r="F945" i="1"/>
  <c r="E945" i="1" s="1"/>
  <c r="F946" i="1"/>
  <c r="E946" i="1" s="1"/>
  <c r="F947" i="1"/>
  <c r="F948" i="1"/>
  <c r="F949" i="1"/>
  <c r="E949" i="1" s="1"/>
  <c r="F950" i="1"/>
  <c r="E950" i="1" s="1"/>
  <c r="F951" i="1"/>
  <c r="F952" i="1"/>
  <c r="F953" i="1"/>
  <c r="E953" i="1" s="1"/>
  <c r="F954" i="1"/>
  <c r="E954" i="1" s="1"/>
  <c r="F955" i="1"/>
  <c r="F956" i="1"/>
  <c r="F957" i="1"/>
  <c r="E957" i="1" s="1"/>
  <c r="F697" i="1"/>
  <c r="E697" i="1" s="1"/>
  <c r="F350" i="1"/>
  <c r="E350" i="1" s="1"/>
  <c r="F351" i="1"/>
  <c r="F352" i="1"/>
  <c r="F353" i="1"/>
  <c r="E353" i="1" s="1"/>
  <c r="F354" i="1"/>
  <c r="E354" i="1" s="1"/>
  <c r="F355" i="1"/>
  <c r="F356" i="1"/>
  <c r="F357" i="1"/>
  <c r="E357" i="1" s="1"/>
  <c r="F358" i="1"/>
  <c r="F359" i="1"/>
  <c r="F360" i="1"/>
  <c r="F361" i="1"/>
  <c r="E361" i="1" s="1"/>
  <c r="F362" i="1"/>
  <c r="F363" i="1"/>
  <c r="F364" i="1"/>
  <c r="F365" i="1"/>
  <c r="E365" i="1" s="1"/>
  <c r="F366" i="1"/>
  <c r="E366" i="1" s="1"/>
  <c r="F367" i="1"/>
  <c r="F368" i="1"/>
  <c r="F369" i="1"/>
  <c r="E369" i="1" s="1"/>
  <c r="F370" i="1"/>
  <c r="E370" i="1" s="1"/>
  <c r="F371" i="1"/>
  <c r="F372" i="1"/>
  <c r="F373" i="1"/>
  <c r="E373" i="1" s="1"/>
  <c r="F374" i="1"/>
  <c r="F375" i="1"/>
  <c r="F376" i="1"/>
  <c r="F377" i="1"/>
  <c r="E377" i="1" s="1"/>
  <c r="F378" i="1"/>
  <c r="F379" i="1"/>
  <c r="F380" i="1"/>
  <c r="F381" i="1"/>
  <c r="E381" i="1" s="1"/>
  <c r="F382" i="1"/>
  <c r="E382" i="1" s="1"/>
  <c r="F383" i="1"/>
  <c r="F384" i="1"/>
  <c r="F385" i="1"/>
  <c r="E385" i="1" s="1"/>
  <c r="F386" i="1"/>
  <c r="E386" i="1" s="1"/>
  <c r="F387" i="1"/>
  <c r="F388" i="1"/>
  <c r="F389" i="1"/>
  <c r="E389" i="1" s="1"/>
  <c r="F390" i="1"/>
  <c r="F391" i="1"/>
  <c r="F392" i="1"/>
  <c r="F393" i="1"/>
  <c r="E393" i="1" s="1"/>
  <c r="F394" i="1"/>
  <c r="F395" i="1"/>
  <c r="F396" i="1"/>
  <c r="F397" i="1"/>
  <c r="E397" i="1" s="1"/>
  <c r="F398" i="1"/>
  <c r="E398" i="1" s="1"/>
  <c r="F399" i="1"/>
  <c r="F400" i="1"/>
  <c r="F349" i="1"/>
  <c r="E349" i="1" s="1"/>
  <c r="F2" i="1"/>
  <c r="F3" i="1"/>
  <c r="F4" i="1"/>
  <c r="F5" i="1"/>
  <c r="E5" i="1" s="1"/>
  <c r="F6" i="1"/>
  <c r="E6" i="1" s="1"/>
  <c r="F7" i="1"/>
  <c r="F8" i="1"/>
  <c r="F9" i="1"/>
  <c r="F10" i="1"/>
  <c r="F11" i="1"/>
  <c r="F12" i="1"/>
  <c r="F13" i="1"/>
  <c r="E13" i="1" s="1"/>
  <c r="F14" i="1"/>
  <c r="E14" i="1" s="1"/>
  <c r="F15" i="1"/>
  <c r="F16" i="1"/>
  <c r="F17" i="1"/>
  <c r="F18" i="1"/>
  <c r="F19" i="1"/>
  <c r="F20" i="1"/>
  <c r="F21" i="1"/>
  <c r="E21" i="1" s="1"/>
  <c r="F22" i="1"/>
  <c r="E22" i="1" s="1"/>
  <c r="F23" i="1"/>
  <c r="F24" i="1"/>
  <c r="F25" i="1"/>
  <c r="F26" i="1"/>
  <c r="F27" i="1"/>
  <c r="F28" i="1"/>
  <c r="F29" i="1"/>
  <c r="E29" i="1" s="1"/>
  <c r="F30" i="1"/>
  <c r="E30" i="1" s="1"/>
  <c r="F31" i="1"/>
  <c r="F32" i="1"/>
  <c r="F33" i="1"/>
  <c r="F34" i="1"/>
  <c r="F35" i="1"/>
  <c r="F36" i="1"/>
  <c r="F37" i="1"/>
  <c r="E37" i="1" s="1"/>
  <c r="F38" i="1"/>
  <c r="E38" i="1" s="1"/>
  <c r="F39" i="1"/>
  <c r="F40" i="1"/>
  <c r="F41" i="1"/>
  <c r="F42" i="1"/>
  <c r="F43" i="1"/>
  <c r="F44" i="1"/>
  <c r="F45" i="1"/>
  <c r="E45" i="1" s="1"/>
  <c r="F46" i="1"/>
  <c r="E46" i="1" s="1"/>
  <c r="F47" i="1"/>
  <c r="F48" i="1"/>
  <c r="F49" i="1"/>
  <c r="F50" i="1"/>
  <c r="F51" i="1"/>
  <c r="F52" i="1"/>
  <c r="E396" i="1" l="1"/>
  <c r="E388" i="1"/>
  <c r="E380" i="1"/>
  <c r="E372" i="1"/>
  <c r="E364" i="1"/>
  <c r="E360" i="1"/>
  <c r="E356" i="1"/>
  <c r="E352" i="1"/>
  <c r="E813" i="1"/>
  <c r="E749" i="1"/>
  <c r="E701" i="1"/>
  <c r="E298" i="1"/>
  <c r="E282" i="1"/>
  <c r="E274" i="1"/>
  <c r="E659" i="1"/>
  <c r="E651" i="1"/>
  <c r="E643" i="1"/>
  <c r="E631" i="1"/>
  <c r="E623" i="1"/>
  <c r="E615" i="1"/>
  <c r="E607" i="1"/>
  <c r="E599" i="1"/>
  <c r="E591" i="1"/>
  <c r="E583" i="1"/>
  <c r="E575" i="1"/>
  <c r="E567" i="1"/>
  <c r="E559" i="1"/>
  <c r="E551" i="1"/>
  <c r="E543" i="1"/>
  <c r="E535" i="1"/>
  <c r="E527" i="1"/>
  <c r="E519" i="1"/>
  <c r="E511" i="1"/>
  <c r="E503" i="1"/>
  <c r="E495" i="1"/>
  <c r="E487" i="1"/>
  <c r="E479" i="1"/>
  <c r="E471" i="1"/>
  <c r="E463" i="1"/>
  <c r="E455" i="1"/>
  <c r="E447" i="1"/>
  <c r="E439" i="1"/>
  <c r="E431" i="1"/>
  <c r="E423" i="1"/>
  <c r="E415" i="1"/>
  <c r="E407" i="1"/>
  <c r="E403" i="1"/>
  <c r="E343" i="1"/>
  <c r="E335" i="1"/>
  <c r="E327" i="1"/>
  <c r="E319" i="1"/>
  <c r="E315" i="1"/>
  <c r="E692" i="1"/>
  <c r="E684" i="1"/>
  <c r="E672" i="1"/>
  <c r="E399" i="1"/>
  <c r="E391" i="1"/>
  <c r="E383" i="1"/>
  <c r="E375" i="1"/>
  <c r="E367" i="1"/>
  <c r="E359" i="1"/>
  <c r="E351" i="1"/>
  <c r="E952" i="1"/>
  <c r="E944" i="1"/>
  <c r="E936" i="1"/>
  <c r="E928" i="1"/>
  <c r="E920" i="1"/>
  <c r="E912" i="1"/>
  <c r="E904" i="1"/>
  <c r="E896" i="1"/>
  <c r="E888" i="1"/>
  <c r="E880" i="1"/>
  <c r="E872" i="1"/>
  <c r="E864" i="1"/>
  <c r="E856" i="1"/>
  <c r="E804" i="1"/>
  <c r="E796" i="1"/>
  <c r="E788" i="1"/>
  <c r="E780" i="1"/>
  <c r="E772" i="1"/>
  <c r="E764" i="1"/>
  <c r="E756" i="1"/>
  <c r="E748" i="1"/>
  <c r="E744" i="1"/>
  <c r="E736" i="1"/>
  <c r="E728" i="1"/>
  <c r="E720" i="1"/>
  <c r="E712" i="1"/>
  <c r="E708" i="1"/>
  <c r="E700" i="1"/>
  <c r="E305" i="1"/>
  <c r="E289" i="1"/>
  <c r="E281" i="1"/>
  <c r="E273" i="1"/>
  <c r="E662" i="1"/>
  <c r="E650" i="1"/>
  <c r="E642" i="1"/>
  <c r="E622" i="1"/>
  <c r="E598" i="1"/>
  <c r="E586" i="1"/>
  <c r="E534" i="1"/>
  <c r="E522" i="1"/>
  <c r="E514" i="1"/>
  <c r="E478" i="1"/>
  <c r="E470" i="1"/>
  <c r="E466" i="1"/>
  <c r="E450" i="1"/>
  <c r="E422" i="1"/>
  <c r="E402" i="1"/>
  <c r="E346" i="1"/>
  <c r="E330" i="1"/>
  <c r="E960" i="1"/>
  <c r="E848" i="1"/>
  <c r="E840" i="1"/>
  <c r="E832" i="1"/>
  <c r="E824" i="1"/>
  <c r="E816" i="1"/>
  <c r="E691" i="1"/>
  <c r="E683" i="1"/>
  <c r="E675" i="1"/>
  <c r="E394" i="1"/>
  <c r="E390" i="1"/>
  <c r="E378" i="1"/>
  <c r="E374" i="1"/>
  <c r="E362" i="1"/>
  <c r="E358" i="1"/>
  <c r="E955" i="1"/>
  <c r="E951" i="1"/>
  <c r="E947" i="1"/>
  <c r="E943" i="1"/>
  <c r="E939" i="1"/>
  <c r="E935" i="1"/>
  <c r="E931" i="1"/>
  <c r="E927" i="1"/>
  <c r="E923" i="1"/>
  <c r="E919" i="1"/>
  <c r="E915" i="1"/>
  <c r="E911" i="1"/>
  <c r="E907" i="1"/>
  <c r="E903" i="1"/>
  <c r="E899" i="1"/>
  <c r="E895" i="1"/>
  <c r="E891" i="1"/>
  <c r="E887" i="1"/>
  <c r="E883" i="1"/>
  <c r="E879" i="1"/>
  <c r="E875" i="1"/>
  <c r="E871" i="1"/>
  <c r="E867" i="1"/>
  <c r="E863" i="1"/>
  <c r="E859" i="1"/>
  <c r="E855" i="1"/>
  <c r="E811" i="1"/>
  <c r="E807" i="1"/>
  <c r="E803" i="1"/>
  <c r="E799" i="1"/>
  <c r="E795" i="1"/>
  <c r="E791" i="1"/>
  <c r="E787" i="1"/>
  <c r="E783" i="1"/>
  <c r="E779" i="1"/>
  <c r="E775" i="1"/>
  <c r="E771" i="1"/>
  <c r="E767" i="1"/>
  <c r="E763" i="1"/>
  <c r="E759" i="1"/>
  <c r="E755" i="1"/>
  <c r="E751" i="1"/>
  <c r="E747" i="1"/>
  <c r="E743" i="1"/>
  <c r="E739" i="1"/>
  <c r="E735" i="1"/>
  <c r="E731" i="1"/>
  <c r="E727" i="1"/>
  <c r="E723" i="1"/>
  <c r="E719" i="1"/>
  <c r="E715" i="1"/>
  <c r="E711" i="1"/>
  <c r="E707" i="1"/>
  <c r="E703" i="1"/>
  <c r="E699" i="1"/>
  <c r="E312" i="1"/>
  <c r="E308" i="1"/>
  <c r="E304" i="1"/>
  <c r="E300" i="1"/>
  <c r="E296" i="1"/>
  <c r="E292" i="1"/>
  <c r="E288" i="1"/>
  <c r="E284" i="1"/>
  <c r="E280" i="1"/>
  <c r="E276" i="1"/>
  <c r="E272" i="1"/>
  <c r="E661" i="1"/>
  <c r="E645" i="1"/>
  <c r="E629" i="1"/>
  <c r="E613" i="1"/>
  <c r="E597" i="1"/>
  <c r="E581" i="1"/>
  <c r="E565" i="1"/>
  <c r="E549" i="1"/>
  <c r="E533" i="1"/>
  <c r="E517" i="1"/>
  <c r="E501" i="1"/>
  <c r="E485" i="1"/>
  <c r="E469" i="1"/>
  <c r="E453" i="1"/>
  <c r="E437" i="1"/>
  <c r="E421" i="1"/>
  <c r="E405" i="1"/>
  <c r="E667" i="1"/>
  <c r="E959" i="1"/>
  <c r="E851" i="1"/>
  <c r="E847" i="1"/>
  <c r="E843" i="1"/>
  <c r="E839" i="1"/>
  <c r="E835" i="1"/>
  <c r="E831" i="1"/>
  <c r="E827" i="1"/>
  <c r="E823" i="1"/>
  <c r="E819" i="1"/>
  <c r="E815" i="1"/>
  <c r="E686" i="1"/>
  <c r="E400" i="1"/>
  <c r="E392" i="1"/>
  <c r="E384" i="1"/>
  <c r="E376" i="1"/>
  <c r="E368" i="1"/>
  <c r="E765" i="1"/>
  <c r="E306" i="1"/>
  <c r="E290" i="1"/>
  <c r="E663" i="1"/>
  <c r="E655" i="1"/>
  <c r="E647" i="1"/>
  <c r="E639" i="1"/>
  <c r="E635" i="1"/>
  <c r="E627" i="1"/>
  <c r="E619" i="1"/>
  <c r="E611" i="1"/>
  <c r="E603" i="1"/>
  <c r="E595" i="1"/>
  <c r="E587" i="1"/>
  <c r="E579" i="1"/>
  <c r="E571" i="1"/>
  <c r="E563" i="1"/>
  <c r="E555" i="1"/>
  <c r="E547" i="1"/>
  <c r="E539" i="1"/>
  <c r="E531" i="1"/>
  <c r="E523" i="1"/>
  <c r="E515" i="1"/>
  <c r="E507" i="1"/>
  <c r="E499" i="1"/>
  <c r="E491" i="1"/>
  <c r="E483" i="1"/>
  <c r="E475" i="1"/>
  <c r="E467" i="1"/>
  <c r="E459" i="1"/>
  <c r="E451" i="1"/>
  <c r="E443" i="1"/>
  <c r="E435" i="1"/>
  <c r="E427" i="1"/>
  <c r="E419" i="1"/>
  <c r="E411" i="1"/>
  <c r="E347" i="1"/>
  <c r="E339" i="1"/>
  <c r="E331" i="1"/>
  <c r="E323" i="1"/>
  <c r="E845" i="1"/>
  <c r="E696" i="1"/>
  <c r="E688" i="1"/>
  <c r="E680" i="1"/>
  <c r="E676" i="1"/>
  <c r="E668" i="1"/>
  <c r="E395" i="1"/>
  <c r="E387" i="1"/>
  <c r="E379" i="1"/>
  <c r="E371" i="1"/>
  <c r="E363" i="1"/>
  <c r="E355" i="1"/>
  <c r="E956" i="1"/>
  <c r="E948" i="1"/>
  <c r="E940" i="1"/>
  <c r="E932" i="1"/>
  <c r="E924" i="1"/>
  <c r="E916" i="1"/>
  <c r="E908" i="1"/>
  <c r="E900" i="1"/>
  <c r="E892" i="1"/>
  <c r="E884" i="1"/>
  <c r="E876" i="1"/>
  <c r="E868" i="1"/>
  <c r="E860" i="1"/>
  <c r="E812" i="1"/>
  <c r="E808" i="1"/>
  <c r="E800" i="1"/>
  <c r="E792" i="1"/>
  <c r="E784" i="1"/>
  <c r="E776" i="1"/>
  <c r="E768" i="1"/>
  <c r="E760" i="1"/>
  <c r="E752" i="1"/>
  <c r="E740" i="1"/>
  <c r="E732" i="1"/>
  <c r="E724" i="1"/>
  <c r="E716" i="1"/>
  <c r="E704" i="1"/>
  <c r="E313" i="1"/>
  <c r="E297" i="1"/>
  <c r="E578" i="1"/>
  <c r="E558" i="1"/>
  <c r="E494" i="1"/>
  <c r="E458" i="1"/>
  <c r="E442" i="1"/>
  <c r="E430" i="1"/>
  <c r="E414" i="1"/>
  <c r="E406" i="1"/>
  <c r="E338" i="1"/>
  <c r="E322" i="1"/>
  <c r="E314" i="1"/>
  <c r="E852" i="1"/>
  <c r="E844" i="1"/>
  <c r="E836" i="1"/>
  <c r="E828" i="1"/>
  <c r="E820" i="1"/>
  <c r="E695" i="1"/>
  <c r="E687" i="1"/>
  <c r="E679" i="1"/>
  <c r="E671" i="1"/>
  <c r="E930" i="1"/>
  <c r="E898" i="1"/>
  <c r="E866" i="1"/>
  <c r="E798" i="1"/>
  <c r="E794" i="1"/>
  <c r="E778" i="1"/>
  <c r="E758" i="1"/>
  <c r="E734" i="1"/>
  <c r="E730" i="1"/>
  <c r="E714" i="1"/>
  <c r="E311" i="1"/>
  <c r="E307" i="1"/>
  <c r="E303" i="1"/>
  <c r="E299" i="1"/>
  <c r="E295" i="1"/>
  <c r="E291" i="1"/>
  <c r="E287" i="1"/>
  <c r="E283" i="1"/>
  <c r="E279" i="1"/>
  <c r="E275" i="1"/>
  <c r="E271" i="1"/>
  <c r="E664" i="1"/>
  <c r="E660" i="1"/>
  <c r="E656" i="1"/>
  <c r="E652" i="1"/>
  <c r="E648" i="1"/>
  <c r="E644" i="1"/>
  <c r="E640" i="1"/>
  <c r="E636" i="1"/>
  <c r="E632" i="1"/>
  <c r="E628" i="1"/>
  <c r="E624" i="1"/>
  <c r="E620" i="1"/>
  <c r="E616" i="1"/>
  <c r="E612" i="1"/>
  <c r="E608" i="1"/>
  <c r="E604" i="1"/>
  <c r="E600" i="1"/>
  <c r="E596" i="1"/>
  <c r="E592" i="1"/>
  <c r="E588" i="1"/>
  <c r="E584" i="1"/>
  <c r="E580" i="1"/>
  <c r="E576" i="1"/>
  <c r="E572" i="1"/>
  <c r="E568" i="1"/>
  <c r="E564" i="1"/>
  <c r="E560" i="1"/>
  <c r="E556" i="1"/>
  <c r="E552" i="1"/>
  <c r="E548" i="1"/>
  <c r="E544" i="1"/>
  <c r="E540" i="1"/>
  <c r="E536" i="1"/>
  <c r="E532" i="1"/>
  <c r="E528" i="1"/>
  <c r="E524" i="1"/>
  <c r="E520" i="1"/>
  <c r="E516" i="1"/>
  <c r="E512" i="1"/>
  <c r="E508" i="1"/>
  <c r="E504" i="1"/>
  <c r="E500" i="1"/>
  <c r="E496" i="1"/>
  <c r="E492" i="1"/>
  <c r="E488" i="1"/>
  <c r="E484" i="1"/>
  <c r="E480" i="1"/>
  <c r="E476" i="1"/>
  <c r="E472" i="1"/>
  <c r="E468" i="1"/>
  <c r="E464" i="1"/>
  <c r="E460" i="1"/>
  <c r="E456" i="1"/>
  <c r="E452" i="1"/>
  <c r="E448" i="1"/>
  <c r="E444" i="1"/>
  <c r="E440" i="1"/>
  <c r="E436" i="1"/>
  <c r="E432" i="1"/>
  <c r="E428" i="1"/>
  <c r="E424" i="1"/>
  <c r="E420" i="1"/>
  <c r="E416" i="1"/>
  <c r="E412" i="1"/>
  <c r="E408" i="1"/>
  <c r="E404" i="1"/>
  <c r="E348" i="1"/>
  <c r="E344" i="1"/>
  <c r="E340" i="1"/>
  <c r="E336" i="1"/>
  <c r="E332" i="1"/>
  <c r="E328" i="1"/>
  <c r="E324" i="1"/>
  <c r="E320" i="1"/>
  <c r="E316" i="1"/>
  <c r="C2" i="1"/>
  <c r="C3" i="1" s="1"/>
  <c r="D45" i="1" s="1"/>
  <c r="E846" i="1"/>
  <c r="E830" i="1"/>
  <c r="E693" i="1"/>
  <c r="E677" i="1"/>
  <c r="E73" i="1"/>
  <c r="E65" i="1"/>
  <c r="E250" i="1"/>
  <c r="E242" i="1"/>
  <c r="E234" i="1"/>
  <c r="E47" i="1"/>
  <c r="E35" i="1"/>
  <c r="E23" i="1"/>
  <c r="E7" i="1"/>
  <c r="E68" i="1"/>
  <c r="E233" i="1"/>
  <c r="D233" i="1" s="1"/>
  <c r="I233" i="1" s="1"/>
  <c r="E10" i="1"/>
  <c r="E2" i="1"/>
  <c r="E67" i="1"/>
  <c r="E63" i="1"/>
  <c r="E59" i="1"/>
  <c r="E55" i="1"/>
  <c r="E268" i="1"/>
  <c r="E264" i="1"/>
  <c r="E260" i="1"/>
  <c r="E256" i="1"/>
  <c r="E252" i="1"/>
  <c r="E248" i="1"/>
  <c r="E244" i="1"/>
  <c r="E240" i="1"/>
  <c r="E236" i="1"/>
  <c r="E232" i="1"/>
  <c r="E228" i="1"/>
  <c r="E224" i="1"/>
  <c r="E220" i="1"/>
  <c r="E216" i="1"/>
  <c r="E212" i="1"/>
  <c r="E208" i="1"/>
  <c r="E204" i="1"/>
  <c r="E200" i="1"/>
  <c r="E196" i="1"/>
  <c r="E192" i="1"/>
  <c r="E188" i="1"/>
  <c r="E184" i="1"/>
  <c r="E180" i="1"/>
  <c r="E176" i="1"/>
  <c r="E172" i="1"/>
  <c r="E168" i="1"/>
  <c r="E164" i="1"/>
  <c r="E160" i="1"/>
  <c r="E156" i="1"/>
  <c r="E152" i="1"/>
  <c r="E148" i="1"/>
  <c r="E144" i="1"/>
  <c r="E140" i="1"/>
  <c r="E136" i="1"/>
  <c r="E132" i="1"/>
  <c r="E128" i="1"/>
  <c r="E124" i="1"/>
  <c r="E120" i="1"/>
  <c r="E116" i="1"/>
  <c r="E112" i="1"/>
  <c r="E108" i="1"/>
  <c r="E104" i="1"/>
  <c r="E100" i="1"/>
  <c r="E96" i="1"/>
  <c r="E92" i="1"/>
  <c r="E88" i="1"/>
  <c r="E84" i="1"/>
  <c r="E80" i="1"/>
  <c r="E76" i="1"/>
  <c r="E72" i="1"/>
  <c r="E52" i="1"/>
  <c r="E44" i="1"/>
  <c r="E36" i="1"/>
  <c r="E28" i="1"/>
  <c r="E20" i="1"/>
  <c r="E12" i="1"/>
  <c r="E4" i="1"/>
  <c r="E51" i="1"/>
  <c r="E43" i="1"/>
  <c r="E39" i="1"/>
  <c r="E31" i="1"/>
  <c r="E27" i="1"/>
  <c r="D27" i="1" s="1"/>
  <c r="E19" i="1"/>
  <c r="E15" i="1"/>
  <c r="E11" i="1"/>
  <c r="E3" i="1"/>
  <c r="E64" i="1"/>
  <c r="E60" i="1"/>
  <c r="E56" i="1"/>
  <c r="E265" i="1"/>
  <c r="E257" i="1"/>
  <c r="E249" i="1"/>
  <c r="E241" i="1"/>
  <c r="E225" i="1"/>
  <c r="E217" i="1"/>
  <c r="E209" i="1"/>
  <c r="E201" i="1"/>
  <c r="E193" i="1"/>
  <c r="E185" i="1"/>
  <c r="E177" i="1"/>
  <c r="E169" i="1"/>
  <c r="E161" i="1"/>
  <c r="E153" i="1"/>
  <c r="E145" i="1"/>
  <c r="E137" i="1"/>
  <c r="E129" i="1"/>
  <c r="E121" i="1"/>
  <c r="E113" i="1"/>
  <c r="E105" i="1"/>
  <c r="E97" i="1"/>
  <c r="D97" i="1" s="1"/>
  <c r="I97" i="1" s="1"/>
  <c r="E89" i="1"/>
  <c r="E81" i="1"/>
  <c r="E50" i="1"/>
  <c r="E42" i="1"/>
  <c r="D42" i="1" s="1"/>
  <c r="E34" i="1"/>
  <c r="E26" i="1"/>
  <c r="E18" i="1"/>
  <c r="E49" i="1"/>
  <c r="E41" i="1"/>
  <c r="E33" i="1"/>
  <c r="E25" i="1"/>
  <c r="E17" i="1"/>
  <c r="E9" i="1"/>
  <c r="E66" i="1"/>
  <c r="E58" i="1"/>
  <c r="E267" i="1"/>
  <c r="E263" i="1"/>
  <c r="E259" i="1"/>
  <c r="E255" i="1"/>
  <c r="D255" i="1" s="1"/>
  <c r="E251" i="1"/>
  <c r="E247" i="1"/>
  <c r="E243" i="1"/>
  <c r="E239" i="1"/>
  <c r="D239" i="1" s="1"/>
  <c r="I239" i="1" s="1"/>
  <c r="E235" i="1"/>
  <c r="E231" i="1"/>
  <c r="E227" i="1"/>
  <c r="E223" i="1"/>
  <c r="D223" i="1" s="1"/>
  <c r="I223" i="1" s="1"/>
  <c r="E219" i="1"/>
  <c r="E215" i="1"/>
  <c r="E211" i="1"/>
  <c r="E207" i="1"/>
  <c r="D207" i="1" s="1"/>
  <c r="I207" i="1" s="1"/>
  <c r="E203" i="1"/>
  <c r="E199" i="1"/>
  <c r="E195" i="1"/>
  <c r="E191" i="1"/>
  <c r="D191" i="1" s="1"/>
  <c r="E187" i="1"/>
  <c r="E183" i="1"/>
  <c r="E179" i="1"/>
  <c r="E175" i="1"/>
  <c r="D175" i="1" s="1"/>
  <c r="I175" i="1" s="1"/>
  <c r="E171" i="1"/>
  <c r="E167" i="1"/>
  <c r="E163" i="1"/>
  <c r="E159" i="1"/>
  <c r="E155" i="1"/>
  <c r="E151" i="1"/>
  <c r="E147" i="1"/>
  <c r="E143" i="1"/>
  <c r="E139" i="1"/>
  <c r="E135" i="1"/>
  <c r="E131" i="1"/>
  <c r="E127" i="1"/>
  <c r="E123" i="1"/>
  <c r="E119" i="1"/>
  <c r="E115" i="1"/>
  <c r="E111" i="1"/>
  <c r="E107" i="1"/>
  <c r="E103" i="1"/>
  <c r="E99" i="1"/>
  <c r="E95" i="1"/>
  <c r="E91" i="1"/>
  <c r="E87" i="1"/>
  <c r="E83" i="1"/>
  <c r="E79" i="1"/>
  <c r="E75" i="1"/>
  <c r="E71" i="1"/>
  <c r="E48" i="1"/>
  <c r="E40" i="1"/>
  <c r="E32" i="1"/>
  <c r="E24" i="1"/>
  <c r="E16" i="1"/>
  <c r="E8" i="1"/>
  <c r="E57" i="1"/>
  <c r="E266" i="1"/>
  <c r="E258" i="1"/>
  <c r="E226" i="1"/>
  <c r="D226" i="1" s="1"/>
  <c r="I226" i="1" s="1"/>
  <c r="E218" i="1"/>
  <c r="E210" i="1"/>
  <c r="E202" i="1"/>
  <c r="E194" i="1"/>
  <c r="D194" i="1" s="1"/>
  <c r="I194" i="1" s="1"/>
  <c r="E186" i="1"/>
  <c r="E178" i="1"/>
  <c r="E170" i="1"/>
  <c r="E162" i="1"/>
  <c r="D162" i="1" s="1"/>
  <c r="I162" i="1" s="1"/>
  <c r="E154" i="1"/>
  <c r="E146" i="1"/>
  <c r="E138" i="1"/>
  <c r="E130" i="1"/>
  <c r="D130" i="1" s="1"/>
  <c r="I130" i="1" s="1"/>
  <c r="E122" i="1"/>
  <c r="E114" i="1"/>
  <c r="E106" i="1"/>
  <c r="E98" i="1"/>
  <c r="D98" i="1" s="1"/>
  <c r="I98" i="1" s="1"/>
  <c r="E90" i="1"/>
  <c r="E82" i="1"/>
  <c r="E74" i="1"/>
  <c r="D412" i="1" l="1"/>
  <c r="D492" i="1"/>
  <c r="D572" i="1"/>
  <c r="I572" i="1" s="1"/>
  <c r="D636" i="1"/>
  <c r="A636" i="1" s="1"/>
  <c r="D910" i="1"/>
  <c r="D430" i="1"/>
  <c r="D163" i="1"/>
  <c r="A163" i="1" s="1"/>
  <c r="D18" i="1"/>
  <c r="A18" i="1" s="1"/>
  <c r="D137" i="1"/>
  <c r="I137" i="1" s="1"/>
  <c r="D201" i="1"/>
  <c r="I201" i="1" s="1"/>
  <c r="D11" i="1"/>
  <c r="I11" i="1" s="1"/>
  <c r="D268" i="1"/>
  <c r="I268" i="1" s="1"/>
  <c r="D13" i="1"/>
  <c r="D530" i="1"/>
  <c r="D263" i="1"/>
  <c r="I263" i="1" s="1"/>
  <c r="D44" i="1"/>
  <c r="I44" i="1" s="1"/>
  <c r="D80" i="1"/>
  <c r="I80" i="1" s="1"/>
  <c r="D96" i="1"/>
  <c r="I96" i="1" s="1"/>
  <c r="D112" i="1"/>
  <c r="I112" i="1" s="1"/>
  <c r="D128" i="1"/>
  <c r="I128" i="1" s="1"/>
  <c r="D144" i="1"/>
  <c r="D224" i="1"/>
  <c r="I224" i="1" s="1"/>
  <c r="D240" i="1"/>
  <c r="I240" i="1" s="1"/>
  <c r="D256" i="1"/>
  <c r="I256" i="1" s="1"/>
  <c r="D830" i="1"/>
  <c r="D320" i="1"/>
  <c r="I320" i="1" s="1"/>
  <c r="D452" i="1"/>
  <c r="D516" i="1"/>
  <c r="A516" i="1" s="1"/>
  <c r="D532" i="1"/>
  <c r="D596" i="1"/>
  <c r="A596" i="1" s="1"/>
  <c r="D660" i="1"/>
  <c r="I660" i="1" s="1"/>
  <c r="D279" i="1"/>
  <c r="I279" i="1" s="1"/>
  <c r="D295" i="1"/>
  <c r="D311" i="1"/>
  <c r="D790" i="1"/>
  <c r="D938" i="1"/>
  <c r="I938" i="1" s="1"/>
  <c r="D476" i="1"/>
  <c r="D556" i="1"/>
  <c r="I556" i="1" s="1"/>
  <c r="D620" i="1"/>
  <c r="D726" i="1"/>
  <c r="A726" i="1" s="1"/>
  <c r="D393" i="1"/>
  <c r="D16" i="1"/>
  <c r="I16" i="1" s="1"/>
  <c r="D131" i="1"/>
  <c r="I131" i="1" s="1"/>
  <c r="D66" i="1"/>
  <c r="I66" i="1" s="1"/>
  <c r="D50" i="1"/>
  <c r="D169" i="1"/>
  <c r="I169" i="1" s="1"/>
  <c r="D56" i="1"/>
  <c r="I56" i="1" s="1"/>
  <c r="D156" i="1"/>
  <c r="I156" i="1" s="1"/>
  <c r="D818" i="1"/>
  <c r="D854" i="1"/>
  <c r="D338" i="1"/>
  <c r="I338" i="1" s="1"/>
  <c r="D87" i="1"/>
  <c r="I87" i="1" s="1"/>
  <c r="D199" i="1"/>
  <c r="D26" i="1"/>
  <c r="D57" i="1"/>
  <c r="I57" i="1" s="1"/>
  <c r="D107" i="1"/>
  <c r="I107" i="1" s="1"/>
  <c r="D123" i="1"/>
  <c r="I123" i="1" s="1"/>
  <c r="D139" i="1"/>
  <c r="D155" i="1"/>
  <c r="I155" i="1" s="1"/>
  <c r="D41" i="1"/>
  <c r="I41" i="1" s="1"/>
  <c r="D34" i="1"/>
  <c r="D43" i="1"/>
  <c r="I43" i="1" s="1"/>
  <c r="D20" i="1"/>
  <c r="I20" i="1" s="1"/>
  <c r="D196" i="1"/>
  <c r="I196" i="1" s="1"/>
  <c r="D212" i="1"/>
  <c r="I212" i="1" s="1"/>
  <c r="D677" i="1"/>
  <c r="D750" i="1"/>
  <c r="I750" i="1" s="1"/>
  <c r="D898" i="1"/>
  <c r="I898" i="1" s="1"/>
  <c r="D954" i="1"/>
  <c r="A954" i="1" s="1"/>
  <c r="D462" i="1"/>
  <c r="A462" i="1" s="1"/>
  <c r="A45" i="1"/>
  <c r="I45" i="1"/>
  <c r="I255" i="1"/>
  <c r="A255" i="1"/>
  <c r="I476" i="1"/>
  <c r="A476" i="1"/>
  <c r="A556" i="1"/>
  <c r="I620" i="1"/>
  <c r="A620" i="1"/>
  <c r="A790" i="1"/>
  <c r="I790" i="1"/>
  <c r="A393" i="1"/>
  <c r="I393" i="1"/>
  <c r="I26" i="1"/>
  <c r="A26" i="1"/>
  <c r="I677" i="1"/>
  <c r="A677" i="1"/>
  <c r="A320" i="1"/>
  <c r="I452" i="1"/>
  <c r="A452" i="1"/>
  <c r="I311" i="1"/>
  <c r="A311" i="1"/>
  <c r="I430" i="1"/>
  <c r="A430" i="1"/>
  <c r="I462" i="1"/>
  <c r="I199" i="1"/>
  <c r="A199" i="1"/>
  <c r="I34" i="1"/>
  <c r="A34" i="1"/>
  <c r="D172" i="1"/>
  <c r="I172" i="1" s="1"/>
  <c r="D7" i="1"/>
  <c r="I7" i="1" s="1"/>
  <c r="D234" i="1"/>
  <c r="I234" i="1" s="1"/>
  <c r="D65" i="1"/>
  <c r="I65" i="1" s="1"/>
  <c r="D689" i="1"/>
  <c r="D846" i="1"/>
  <c r="D336" i="1"/>
  <c r="D428" i="1"/>
  <c r="D468" i="1"/>
  <c r="D508" i="1"/>
  <c r="D698" i="1"/>
  <c r="D762" i="1"/>
  <c r="D926" i="1"/>
  <c r="D361" i="1"/>
  <c r="D828" i="1"/>
  <c r="I191" i="1"/>
  <c r="A191" i="1"/>
  <c r="I50" i="1"/>
  <c r="A50" i="1"/>
  <c r="I27" i="1"/>
  <c r="A27" i="1"/>
  <c r="A818" i="1"/>
  <c r="I818" i="1"/>
  <c r="I596" i="1"/>
  <c r="A660" i="1"/>
  <c r="A750" i="1"/>
  <c r="A854" i="1"/>
  <c r="I854" i="1"/>
  <c r="A938" i="1"/>
  <c r="A530" i="1"/>
  <c r="I530" i="1"/>
  <c r="I163" i="1"/>
  <c r="I830" i="1"/>
  <c r="A830" i="1"/>
  <c r="I412" i="1"/>
  <c r="A412" i="1"/>
  <c r="I492" i="1"/>
  <c r="A492" i="1"/>
  <c r="I532" i="1"/>
  <c r="A532" i="1"/>
  <c r="A572" i="1"/>
  <c r="I636" i="1"/>
  <c r="I295" i="1"/>
  <c r="A295" i="1"/>
  <c r="A910" i="1"/>
  <c r="I910" i="1"/>
  <c r="I139" i="1"/>
  <c r="A139" i="1"/>
  <c r="I42" i="1"/>
  <c r="A42" i="1"/>
  <c r="I144" i="1"/>
  <c r="A144" i="1"/>
  <c r="D1" i="1"/>
  <c r="D953" i="1"/>
  <c r="A953" i="1" s="1"/>
  <c r="D921" i="1"/>
  <c r="D889" i="1"/>
  <c r="D857" i="1"/>
  <c r="D797" i="1"/>
  <c r="D761" i="1"/>
  <c r="D741" i="1"/>
  <c r="D709" i="1"/>
  <c r="D69" i="1"/>
  <c r="D286" i="1"/>
  <c r="D222" i="1"/>
  <c r="D150" i="1"/>
  <c r="D86" i="1"/>
  <c r="D833" i="1"/>
  <c r="D229" i="1"/>
  <c r="D157" i="1"/>
  <c r="D93" i="1"/>
  <c r="D610" i="1"/>
  <c r="D574" i="1"/>
  <c r="D538" i="1"/>
  <c r="D506" i="1"/>
  <c r="D46" i="1"/>
  <c r="D14" i="1"/>
  <c r="D382" i="1"/>
  <c r="D350" i="1"/>
  <c r="D657" i="1"/>
  <c r="D617" i="1"/>
  <c r="D605" i="1"/>
  <c r="D593" i="1"/>
  <c r="D553" i="1"/>
  <c r="D541" i="1"/>
  <c r="D529" i="1"/>
  <c r="D489" i="1"/>
  <c r="D477" i="1"/>
  <c r="D465" i="1"/>
  <c r="D425" i="1"/>
  <c r="D413" i="1"/>
  <c r="D401" i="1"/>
  <c r="D333" i="1"/>
  <c r="D317" i="1"/>
  <c r="D670" i="1"/>
  <c r="D957" i="1"/>
  <c r="A957" i="1" s="1"/>
  <c r="D925" i="1"/>
  <c r="D893" i="1"/>
  <c r="D861" i="1"/>
  <c r="D785" i="1"/>
  <c r="D729" i="1"/>
  <c r="D53" i="1"/>
  <c r="D294" i="1"/>
  <c r="D262" i="1"/>
  <c r="D198" i="1"/>
  <c r="D134" i="1"/>
  <c r="D78" i="1"/>
  <c r="D849" i="1"/>
  <c r="D829" i="1"/>
  <c r="D301" i="1"/>
  <c r="D269" i="1"/>
  <c r="D205" i="1"/>
  <c r="D149" i="1"/>
  <c r="D77" i="1"/>
  <c r="D626" i="1"/>
  <c r="D518" i="1"/>
  <c r="D418" i="1"/>
  <c r="D326" i="1"/>
  <c r="D37" i="1"/>
  <c r="D5" i="1"/>
  <c r="D389" i="1"/>
  <c r="D373" i="1"/>
  <c r="D357" i="1"/>
  <c r="D950" i="1"/>
  <c r="A950" i="1" s="1"/>
  <c r="D934" i="1"/>
  <c r="D922" i="1"/>
  <c r="D906" i="1"/>
  <c r="D894" i="1"/>
  <c r="D878" i="1"/>
  <c r="D810" i="1"/>
  <c r="D786" i="1"/>
  <c r="D774" i="1"/>
  <c r="D746" i="1"/>
  <c r="D722" i="1"/>
  <c r="D710" i="1"/>
  <c r="D62" i="1"/>
  <c r="D958" i="1"/>
  <c r="A958" i="1" s="1"/>
  <c r="D842" i="1"/>
  <c r="D814" i="1"/>
  <c r="D685" i="1"/>
  <c r="D673" i="1"/>
  <c r="D853" i="1"/>
  <c r="D293" i="1"/>
  <c r="D189" i="1"/>
  <c r="D666" i="1"/>
  <c r="D634" i="1"/>
  <c r="D602" i="1"/>
  <c r="D554" i="1"/>
  <c r="D426" i="1"/>
  <c r="D334" i="1"/>
  <c r="D398" i="1"/>
  <c r="D649" i="1"/>
  <c r="D625" i="1"/>
  <c r="D573" i="1"/>
  <c r="D521" i="1"/>
  <c r="D497" i="1"/>
  <c r="D433" i="1"/>
  <c r="D325" i="1"/>
  <c r="D678" i="1"/>
  <c r="D941" i="1"/>
  <c r="D877" i="1"/>
  <c r="D769" i="1"/>
  <c r="D713" i="1"/>
  <c r="D166" i="1"/>
  <c r="D181" i="1"/>
  <c r="D646" i="1"/>
  <c r="D582" i="1"/>
  <c r="D542" i="1"/>
  <c r="D474" i="1"/>
  <c r="D21" i="1"/>
  <c r="D365" i="1"/>
  <c r="D942" i="1"/>
  <c r="D914" i="1"/>
  <c r="D886" i="1"/>
  <c r="D858" i="1"/>
  <c r="D766" i="1"/>
  <c r="D738" i="1"/>
  <c r="D962" i="1"/>
  <c r="D834" i="1"/>
  <c r="D929" i="1"/>
  <c r="D897" i="1"/>
  <c r="D865" i="1"/>
  <c r="D805" i="1"/>
  <c r="D61" i="1"/>
  <c r="D230" i="1"/>
  <c r="D102" i="1"/>
  <c r="D841" i="1"/>
  <c r="D309" i="1"/>
  <c r="D277" i="1"/>
  <c r="D173" i="1"/>
  <c r="D546" i="1"/>
  <c r="D526" i="1"/>
  <c r="D482" i="1"/>
  <c r="D354" i="1"/>
  <c r="D621" i="1"/>
  <c r="D569" i="1"/>
  <c r="D545" i="1"/>
  <c r="D493" i="1"/>
  <c r="D441" i="1"/>
  <c r="D417" i="1"/>
  <c r="D337" i="1"/>
  <c r="D901" i="1"/>
  <c r="D793" i="1"/>
  <c r="D737" i="1"/>
  <c r="D278" i="1"/>
  <c r="D158" i="1"/>
  <c r="D837" i="1"/>
  <c r="D221" i="1"/>
  <c r="D101" i="1"/>
  <c r="D945" i="1"/>
  <c r="A945" i="1" s="1"/>
  <c r="D913" i="1"/>
  <c r="D881" i="1"/>
  <c r="D789" i="1"/>
  <c r="D753" i="1"/>
  <c r="D733" i="1"/>
  <c r="D302" i="1"/>
  <c r="D270" i="1"/>
  <c r="D206" i="1"/>
  <c r="D142" i="1"/>
  <c r="D70" i="1"/>
  <c r="D825" i="1"/>
  <c r="D213" i="1"/>
  <c r="D141" i="1"/>
  <c r="D85" i="1"/>
  <c r="D654" i="1"/>
  <c r="D606" i="1"/>
  <c r="D590" i="1"/>
  <c r="D566" i="1"/>
  <c r="D498" i="1"/>
  <c r="D438" i="1"/>
  <c r="D410" i="1"/>
  <c r="D318" i="1"/>
  <c r="D38" i="1"/>
  <c r="D6" i="1"/>
  <c r="D370" i="1"/>
  <c r="D665" i="1"/>
  <c r="D653" i="1"/>
  <c r="D641" i="1"/>
  <c r="D601" i="1"/>
  <c r="D589" i="1"/>
  <c r="D577" i="1"/>
  <c r="D537" i="1"/>
  <c r="D525" i="1"/>
  <c r="D513" i="1"/>
  <c r="D473" i="1"/>
  <c r="D461" i="1"/>
  <c r="D449" i="1"/>
  <c r="D409" i="1"/>
  <c r="D345" i="1"/>
  <c r="D329" i="1"/>
  <c r="D694" i="1"/>
  <c r="D682" i="1"/>
  <c r="D949" i="1"/>
  <c r="A949" i="1" s="1"/>
  <c r="D917" i="1"/>
  <c r="D885" i="1"/>
  <c r="D809" i="1"/>
  <c r="D777" i="1"/>
  <c r="D757" i="1"/>
  <c r="D721" i="1"/>
  <c r="D310" i="1"/>
  <c r="D254" i="1"/>
  <c r="D190" i="1"/>
  <c r="D126" i="1"/>
  <c r="D821" i="1"/>
  <c r="D253" i="1"/>
  <c r="D197" i="1"/>
  <c r="D133" i="1"/>
  <c r="D658" i="1"/>
  <c r="D594" i="1"/>
  <c r="D570" i="1"/>
  <c r="D550" i="1"/>
  <c r="D510" i="1"/>
  <c r="D486" i="1"/>
  <c r="D434" i="1"/>
  <c r="D342" i="1"/>
  <c r="D29" i="1"/>
  <c r="D349" i="1"/>
  <c r="D385" i="1"/>
  <c r="D369" i="1"/>
  <c r="D353" i="1"/>
  <c r="D946" i="1"/>
  <c r="A946" i="1" s="1"/>
  <c r="D918" i="1"/>
  <c r="D902" i="1"/>
  <c r="D890" i="1"/>
  <c r="D874" i="1"/>
  <c r="D862" i="1"/>
  <c r="D806" i="1"/>
  <c r="D782" i="1"/>
  <c r="D770" i="1"/>
  <c r="D742" i="1"/>
  <c r="D718" i="1"/>
  <c r="D706" i="1"/>
  <c r="D54" i="1"/>
  <c r="D850" i="1"/>
  <c r="D838" i="1"/>
  <c r="D826" i="1"/>
  <c r="D681" i="1"/>
  <c r="D669" i="1"/>
  <c r="D937" i="1"/>
  <c r="D905" i="1"/>
  <c r="D873" i="1"/>
  <c r="D781" i="1"/>
  <c r="D725" i="1"/>
  <c r="D246" i="1"/>
  <c r="D182" i="1"/>
  <c r="D118" i="1"/>
  <c r="D817" i="1"/>
  <c r="D261" i="1"/>
  <c r="D125" i="1"/>
  <c r="D618" i="1"/>
  <c r="D490" i="1"/>
  <c r="D454" i="1"/>
  <c r="D30" i="1"/>
  <c r="D366" i="1"/>
  <c r="D637" i="1"/>
  <c r="D585" i="1"/>
  <c r="D561" i="1"/>
  <c r="D509" i="1"/>
  <c r="D457" i="1"/>
  <c r="D445" i="1"/>
  <c r="D341" i="1"/>
  <c r="D690" i="1"/>
  <c r="D909" i="1"/>
  <c r="D801" i="1"/>
  <c r="D745" i="1"/>
  <c r="D238" i="1"/>
  <c r="D110" i="1"/>
  <c r="D237" i="1"/>
  <c r="D117" i="1"/>
  <c r="D562" i="1"/>
  <c r="D502" i="1"/>
  <c r="D446" i="1"/>
  <c r="D397" i="1"/>
  <c r="D381" i="1"/>
  <c r="D697" i="1"/>
  <c r="D870" i="1"/>
  <c r="D802" i="1"/>
  <c r="D754" i="1"/>
  <c r="D702" i="1"/>
  <c r="D822" i="1"/>
  <c r="D773" i="1"/>
  <c r="D717" i="1"/>
  <c r="D174" i="1"/>
  <c r="D245" i="1"/>
  <c r="D109" i="1"/>
  <c r="D630" i="1"/>
  <c r="D614" i="1"/>
  <c r="D22" i="1"/>
  <c r="D386" i="1"/>
  <c r="D633" i="1"/>
  <c r="D609" i="1"/>
  <c r="D557" i="1"/>
  <c r="D505" i="1"/>
  <c r="D481" i="1"/>
  <c r="D429" i="1"/>
  <c r="D321" i="1"/>
  <c r="D674" i="1"/>
  <c r="D933" i="1"/>
  <c r="D869" i="1"/>
  <c r="D705" i="1"/>
  <c r="D214" i="1"/>
  <c r="D94" i="1"/>
  <c r="D961" i="1"/>
  <c r="A961" i="1" s="1"/>
  <c r="D285" i="1"/>
  <c r="D165" i="1"/>
  <c r="D638" i="1"/>
  <c r="D404" i="1"/>
  <c r="D444" i="1"/>
  <c r="D540" i="1"/>
  <c r="D580" i="1"/>
  <c r="D644" i="1"/>
  <c r="D287" i="1"/>
  <c r="D303" i="1"/>
  <c r="D714" i="1"/>
  <c r="D778" i="1"/>
  <c r="D882" i="1"/>
  <c r="D377" i="1"/>
  <c r="D314" i="1"/>
  <c r="D716" i="1"/>
  <c r="D752" i="1"/>
  <c r="D812" i="1"/>
  <c r="D884" i="1"/>
  <c r="D916" i="1"/>
  <c r="D499" i="1"/>
  <c r="D384" i="1"/>
  <c r="D533" i="1"/>
  <c r="D661" i="1"/>
  <c r="D296" i="1"/>
  <c r="D312" i="1"/>
  <c r="D751" i="1"/>
  <c r="D767" i="1"/>
  <c r="D362" i="1"/>
  <c r="D691" i="1"/>
  <c r="D422" i="1"/>
  <c r="D470" i="1"/>
  <c r="D514" i="1"/>
  <c r="D586" i="1"/>
  <c r="D289" i="1"/>
  <c r="D359" i="1"/>
  <c r="D692" i="1"/>
  <c r="D319" i="1"/>
  <c r="D403" i="1"/>
  <c r="D463" i="1"/>
  <c r="D559" i="1"/>
  <c r="D591" i="1"/>
  <c r="D623" i="1"/>
  <c r="D659" i="1"/>
  <c r="D298" i="1"/>
  <c r="D372" i="1"/>
  <c r="D90" i="1"/>
  <c r="I90" i="1" s="1"/>
  <c r="D154" i="1"/>
  <c r="I154" i="1" s="1"/>
  <c r="D218" i="1"/>
  <c r="I218" i="1" s="1"/>
  <c r="D258" i="1"/>
  <c r="D24" i="1"/>
  <c r="I24" i="1" s="1"/>
  <c r="D75" i="1"/>
  <c r="D99" i="1"/>
  <c r="D127" i="1"/>
  <c r="D143" i="1"/>
  <c r="I143" i="1" s="1"/>
  <c r="D167" i="1"/>
  <c r="D211" i="1"/>
  <c r="I211" i="1" s="1"/>
  <c r="D243" i="1"/>
  <c r="I243" i="1" s="1"/>
  <c r="D89" i="1"/>
  <c r="I89" i="1" s="1"/>
  <c r="D129" i="1"/>
  <c r="I129" i="1" s="1"/>
  <c r="D193" i="1"/>
  <c r="I193" i="1" s="1"/>
  <c r="D265" i="1"/>
  <c r="I265" i="1" s="1"/>
  <c r="D15" i="1"/>
  <c r="D51" i="1"/>
  <c r="I51" i="1" s="1"/>
  <c r="D28" i="1"/>
  <c r="I28" i="1" s="1"/>
  <c r="D84" i="1"/>
  <c r="I84" i="1" s="1"/>
  <c r="D116" i="1"/>
  <c r="I116" i="1" s="1"/>
  <c r="D160" i="1"/>
  <c r="I160" i="1" s="1"/>
  <c r="D188" i="1"/>
  <c r="I188" i="1" s="1"/>
  <c r="D216" i="1"/>
  <c r="D244" i="1"/>
  <c r="I244" i="1" s="1"/>
  <c r="D260" i="1"/>
  <c r="D67" i="1"/>
  <c r="I67" i="1" s="1"/>
  <c r="D242" i="1"/>
  <c r="D420" i="1"/>
  <c r="D436" i="1"/>
  <c r="D484" i="1"/>
  <c r="D500" i="1"/>
  <c r="D548" i="1"/>
  <c r="D564" i="1"/>
  <c r="D612" i="1"/>
  <c r="D628" i="1"/>
  <c r="D652" i="1"/>
  <c r="D271" i="1"/>
  <c r="D730" i="1"/>
  <c r="D930" i="1"/>
  <c r="D671" i="1"/>
  <c r="D852" i="1"/>
  <c r="D414" i="1"/>
  <c r="D313" i="1"/>
  <c r="D768" i="1"/>
  <c r="D868" i="1"/>
  <c r="D900" i="1"/>
  <c r="D845" i="1"/>
  <c r="D339" i="1"/>
  <c r="D427" i="1"/>
  <c r="D491" i="1"/>
  <c r="D523" i="1"/>
  <c r="D555" i="1"/>
  <c r="D587" i="1"/>
  <c r="D619" i="1"/>
  <c r="D647" i="1"/>
  <c r="D827" i="1"/>
  <c r="D843" i="1"/>
  <c r="D613" i="1"/>
  <c r="D284" i="1"/>
  <c r="D300" i="1"/>
  <c r="D699" i="1"/>
  <c r="D715" i="1"/>
  <c r="D731" i="1"/>
  <c r="D747" i="1"/>
  <c r="D763" i="1"/>
  <c r="D779" i="1"/>
  <c r="D795" i="1"/>
  <c r="D811" i="1"/>
  <c r="D867" i="1"/>
  <c r="D883" i="1"/>
  <c r="D899" i="1"/>
  <c r="D915" i="1"/>
  <c r="D939" i="1"/>
  <c r="D955" i="1"/>
  <c r="A955" i="1" s="1"/>
  <c r="D390" i="1"/>
  <c r="D840" i="1"/>
  <c r="D402" i="1"/>
  <c r="D534" i="1"/>
  <c r="D700" i="1"/>
  <c r="D728" i="1"/>
  <c r="D756" i="1"/>
  <c r="D896" i="1"/>
  <c r="D928" i="1"/>
  <c r="D351" i="1"/>
  <c r="D383" i="1"/>
  <c r="D431" i="1"/>
  <c r="D447" i="1"/>
  <c r="D495" i="1"/>
  <c r="D511" i="1"/>
  <c r="D527" i="1"/>
  <c r="D643" i="1"/>
  <c r="D701" i="1"/>
  <c r="D813" i="1"/>
  <c r="D388" i="1"/>
  <c r="D82" i="1"/>
  <c r="I82" i="1" s="1"/>
  <c r="D114" i="1"/>
  <c r="I114" i="1" s="1"/>
  <c r="D146" i="1"/>
  <c r="I146" i="1" s="1"/>
  <c r="D178" i="1"/>
  <c r="I178" i="1" s="1"/>
  <c r="D210" i="1"/>
  <c r="I210" i="1" s="1"/>
  <c r="D32" i="1"/>
  <c r="I32" i="1" s="1"/>
  <c r="D71" i="1"/>
  <c r="D79" i="1"/>
  <c r="I79" i="1" s="1"/>
  <c r="D95" i="1"/>
  <c r="D103" i="1"/>
  <c r="D115" i="1"/>
  <c r="I115" i="1" s="1"/>
  <c r="D147" i="1"/>
  <c r="I147" i="1" s="1"/>
  <c r="D183" i="1"/>
  <c r="I183" i="1" s="1"/>
  <c r="D215" i="1"/>
  <c r="I215" i="1" s="1"/>
  <c r="D231" i="1"/>
  <c r="I231" i="1" s="1"/>
  <c r="D247" i="1"/>
  <c r="I247" i="1" s="1"/>
  <c r="D267" i="1"/>
  <c r="I267" i="1" s="1"/>
  <c r="D17" i="1"/>
  <c r="I17" i="1" s="1"/>
  <c r="D25" i="1"/>
  <c r="D81" i="1"/>
  <c r="I81" i="1" s="1"/>
  <c r="D113" i="1"/>
  <c r="I113" i="1" s="1"/>
  <c r="D121" i="1"/>
  <c r="D153" i="1"/>
  <c r="I153" i="1" s="1"/>
  <c r="D185" i="1"/>
  <c r="I185" i="1" s="1"/>
  <c r="D217" i="1"/>
  <c r="I217" i="1" s="1"/>
  <c r="D241" i="1"/>
  <c r="I241" i="1" s="1"/>
  <c r="D257" i="1"/>
  <c r="I257" i="1" s="1"/>
  <c r="D64" i="1"/>
  <c r="I64" i="1" s="1"/>
  <c r="D31" i="1"/>
  <c r="I31" i="1" s="1"/>
  <c r="D4" i="1"/>
  <c r="I4" i="1" s="1"/>
  <c r="D72" i="1"/>
  <c r="I72" i="1" s="1"/>
  <c r="D88" i="1"/>
  <c r="I88" i="1" s="1"/>
  <c r="D104" i="1"/>
  <c r="I104" i="1" s="1"/>
  <c r="D120" i="1"/>
  <c r="I120" i="1" s="1"/>
  <c r="D136" i="1"/>
  <c r="I136" i="1" s="1"/>
  <c r="D148" i="1"/>
  <c r="I148" i="1" s="1"/>
  <c r="D164" i="1"/>
  <c r="I164" i="1" s="1"/>
  <c r="D180" i="1"/>
  <c r="I180" i="1" s="1"/>
  <c r="D192" i="1"/>
  <c r="I192" i="1" s="1"/>
  <c r="D204" i="1"/>
  <c r="I204" i="1" s="1"/>
  <c r="D232" i="1"/>
  <c r="I232" i="1" s="1"/>
  <c r="D248" i="1"/>
  <c r="I248" i="1" s="1"/>
  <c r="D59" i="1"/>
  <c r="I59" i="1" s="1"/>
  <c r="D2" i="1"/>
  <c r="I2" i="1" s="1"/>
  <c r="D35" i="1"/>
  <c r="I35" i="1" s="1"/>
  <c r="D316" i="1"/>
  <c r="D332" i="1"/>
  <c r="D340" i="1"/>
  <c r="D348" i="1"/>
  <c r="D408" i="1"/>
  <c r="D416" i="1"/>
  <c r="D424" i="1"/>
  <c r="D432" i="1"/>
  <c r="D440" i="1"/>
  <c r="D448" i="1"/>
  <c r="D456" i="1"/>
  <c r="D464" i="1"/>
  <c r="D472" i="1"/>
  <c r="D480" i="1"/>
  <c r="D488" i="1"/>
  <c r="D496" i="1"/>
  <c r="D504" i="1"/>
  <c r="D512" i="1"/>
  <c r="D520" i="1"/>
  <c r="D528" i="1"/>
  <c r="D536" i="1"/>
  <c r="D544" i="1"/>
  <c r="D552" i="1"/>
  <c r="D560" i="1"/>
  <c r="D576" i="1"/>
  <c r="D592" i="1"/>
  <c r="D600" i="1"/>
  <c r="D608" i="1"/>
  <c r="D616" i="1"/>
  <c r="D624" i="1"/>
  <c r="D640" i="1"/>
  <c r="D656" i="1"/>
  <c r="D664" i="1"/>
  <c r="D275" i="1"/>
  <c r="D307" i="1"/>
  <c r="D758" i="1"/>
  <c r="D820" i="1"/>
  <c r="D836" i="1"/>
  <c r="D776" i="1"/>
  <c r="D792" i="1"/>
  <c r="D860" i="1"/>
  <c r="D876" i="1"/>
  <c r="D924" i="1"/>
  <c r="D956" i="1"/>
  <c r="A956" i="1" s="1"/>
  <c r="D363" i="1"/>
  <c r="D379" i="1"/>
  <c r="D395" i="1"/>
  <c r="D688" i="1"/>
  <c r="D323" i="1"/>
  <c r="D459" i="1"/>
  <c r="D571" i="1"/>
  <c r="D376" i="1"/>
  <c r="D392" i="1"/>
  <c r="D667" i="1"/>
  <c r="D421" i="1"/>
  <c r="D485" i="1"/>
  <c r="D501" i="1"/>
  <c r="D565" i="1"/>
  <c r="D629" i="1"/>
  <c r="D723" i="1"/>
  <c r="D923" i="1"/>
  <c r="D931" i="1"/>
  <c r="D683" i="1"/>
  <c r="D816" i="1"/>
  <c r="D832" i="1"/>
  <c r="D346" i="1"/>
  <c r="D466" i="1"/>
  <c r="D478" i="1"/>
  <c r="D522" i="1"/>
  <c r="D622" i="1"/>
  <c r="D642" i="1"/>
  <c r="D281" i="1"/>
  <c r="D744" i="1"/>
  <c r="D788" i="1"/>
  <c r="D804" i="1"/>
  <c r="D880" i="1"/>
  <c r="D367" i="1"/>
  <c r="D399" i="1"/>
  <c r="D315" i="1"/>
  <c r="D327" i="1"/>
  <c r="D343" i="1"/>
  <c r="D407" i="1"/>
  <c r="D423" i="1"/>
  <c r="D439" i="1"/>
  <c r="D455" i="1"/>
  <c r="D487" i="1"/>
  <c r="D503" i="1"/>
  <c r="D519" i="1"/>
  <c r="D535" i="1"/>
  <c r="D551" i="1"/>
  <c r="D567" i="1"/>
  <c r="D583" i="1"/>
  <c r="D599" i="1"/>
  <c r="D615" i="1"/>
  <c r="D631" i="1"/>
  <c r="D651" i="1"/>
  <c r="D282" i="1"/>
  <c r="D364" i="1"/>
  <c r="D380" i="1"/>
  <c r="D396" i="1"/>
  <c r="D732" i="1"/>
  <c r="D800" i="1"/>
  <c r="D932" i="1"/>
  <c r="D355" i="1"/>
  <c r="D387" i="1"/>
  <c r="D680" i="1"/>
  <c r="D515" i="1"/>
  <c r="D306" i="1"/>
  <c r="D368" i="1"/>
  <c r="D400" i="1"/>
  <c r="D517" i="1"/>
  <c r="D597" i="1"/>
  <c r="D374" i="1"/>
  <c r="D675" i="1"/>
  <c r="D824" i="1"/>
  <c r="D960" i="1"/>
  <c r="A960" i="1" s="1"/>
  <c r="D650" i="1"/>
  <c r="D720" i="1"/>
  <c r="D888" i="1"/>
  <c r="D952" i="1"/>
  <c r="A952" i="1" s="1"/>
  <c r="D415" i="1"/>
  <c r="D479" i="1"/>
  <c r="D543" i="1"/>
  <c r="D575" i="1"/>
  <c r="D607" i="1"/>
  <c r="D749" i="1"/>
  <c r="D352" i="1"/>
  <c r="D360" i="1"/>
  <c r="D122" i="1"/>
  <c r="I122" i="1" s="1"/>
  <c r="D186" i="1"/>
  <c r="I186" i="1" s="1"/>
  <c r="D48" i="1"/>
  <c r="I48" i="1" s="1"/>
  <c r="D91" i="1"/>
  <c r="I91" i="1" s="1"/>
  <c r="D111" i="1"/>
  <c r="I111" i="1" s="1"/>
  <c r="D135" i="1"/>
  <c r="D159" i="1"/>
  <c r="D179" i="1"/>
  <c r="I179" i="1" s="1"/>
  <c r="D227" i="1"/>
  <c r="I227" i="1" s="1"/>
  <c r="D58" i="1"/>
  <c r="I58" i="1" s="1"/>
  <c r="D33" i="1"/>
  <c r="I33" i="1" s="1"/>
  <c r="D161" i="1"/>
  <c r="I161" i="1" s="1"/>
  <c r="D225" i="1"/>
  <c r="I225" i="1" s="1"/>
  <c r="D60" i="1"/>
  <c r="I60" i="1" s="1"/>
  <c r="D52" i="1"/>
  <c r="I52" i="1" s="1"/>
  <c r="D100" i="1"/>
  <c r="I100" i="1" s="1"/>
  <c r="D132" i="1"/>
  <c r="I132" i="1" s="1"/>
  <c r="D176" i="1"/>
  <c r="I176" i="1" s="1"/>
  <c r="D200" i="1"/>
  <c r="I200" i="1" s="1"/>
  <c r="D228" i="1"/>
  <c r="I228" i="1" s="1"/>
  <c r="D55" i="1"/>
  <c r="I55" i="1" s="1"/>
  <c r="D10" i="1"/>
  <c r="I10" i="1" s="1"/>
  <c r="D23" i="1"/>
  <c r="I23" i="1" s="1"/>
  <c r="D693" i="1"/>
  <c r="D328" i="1"/>
  <c r="D344" i="1"/>
  <c r="D460" i="1"/>
  <c r="D524" i="1"/>
  <c r="D588" i="1"/>
  <c r="D604" i="1"/>
  <c r="D794" i="1"/>
  <c r="D687" i="1"/>
  <c r="D322" i="1"/>
  <c r="D297" i="1"/>
  <c r="D784" i="1"/>
  <c r="D948" i="1"/>
  <c r="A948" i="1" s="1"/>
  <c r="D371" i="1"/>
  <c r="D668" i="1"/>
  <c r="D696" i="1"/>
  <c r="D411" i="1"/>
  <c r="D443" i="1"/>
  <c r="D475" i="1"/>
  <c r="D507" i="1"/>
  <c r="D539" i="1"/>
  <c r="D603" i="1"/>
  <c r="D635" i="1"/>
  <c r="D663" i="1"/>
  <c r="D290" i="1"/>
  <c r="D819" i="1"/>
  <c r="D835" i="1"/>
  <c r="D851" i="1"/>
  <c r="D405" i="1"/>
  <c r="D469" i="1"/>
  <c r="D549" i="1"/>
  <c r="D276" i="1"/>
  <c r="D292" i="1"/>
  <c r="D308" i="1"/>
  <c r="D707" i="1"/>
  <c r="D739" i="1"/>
  <c r="D755" i="1"/>
  <c r="D771" i="1"/>
  <c r="D787" i="1"/>
  <c r="D803" i="1"/>
  <c r="D859" i="1"/>
  <c r="D875" i="1"/>
  <c r="D891" i="1"/>
  <c r="D907" i="1"/>
  <c r="D947" i="1"/>
  <c r="A947" i="1" s="1"/>
  <c r="D358" i="1"/>
  <c r="D378" i="1"/>
  <c r="D712" i="1"/>
  <c r="D772" i="1"/>
  <c r="D864" i="1"/>
  <c r="D912" i="1"/>
  <c r="D944" i="1"/>
  <c r="A944" i="1" s="1"/>
  <c r="D684" i="1"/>
  <c r="D335" i="1"/>
  <c r="D74" i="1"/>
  <c r="I74" i="1" s="1"/>
  <c r="D106" i="1"/>
  <c r="I106" i="1" s="1"/>
  <c r="D138" i="1"/>
  <c r="I138" i="1" s="1"/>
  <c r="D170" i="1"/>
  <c r="I170" i="1" s="1"/>
  <c r="D202" i="1"/>
  <c r="I202" i="1" s="1"/>
  <c r="D266" i="1"/>
  <c r="I266" i="1" s="1"/>
  <c r="D8" i="1"/>
  <c r="I8" i="1" s="1"/>
  <c r="D40" i="1"/>
  <c r="D83" i="1"/>
  <c r="I83" i="1" s="1"/>
  <c r="D119" i="1"/>
  <c r="I119" i="1" s="1"/>
  <c r="D151" i="1"/>
  <c r="I151" i="1" s="1"/>
  <c r="D171" i="1"/>
  <c r="I171" i="1" s="1"/>
  <c r="D187" i="1"/>
  <c r="I187" i="1" s="1"/>
  <c r="D195" i="1"/>
  <c r="D203" i="1"/>
  <c r="D219" i="1"/>
  <c r="I219" i="1" s="1"/>
  <c r="D235" i="1"/>
  <c r="I235" i="1" s="1"/>
  <c r="D251" i="1"/>
  <c r="I251" i="1" s="1"/>
  <c r="D259" i="1"/>
  <c r="D9" i="1"/>
  <c r="I9" i="1" s="1"/>
  <c r="D49" i="1"/>
  <c r="I49" i="1" s="1"/>
  <c r="D105" i="1"/>
  <c r="I105" i="1" s="1"/>
  <c r="D145" i="1"/>
  <c r="I145" i="1" s="1"/>
  <c r="D177" i="1"/>
  <c r="I177" i="1" s="1"/>
  <c r="D209" i="1"/>
  <c r="I209" i="1" s="1"/>
  <c r="D249" i="1"/>
  <c r="I249" i="1" s="1"/>
  <c r="D3" i="1"/>
  <c r="I3" i="1" s="1"/>
  <c r="D19" i="1"/>
  <c r="I19" i="1" s="1"/>
  <c r="D39" i="1"/>
  <c r="I39" i="1" s="1"/>
  <c r="D12" i="1"/>
  <c r="I12" i="1" s="1"/>
  <c r="D36" i="1"/>
  <c r="D76" i="1"/>
  <c r="I76" i="1" s="1"/>
  <c r="D92" i="1"/>
  <c r="I92" i="1" s="1"/>
  <c r="D108" i="1"/>
  <c r="I108" i="1" s="1"/>
  <c r="D124" i="1"/>
  <c r="I124" i="1" s="1"/>
  <c r="D140" i="1"/>
  <c r="I140" i="1" s="1"/>
  <c r="D152" i="1"/>
  <c r="I152" i="1" s="1"/>
  <c r="D168" i="1"/>
  <c r="I168" i="1" s="1"/>
  <c r="D184" i="1"/>
  <c r="D208" i="1"/>
  <c r="I208" i="1" s="1"/>
  <c r="D220" i="1"/>
  <c r="I220" i="1" s="1"/>
  <c r="D236" i="1"/>
  <c r="I236" i="1" s="1"/>
  <c r="D252" i="1"/>
  <c r="I252" i="1" s="1"/>
  <c r="D264" i="1"/>
  <c r="I264" i="1" s="1"/>
  <c r="D63" i="1"/>
  <c r="D68" i="1"/>
  <c r="I68" i="1" s="1"/>
  <c r="D47" i="1"/>
  <c r="I47" i="1" s="1"/>
  <c r="D250" i="1"/>
  <c r="I250" i="1" s="1"/>
  <c r="D73" i="1"/>
  <c r="I73" i="1" s="1"/>
  <c r="D324" i="1"/>
  <c r="D568" i="1"/>
  <c r="D584" i="1"/>
  <c r="D632" i="1"/>
  <c r="D648" i="1"/>
  <c r="D283" i="1"/>
  <c r="D291" i="1"/>
  <c r="D299" i="1"/>
  <c r="D734" i="1"/>
  <c r="D798" i="1"/>
  <c r="D866" i="1"/>
  <c r="D679" i="1"/>
  <c r="D695" i="1"/>
  <c r="D844" i="1"/>
  <c r="D406" i="1"/>
  <c r="D442" i="1"/>
  <c r="D458" i="1"/>
  <c r="D494" i="1"/>
  <c r="D558" i="1"/>
  <c r="D578" i="1"/>
  <c r="D704" i="1"/>
  <c r="D724" i="1"/>
  <c r="D740" i="1"/>
  <c r="D760" i="1"/>
  <c r="D808" i="1"/>
  <c r="D892" i="1"/>
  <c r="D908" i="1"/>
  <c r="D940" i="1"/>
  <c r="D676" i="1"/>
  <c r="D331" i="1"/>
  <c r="D347" i="1"/>
  <c r="D419" i="1"/>
  <c r="D435" i="1"/>
  <c r="D451" i="1"/>
  <c r="D467" i="1"/>
  <c r="D483" i="1"/>
  <c r="D531" i="1"/>
  <c r="D547" i="1"/>
  <c r="D563" i="1"/>
  <c r="D579" i="1"/>
  <c r="D595" i="1"/>
  <c r="D611" i="1"/>
  <c r="D627" i="1"/>
  <c r="D639" i="1"/>
  <c r="D655" i="1"/>
  <c r="D765" i="1"/>
  <c r="D686" i="1"/>
  <c r="D815" i="1"/>
  <c r="D823" i="1"/>
  <c r="D831" i="1"/>
  <c r="D839" i="1"/>
  <c r="D847" i="1"/>
  <c r="D959" i="1"/>
  <c r="A959" i="1" s="1"/>
  <c r="D437" i="1"/>
  <c r="D453" i="1"/>
  <c r="D581" i="1"/>
  <c r="D645" i="1"/>
  <c r="D272" i="1"/>
  <c r="D280" i="1"/>
  <c r="D288" i="1"/>
  <c r="D304" i="1"/>
  <c r="D703" i="1"/>
  <c r="D711" i="1"/>
  <c r="D719" i="1"/>
  <c r="D727" i="1"/>
  <c r="D735" i="1"/>
  <c r="D743" i="1"/>
  <c r="D759" i="1"/>
  <c r="D775" i="1"/>
  <c r="D783" i="1"/>
  <c r="D791" i="1"/>
  <c r="D799" i="1"/>
  <c r="D807" i="1"/>
  <c r="D855" i="1"/>
  <c r="D863" i="1"/>
  <c r="D871" i="1"/>
  <c r="D879" i="1"/>
  <c r="D887" i="1"/>
  <c r="D895" i="1"/>
  <c r="D903" i="1"/>
  <c r="D911" i="1"/>
  <c r="D919" i="1"/>
  <c r="D927" i="1"/>
  <c r="D935" i="1"/>
  <c r="D943" i="1"/>
  <c r="D951" i="1"/>
  <c r="A951" i="1" s="1"/>
  <c r="D394" i="1"/>
  <c r="D848" i="1"/>
  <c r="D330" i="1"/>
  <c r="D450" i="1"/>
  <c r="D598" i="1"/>
  <c r="D662" i="1"/>
  <c r="D273" i="1"/>
  <c r="D305" i="1"/>
  <c r="D708" i="1"/>
  <c r="D736" i="1"/>
  <c r="D748" i="1"/>
  <c r="D764" i="1"/>
  <c r="D780" i="1"/>
  <c r="D796" i="1"/>
  <c r="D856" i="1"/>
  <c r="D872" i="1"/>
  <c r="D904" i="1"/>
  <c r="D920" i="1"/>
  <c r="D936" i="1"/>
  <c r="D375" i="1"/>
  <c r="D391" i="1"/>
  <c r="D672" i="1"/>
  <c r="D471" i="1"/>
  <c r="D274" i="1"/>
  <c r="D356" i="1"/>
  <c r="A51" i="1"/>
  <c r="A104" i="1"/>
  <c r="A176" i="1"/>
  <c r="A10" i="1"/>
  <c r="A233" i="1"/>
  <c r="A47" i="1"/>
  <c r="A87" i="1"/>
  <c r="A8" i="1"/>
  <c r="A231" i="1"/>
  <c r="A239" i="1"/>
  <c r="A39" i="1"/>
  <c r="A4" i="1"/>
  <c r="A96" i="1"/>
  <c r="A160" i="1"/>
  <c r="A232" i="1"/>
  <c r="A16" i="1"/>
  <c r="A227" i="1"/>
  <c r="A235" i="1"/>
  <c r="A108" i="1"/>
  <c r="A192" i="1"/>
  <c r="A224" i="1"/>
  <c r="A74" i="1"/>
  <c r="A82" i="1"/>
  <c r="A90" i="1"/>
  <c r="A98" i="1"/>
  <c r="A106" i="1"/>
  <c r="A138" i="1"/>
  <c r="A154" i="1"/>
  <c r="A162" i="1"/>
  <c r="A226" i="1"/>
  <c r="A32" i="1"/>
  <c r="A83" i="1"/>
  <c r="A179" i="1"/>
  <c r="A187" i="1"/>
  <c r="A267" i="1"/>
  <c r="A58" i="1"/>
  <c r="A41" i="1"/>
  <c r="A97" i="1"/>
  <c r="A105" i="1"/>
  <c r="A113" i="1"/>
  <c r="A153" i="1"/>
  <c r="A161" i="1"/>
  <c r="A169" i="1"/>
  <c r="A185" i="1"/>
  <c r="A201" i="1"/>
  <c r="A209" i="1"/>
  <c r="A257" i="1"/>
  <c r="A56" i="1"/>
  <c r="A43" i="1"/>
  <c r="A20" i="1"/>
  <c r="A52" i="1"/>
  <c r="A119" i="1"/>
  <c r="A143" i="1"/>
  <c r="A175" i="1"/>
  <c r="A207" i="1"/>
  <c r="A215" i="1"/>
  <c r="A223" i="1"/>
  <c r="A12" i="1"/>
  <c r="A80" i="1"/>
  <c r="A112" i="1"/>
  <c r="A23" i="1"/>
  <c r="A130" i="1"/>
  <c r="A170" i="1"/>
  <c r="A194" i="1"/>
  <c r="A210" i="1"/>
  <c r="A91" i="1"/>
  <c r="A123" i="1"/>
  <c r="A155" i="1"/>
  <c r="A137" i="1"/>
  <c r="A31" i="1"/>
  <c r="A76" i="1"/>
  <c r="A124" i="1"/>
  <c r="A148" i="1"/>
  <c r="A156" i="1"/>
  <c r="A188" i="1"/>
  <c r="A212" i="1"/>
  <c r="A220" i="1"/>
  <c r="A252" i="1"/>
  <c r="A268" i="1"/>
  <c r="I516" i="1" l="1"/>
  <c r="I18" i="1"/>
  <c r="A263" i="1"/>
  <c r="A338" i="1"/>
  <c r="A279" i="1"/>
  <c r="A196" i="1"/>
  <c r="A131" i="1"/>
  <c r="A898" i="1"/>
  <c r="I726" i="1"/>
  <c r="A250" i="1"/>
  <c r="A116" i="1"/>
  <c r="A55" i="1"/>
  <c r="A17" i="1"/>
  <c r="A122" i="1"/>
  <c r="A44" i="1"/>
  <c r="A234" i="1"/>
  <c r="A244" i="1"/>
  <c r="A140" i="1"/>
  <c r="A100" i="1"/>
  <c r="A11" i="1"/>
  <c r="A114" i="1"/>
  <c r="A240" i="1"/>
  <c r="A183" i="1"/>
  <c r="A111" i="1"/>
  <c r="A225" i="1"/>
  <c r="A9" i="1"/>
  <c r="A219" i="1"/>
  <c r="A171" i="1"/>
  <c r="A164" i="1"/>
  <c r="A243" i="1"/>
  <c r="A264" i="1"/>
  <c r="A128" i="1"/>
  <c r="A241" i="1"/>
  <c r="A57" i="1"/>
  <c r="A35" i="1"/>
  <c r="A228" i="1"/>
  <c r="A180" i="1"/>
  <c r="A132" i="1"/>
  <c r="A84" i="1"/>
  <c r="A265" i="1"/>
  <c r="A107" i="1"/>
  <c r="A178" i="1"/>
  <c r="A65" i="1"/>
  <c r="A208" i="1"/>
  <c r="A24" i="1"/>
  <c r="A19" i="1"/>
  <c r="A217" i="1"/>
  <c r="A177" i="1"/>
  <c r="A145" i="1"/>
  <c r="A89" i="1"/>
  <c r="A66" i="1"/>
  <c r="A211" i="1"/>
  <c r="A248" i="1"/>
  <c r="A120" i="1"/>
  <c r="A256" i="1"/>
  <c r="A151" i="1"/>
  <c r="A3" i="1"/>
  <c r="A13" i="1"/>
  <c r="I13" i="1"/>
  <c r="I936" i="1"/>
  <c r="A936" i="1"/>
  <c r="I748" i="1"/>
  <c r="A748" i="1"/>
  <c r="I330" i="1"/>
  <c r="A330" i="1"/>
  <c r="I911" i="1"/>
  <c r="A911" i="1"/>
  <c r="I879" i="1"/>
  <c r="A879" i="1"/>
  <c r="I807" i="1"/>
  <c r="A807" i="1"/>
  <c r="I775" i="1"/>
  <c r="A775" i="1"/>
  <c r="I727" i="1"/>
  <c r="A727" i="1"/>
  <c r="I304" i="1"/>
  <c r="A304" i="1"/>
  <c r="I645" i="1"/>
  <c r="A645" i="1"/>
  <c r="I823" i="1"/>
  <c r="A823" i="1"/>
  <c r="I595" i="1"/>
  <c r="A595" i="1"/>
  <c r="I435" i="1"/>
  <c r="A435" i="1"/>
  <c r="I808" i="1"/>
  <c r="A808" i="1"/>
  <c r="I458" i="1"/>
  <c r="A458" i="1"/>
  <c r="I734" i="1"/>
  <c r="A734" i="1"/>
  <c r="I648" i="1"/>
  <c r="A648" i="1"/>
  <c r="I324" i="1"/>
  <c r="A324" i="1"/>
  <c r="I195" i="1"/>
  <c r="A195" i="1"/>
  <c r="I712" i="1"/>
  <c r="A712" i="1"/>
  <c r="I803" i="1"/>
  <c r="A803" i="1"/>
  <c r="I276" i="1"/>
  <c r="A276" i="1"/>
  <c r="I663" i="1"/>
  <c r="A663" i="1"/>
  <c r="I784" i="1"/>
  <c r="A784" i="1"/>
  <c r="I543" i="1"/>
  <c r="A543" i="1"/>
  <c r="I824" i="1"/>
  <c r="A824" i="1"/>
  <c r="I515" i="1"/>
  <c r="A515" i="1"/>
  <c r="I380" i="1"/>
  <c r="A380" i="1"/>
  <c r="I567" i="1"/>
  <c r="A567" i="1"/>
  <c r="I423" i="1"/>
  <c r="A423" i="1"/>
  <c r="I804" i="1"/>
  <c r="A804" i="1"/>
  <c r="I466" i="1"/>
  <c r="A466" i="1"/>
  <c r="I629" i="1"/>
  <c r="A629" i="1"/>
  <c r="I571" i="1"/>
  <c r="A571" i="1"/>
  <c r="I924" i="1"/>
  <c r="A924" i="1"/>
  <c r="I307" i="1"/>
  <c r="A307" i="1"/>
  <c r="I600" i="1"/>
  <c r="A600" i="1"/>
  <c r="I520" i="1"/>
  <c r="A520" i="1"/>
  <c r="I456" i="1"/>
  <c r="A456" i="1"/>
  <c r="I424" i="1"/>
  <c r="A424" i="1"/>
  <c r="I340" i="1"/>
  <c r="A340" i="1"/>
  <c r="I527" i="1"/>
  <c r="A527" i="1"/>
  <c r="I431" i="1"/>
  <c r="A431" i="1"/>
  <c r="I896" i="1"/>
  <c r="A896" i="1"/>
  <c r="I534" i="1"/>
  <c r="A534" i="1"/>
  <c r="I883" i="1"/>
  <c r="A883" i="1"/>
  <c r="I715" i="1"/>
  <c r="A715" i="1"/>
  <c r="I619" i="1"/>
  <c r="A619" i="1"/>
  <c r="I900" i="1"/>
  <c r="A900" i="1"/>
  <c r="I730" i="1"/>
  <c r="A730" i="1"/>
  <c r="I99" i="1"/>
  <c r="A99" i="1"/>
  <c r="I298" i="1"/>
  <c r="A298" i="1"/>
  <c r="I692" i="1"/>
  <c r="A692" i="1"/>
  <c r="I362" i="1"/>
  <c r="A362" i="1"/>
  <c r="I499" i="1"/>
  <c r="A499" i="1"/>
  <c r="A882" i="1"/>
  <c r="I882" i="1"/>
  <c r="I444" i="1"/>
  <c r="A444" i="1"/>
  <c r="A705" i="1"/>
  <c r="I705" i="1"/>
  <c r="A557" i="1"/>
  <c r="I557" i="1"/>
  <c r="A245" i="1"/>
  <c r="I245" i="1"/>
  <c r="A870" i="1"/>
  <c r="I870" i="1"/>
  <c r="A237" i="1"/>
  <c r="I237" i="1"/>
  <c r="A445" i="1"/>
  <c r="I445" i="1"/>
  <c r="A454" i="1"/>
  <c r="I454" i="1"/>
  <c r="I246" i="1"/>
  <c r="A246" i="1"/>
  <c r="A826" i="1"/>
  <c r="I826" i="1"/>
  <c r="A782" i="1"/>
  <c r="I782" i="1"/>
  <c r="A353" i="1"/>
  <c r="I353" i="1"/>
  <c r="A510" i="1"/>
  <c r="I510" i="1"/>
  <c r="A821" i="1"/>
  <c r="I821" i="1"/>
  <c r="A809" i="1"/>
  <c r="I809" i="1"/>
  <c r="A409" i="1"/>
  <c r="I409" i="1"/>
  <c r="A589" i="1"/>
  <c r="I589" i="1"/>
  <c r="A318" i="1"/>
  <c r="I318" i="1"/>
  <c r="I85" i="1"/>
  <c r="A85" i="1"/>
  <c r="A302" i="1"/>
  <c r="I302" i="1"/>
  <c r="I221" i="1"/>
  <c r="A221" i="1"/>
  <c r="A417" i="1"/>
  <c r="I417" i="1"/>
  <c r="A526" i="1"/>
  <c r="I526" i="1"/>
  <c r="I61" i="1"/>
  <c r="A61" i="1"/>
  <c r="A766" i="1"/>
  <c r="I766" i="1"/>
  <c r="A542" i="1"/>
  <c r="I542" i="1"/>
  <c r="A941" i="1"/>
  <c r="I941" i="1"/>
  <c r="A649" i="1"/>
  <c r="I649" i="1"/>
  <c r="I189" i="1"/>
  <c r="A189" i="1"/>
  <c r="A62" i="1"/>
  <c r="I62" i="1"/>
  <c r="A774" i="1"/>
  <c r="I774" i="1"/>
  <c r="A894" i="1"/>
  <c r="I894" i="1"/>
  <c r="A5" i="1"/>
  <c r="I5" i="1"/>
  <c r="A477" i="1"/>
  <c r="I477" i="1"/>
  <c r="A657" i="1"/>
  <c r="I657" i="1"/>
  <c r="A610" i="1"/>
  <c r="I610" i="1"/>
  <c r="A286" i="1"/>
  <c r="I286" i="1"/>
  <c r="A361" i="1"/>
  <c r="I361" i="1"/>
  <c r="I846" i="1"/>
  <c r="A846" i="1"/>
  <c r="A147" i="1"/>
  <c r="A68" i="1"/>
  <c r="A247" i="1"/>
  <c r="A48" i="1"/>
  <c r="A88" i="1"/>
  <c r="I920" i="1"/>
  <c r="A920" i="1"/>
  <c r="I736" i="1"/>
  <c r="A736" i="1"/>
  <c r="I848" i="1"/>
  <c r="A848" i="1"/>
  <c r="I903" i="1"/>
  <c r="A903" i="1"/>
  <c r="I799" i="1"/>
  <c r="A799" i="1"/>
  <c r="I719" i="1"/>
  <c r="A719" i="1"/>
  <c r="I581" i="1"/>
  <c r="A581" i="1"/>
  <c r="I815" i="1"/>
  <c r="A815" i="1"/>
  <c r="I579" i="1"/>
  <c r="A579" i="1"/>
  <c r="I419" i="1"/>
  <c r="A419" i="1"/>
  <c r="I760" i="1"/>
  <c r="A760" i="1"/>
  <c r="I442" i="1"/>
  <c r="A442" i="1"/>
  <c r="I63" i="1"/>
  <c r="A63" i="1"/>
  <c r="I912" i="1"/>
  <c r="A912" i="1"/>
  <c r="I891" i="1"/>
  <c r="A891" i="1"/>
  <c r="I707" i="1"/>
  <c r="A707" i="1"/>
  <c r="I835" i="1"/>
  <c r="A835" i="1"/>
  <c r="I475" i="1"/>
  <c r="A475" i="1"/>
  <c r="I668" i="1"/>
  <c r="A668" i="1"/>
  <c r="I604" i="1"/>
  <c r="A604" i="1"/>
  <c r="I344" i="1"/>
  <c r="A344" i="1"/>
  <c r="I135" i="1"/>
  <c r="A135" i="1"/>
  <c r="I479" i="1"/>
  <c r="A479" i="1"/>
  <c r="I675" i="1"/>
  <c r="A675" i="1"/>
  <c r="I680" i="1"/>
  <c r="A680" i="1"/>
  <c r="I364" i="1"/>
  <c r="A364" i="1"/>
  <c r="I551" i="1"/>
  <c r="A551" i="1"/>
  <c r="I407" i="1"/>
  <c r="A407" i="1"/>
  <c r="I788" i="1"/>
  <c r="A788" i="1"/>
  <c r="I622" i="1"/>
  <c r="A622" i="1"/>
  <c r="I931" i="1"/>
  <c r="A931" i="1"/>
  <c r="I667" i="1"/>
  <c r="A667" i="1"/>
  <c r="I379" i="1"/>
  <c r="A379" i="1"/>
  <c r="I836" i="1"/>
  <c r="A836" i="1"/>
  <c r="I624" i="1"/>
  <c r="A624" i="1"/>
  <c r="I544" i="1"/>
  <c r="A544" i="1"/>
  <c r="I480" i="1"/>
  <c r="A480" i="1"/>
  <c r="I416" i="1"/>
  <c r="A416" i="1"/>
  <c r="I332" i="1"/>
  <c r="A332" i="1"/>
  <c r="I25" i="1"/>
  <c r="A25" i="1"/>
  <c r="I71" i="1"/>
  <c r="A71" i="1"/>
  <c r="I813" i="1"/>
  <c r="A813" i="1"/>
  <c r="I383" i="1"/>
  <c r="A383" i="1"/>
  <c r="I402" i="1"/>
  <c r="A402" i="1"/>
  <c r="I867" i="1"/>
  <c r="A867" i="1"/>
  <c r="I699" i="1"/>
  <c r="A699" i="1"/>
  <c r="I587" i="1"/>
  <c r="A587" i="1"/>
  <c r="I868" i="1"/>
  <c r="A868" i="1"/>
  <c r="I271" i="1"/>
  <c r="A271" i="1"/>
  <c r="I167" i="1"/>
  <c r="A167" i="1"/>
  <c r="I75" i="1"/>
  <c r="A75" i="1"/>
  <c r="I659" i="1"/>
  <c r="A659" i="1"/>
  <c r="I359" i="1"/>
  <c r="A359" i="1"/>
  <c r="I767" i="1"/>
  <c r="A767" i="1"/>
  <c r="A429" i="1"/>
  <c r="I429" i="1"/>
  <c r="A614" i="1"/>
  <c r="I614" i="1"/>
  <c r="A702" i="1"/>
  <c r="I702" i="1"/>
  <c r="A502" i="1"/>
  <c r="I502" i="1"/>
  <c r="A909" i="1"/>
  <c r="I909" i="1"/>
  <c r="A637" i="1"/>
  <c r="I637" i="1"/>
  <c r="A817" i="1"/>
  <c r="I817" i="1"/>
  <c r="A937" i="1"/>
  <c r="I937" i="1"/>
  <c r="A718" i="1"/>
  <c r="I718" i="1"/>
  <c r="A902" i="1"/>
  <c r="I902" i="1"/>
  <c r="A342" i="1"/>
  <c r="I342" i="1"/>
  <c r="A133" i="1"/>
  <c r="I133" i="1"/>
  <c r="A721" i="1"/>
  <c r="I721" i="1"/>
  <c r="A694" i="1"/>
  <c r="I694" i="1"/>
  <c r="A525" i="1"/>
  <c r="I525" i="1"/>
  <c r="A370" i="1"/>
  <c r="I370" i="1"/>
  <c r="A590" i="1"/>
  <c r="I590" i="1"/>
  <c r="A142" i="1"/>
  <c r="I142" i="1"/>
  <c r="A913" i="1"/>
  <c r="I913" i="1"/>
  <c r="A793" i="1"/>
  <c r="I793" i="1"/>
  <c r="A621" i="1"/>
  <c r="I621" i="1"/>
  <c r="A841" i="1"/>
  <c r="I841" i="1"/>
  <c r="A834" i="1"/>
  <c r="I834" i="1"/>
  <c r="A365" i="1"/>
  <c r="I365" i="1"/>
  <c r="A713" i="1"/>
  <c r="I713" i="1"/>
  <c r="A521" i="1"/>
  <c r="I521" i="1"/>
  <c r="A602" i="1"/>
  <c r="I602" i="1"/>
  <c r="A814" i="1"/>
  <c r="I814" i="1"/>
  <c r="A786" i="1"/>
  <c r="I786" i="1"/>
  <c r="A357" i="1"/>
  <c r="I357" i="1"/>
  <c r="A626" i="1"/>
  <c r="I626" i="1"/>
  <c r="A78" i="1"/>
  <c r="I78" i="1"/>
  <c r="A861" i="1"/>
  <c r="I861" i="1"/>
  <c r="A413" i="1"/>
  <c r="I413" i="1"/>
  <c r="A593" i="1"/>
  <c r="I593" i="1"/>
  <c r="A506" i="1"/>
  <c r="I506" i="1"/>
  <c r="A926" i="1"/>
  <c r="I926" i="1"/>
  <c r="I468" i="1"/>
  <c r="A468" i="1"/>
  <c r="A689" i="1"/>
  <c r="I689" i="1"/>
  <c r="A7" i="1"/>
  <c r="A172" i="1"/>
  <c r="A92" i="1"/>
  <c r="A49" i="1"/>
  <c r="A146" i="1"/>
  <c r="A73" i="1"/>
  <c r="A2" i="1"/>
  <c r="A79" i="1"/>
  <c r="A249" i="1"/>
  <c r="A129" i="1"/>
  <c r="A202" i="1"/>
  <c r="A152" i="1"/>
  <c r="A60" i="1"/>
  <c r="A136" i="1"/>
  <c r="I356" i="1"/>
  <c r="A356" i="1"/>
  <c r="I391" i="1"/>
  <c r="A391" i="1"/>
  <c r="I904" i="1"/>
  <c r="A904" i="1"/>
  <c r="I780" i="1"/>
  <c r="A780" i="1"/>
  <c r="I708" i="1"/>
  <c r="A708" i="1"/>
  <c r="I598" i="1"/>
  <c r="A598" i="1"/>
  <c r="I394" i="1"/>
  <c r="A394" i="1"/>
  <c r="I927" i="1"/>
  <c r="A927" i="1"/>
  <c r="I895" i="1"/>
  <c r="A895" i="1"/>
  <c r="I863" i="1"/>
  <c r="A863" i="1"/>
  <c r="I791" i="1"/>
  <c r="A791" i="1"/>
  <c r="I743" i="1"/>
  <c r="A743" i="1"/>
  <c r="I711" i="1"/>
  <c r="A711" i="1"/>
  <c r="I280" i="1"/>
  <c r="A280" i="1"/>
  <c r="I453" i="1"/>
  <c r="A453" i="1"/>
  <c r="I839" i="1"/>
  <c r="A839" i="1"/>
  <c r="I686" i="1"/>
  <c r="A686" i="1"/>
  <c r="I627" i="1"/>
  <c r="A627" i="1"/>
  <c r="I563" i="1"/>
  <c r="A563" i="1"/>
  <c r="I467" i="1"/>
  <c r="A467" i="1"/>
  <c r="I347" i="1"/>
  <c r="A347" i="1"/>
  <c r="I908" i="1"/>
  <c r="A908" i="1"/>
  <c r="I740" i="1"/>
  <c r="A740" i="1"/>
  <c r="I558" i="1"/>
  <c r="A558" i="1"/>
  <c r="I406" i="1"/>
  <c r="A406" i="1"/>
  <c r="I866" i="1"/>
  <c r="A866" i="1"/>
  <c r="I291" i="1"/>
  <c r="A291" i="1"/>
  <c r="I584" i="1"/>
  <c r="A584" i="1"/>
  <c r="I40" i="1"/>
  <c r="A40" i="1"/>
  <c r="I335" i="1"/>
  <c r="A335" i="1"/>
  <c r="I864" i="1"/>
  <c r="A864" i="1"/>
  <c r="I358" i="1"/>
  <c r="A358" i="1"/>
  <c r="I875" i="1"/>
  <c r="A875" i="1"/>
  <c r="I771" i="1"/>
  <c r="A771" i="1"/>
  <c r="I308" i="1"/>
  <c r="A308" i="1"/>
  <c r="I469" i="1"/>
  <c r="A469" i="1"/>
  <c r="I819" i="1"/>
  <c r="A819" i="1"/>
  <c r="I603" i="1"/>
  <c r="A603" i="1"/>
  <c r="I443" i="1"/>
  <c r="A443" i="1"/>
  <c r="I371" i="1"/>
  <c r="A371" i="1"/>
  <c r="I322" i="1"/>
  <c r="A322" i="1"/>
  <c r="I588" i="1"/>
  <c r="A588" i="1"/>
  <c r="I328" i="1"/>
  <c r="A328" i="1"/>
  <c r="I607" i="1"/>
  <c r="A607" i="1"/>
  <c r="I415" i="1"/>
  <c r="A415" i="1"/>
  <c r="I650" i="1"/>
  <c r="A650" i="1"/>
  <c r="I374" i="1"/>
  <c r="A374" i="1"/>
  <c r="I368" i="1"/>
  <c r="A368" i="1"/>
  <c r="I387" i="1"/>
  <c r="A387" i="1"/>
  <c r="I732" i="1"/>
  <c r="A732" i="1"/>
  <c r="I282" i="1"/>
  <c r="A282" i="1"/>
  <c r="I599" i="1"/>
  <c r="A599" i="1"/>
  <c r="I535" i="1"/>
  <c r="A535" i="1"/>
  <c r="I455" i="1"/>
  <c r="A455" i="1"/>
  <c r="I343" i="1"/>
  <c r="A343" i="1"/>
  <c r="I367" i="1"/>
  <c r="A367" i="1"/>
  <c r="I744" i="1"/>
  <c r="A744" i="1"/>
  <c r="I522" i="1"/>
  <c r="A522" i="1"/>
  <c r="I832" i="1"/>
  <c r="A832" i="1"/>
  <c r="I923" i="1"/>
  <c r="A923" i="1"/>
  <c r="I501" i="1"/>
  <c r="A501" i="1"/>
  <c r="I392" i="1"/>
  <c r="A392" i="1"/>
  <c r="I323" i="1"/>
  <c r="A323" i="1"/>
  <c r="I363" i="1"/>
  <c r="A363" i="1"/>
  <c r="I860" i="1"/>
  <c r="A860" i="1"/>
  <c r="I820" i="1"/>
  <c r="A820" i="1"/>
  <c r="I664" i="1"/>
  <c r="A664" i="1"/>
  <c r="I616" i="1"/>
  <c r="A616" i="1"/>
  <c r="I576" i="1"/>
  <c r="A576" i="1"/>
  <c r="I536" i="1"/>
  <c r="A536" i="1"/>
  <c r="I504" i="1"/>
  <c r="A504" i="1"/>
  <c r="I472" i="1"/>
  <c r="A472" i="1"/>
  <c r="I440" i="1"/>
  <c r="A440" i="1"/>
  <c r="I408" i="1"/>
  <c r="A408" i="1"/>
  <c r="I316" i="1"/>
  <c r="A316" i="1"/>
  <c r="I121" i="1"/>
  <c r="A121" i="1"/>
  <c r="I103" i="1"/>
  <c r="A103" i="1"/>
  <c r="I701" i="1"/>
  <c r="A701" i="1"/>
  <c r="I495" i="1"/>
  <c r="A495" i="1"/>
  <c r="I351" i="1"/>
  <c r="A351" i="1"/>
  <c r="I728" i="1"/>
  <c r="A728" i="1"/>
  <c r="I840" i="1"/>
  <c r="A840" i="1"/>
  <c r="I915" i="1"/>
  <c r="A915" i="1"/>
  <c r="I811" i="1"/>
  <c r="A811" i="1"/>
  <c r="I747" i="1"/>
  <c r="A747" i="1"/>
  <c r="I300" i="1"/>
  <c r="A300" i="1"/>
  <c r="I827" i="1"/>
  <c r="A827" i="1"/>
  <c r="I555" i="1"/>
  <c r="A555" i="1"/>
  <c r="I339" i="1"/>
  <c r="A339" i="1"/>
  <c r="I768" i="1"/>
  <c r="A768" i="1"/>
  <c r="I671" i="1"/>
  <c r="A671" i="1"/>
  <c r="I652" i="1"/>
  <c r="A652" i="1"/>
  <c r="I548" i="1"/>
  <c r="A548" i="1"/>
  <c r="I420" i="1"/>
  <c r="A420" i="1"/>
  <c r="I15" i="1"/>
  <c r="A15" i="1"/>
  <c r="I623" i="1"/>
  <c r="A623" i="1"/>
  <c r="I403" i="1"/>
  <c r="A403" i="1"/>
  <c r="I289" i="1"/>
  <c r="A289" i="1"/>
  <c r="I422" i="1"/>
  <c r="A422" i="1"/>
  <c r="I751" i="1"/>
  <c r="A751" i="1"/>
  <c r="I533" i="1"/>
  <c r="A533" i="1"/>
  <c r="I884" i="1"/>
  <c r="A884" i="1"/>
  <c r="I314" i="1"/>
  <c r="A314" i="1"/>
  <c r="I714" i="1"/>
  <c r="A714" i="1"/>
  <c r="I580" i="1"/>
  <c r="A580" i="1"/>
  <c r="A638" i="1"/>
  <c r="I638" i="1"/>
  <c r="A94" i="1"/>
  <c r="I94" i="1"/>
  <c r="A933" i="1"/>
  <c r="I933" i="1"/>
  <c r="A481" i="1"/>
  <c r="I481" i="1"/>
  <c r="A633" i="1"/>
  <c r="I633" i="1"/>
  <c r="A630" i="1"/>
  <c r="I630" i="1"/>
  <c r="A717" i="1"/>
  <c r="I717" i="1"/>
  <c r="A754" i="1"/>
  <c r="I754" i="1"/>
  <c r="A381" i="1"/>
  <c r="I381" i="1"/>
  <c r="A562" i="1"/>
  <c r="I562" i="1"/>
  <c r="A238" i="1"/>
  <c r="I238" i="1"/>
  <c r="A690" i="1"/>
  <c r="I690" i="1"/>
  <c r="A509" i="1"/>
  <c r="I509" i="1"/>
  <c r="A366" i="1"/>
  <c r="I366" i="1"/>
  <c r="A618" i="1"/>
  <c r="I618" i="1"/>
  <c r="I118" i="1"/>
  <c r="A118" i="1"/>
  <c r="A781" i="1"/>
  <c r="I781" i="1"/>
  <c r="A669" i="1"/>
  <c r="I669" i="1"/>
  <c r="A850" i="1"/>
  <c r="I850" i="1"/>
  <c r="A742" i="1"/>
  <c r="I742" i="1"/>
  <c r="A862" i="1"/>
  <c r="I862" i="1"/>
  <c r="A918" i="1"/>
  <c r="I918" i="1"/>
  <c r="A385" i="1"/>
  <c r="I385" i="1"/>
  <c r="A434" i="1"/>
  <c r="I434" i="1"/>
  <c r="A570" i="1"/>
  <c r="I570" i="1"/>
  <c r="A197" i="1"/>
  <c r="I197" i="1"/>
  <c r="A190" i="1"/>
  <c r="I190" i="1"/>
  <c r="A757" i="1"/>
  <c r="I757" i="1"/>
  <c r="A917" i="1"/>
  <c r="I917" i="1"/>
  <c r="A329" i="1"/>
  <c r="I329" i="1"/>
  <c r="A461" i="1"/>
  <c r="I461" i="1"/>
  <c r="A537" i="1"/>
  <c r="I537" i="1"/>
  <c r="A641" i="1"/>
  <c r="I641" i="1"/>
  <c r="I6" i="1"/>
  <c r="A6" i="1"/>
  <c r="A438" i="1"/>
  <c r="I438" i="1"/>
  <c r="A606" i="1"/>
  <c r="I606" i="1"/>
  <c r="A213" i="1"/>
  <c r="I213" i="1"/>
  <c r="A206" i="1"/>
  <c r="I206" i="1"/>
  <c r="A753" i="1"/>
  <c r="I753" i="1"/>
  <c r="A158" i="1"/>
  <c r="I158" i="1"/>
  <c r="A901" i="1"/>
  <c r="I901" i="1"/>
  <c r="A493" i="1"/>
  <c r="I493" i="1"/>
  <c r="A354" i="1"/>
  <c r="I354" i="1"/>
  <c r="A173" i="1"/>
  <c r="I173" i="1"/>
  <c r="I102" i="1"/>
  <c r="A102" i="1"/>
  <c r="A865" i="1"/>
  <c r="I865" i="1"/>
  <c r="C6" i="1"/>
  <c r="A962" i="1"/>
  <c r="A886" i="1"/>
  <c r="I886" i="1"/>
  <c r="I21" i="1"/>
  <c r="A21" i="1"/>
  <c r="A646" i="1"/>
  <c r="I646" i="1"/>
  <c r="A769" i="1"/>
  <c r="I769" i="1"/>
  <c r="A325" i="1"/>
  <c r="I325" i="1"/>
  <c r="A573" i="1"/>
  <c r="I573" i="1"/>
  <c r="A334" i="1"/>
  <c r="I334" i="1"/>
  <c r="A634" i="1"/>
  <c r="I634" i="1"/>
  <c r="A853" i="1"/>
  <c r="I853" i="1"/>
  <c r="A842" i="1"/>
  <c r="I842" i="1"/>
  <c r="A722" i="1"/>
  <c r="I722" i="1"/>
  <c r="A810" i="1"/>
  <c r="I810" i="1"/>
  <c r="A922" i="1"/>
  <c r="I922" i="1"/>
  <c r="A373" i="1"/>
  <c r="I373" i="1"/>
  <c r="A326" i="1"/>
  <c r="I326" i="1"/>
  <c r="A77" i="1"/>
  <c r="I77" i="1"/>
  <c r="A301" i="1"/>
  <c r="I301" i="1"/>
  <c r="A134" i="1"/>
  <c r="I134" i="1"/>
  <c r="A53" i="1"/>
  <c r="I53" i="1"/>
  <c r="A893" i="1"/>
  <c r="I893" i="1"/>
  <c r="A317" i="1"/>
  <c r="I317" i="1"/>
  <c r="A425" i="1"/>
  <c r="I425" i="1"/>
  <c r="A529" i="1"/>
  <c r="I529" i="1"/>
  <c r="A605" i="1"/>
  <c r="I605" i="1"/>
  <c r="A382" i="1"/>
  <c r="I382" i="1"/>
  <c r="A538" i="1"/>
  <c r="I538" i="1"/>
  <c r="I157" i="1"/>
  <c r="A157" i="1"/>
  <c r="I150" i="1"/>
  <c r="A150" i="1"/>
  <c r="A709" i="1"/>
  <c r="I709" i="1"/>
  <c r="A857" i="1"/>
  <c r="I857" i="1"/>
  <c r="I1" i="1"/>
  <c r="A1" i="1"/>
  <c r="C5" i="1"/>
  <c r="A762" i="1"/>
  <c r="I762" i="1"/>
  <c r="I428" i="1"/>
  <c r="A428" i="1"/>
  <c r="I471" i="1"/>
  <c r="A471" i="1"/>
  <c r="I856" i="1"/>
  <c r="A856" i="1"/>
  <c r="I273" i="1"/>
  <c r="A273" i="1"/>
  <c r="I943" i="1"/>
  <c r="A943" i="1"/>
  <c r="I655" i="1"/>
  <c r="A655" i="1"/>
  <c r="I531" i="1"/>
  <c r="A531" i="1"/>
  <c r="I676" i="1"/>
  <c r="A676" i="1"/>
  <c r="I704" i="1"/>
  <c r="A704" i="1"/>
  <c r="I695" i="1"/>
  <c r="A695" i="1"/>
  <c r="I907" i="1"/>
  <c r="A907" i="1"/>
  <c r="I739" i="1"/>
  <c r="A739" i="1"/>
  <c r="I851" i="1"/>
  <c r="A851" i="1"/>
  <c r="I507" i="1"/>
  <c r="A507" i="1"/>
  <c r="I696" i="1"/>
  <c r="A696" i="1"/>
  <c r="I794" i="1"/>
  <c r="A794" i="1"/>
  <c r="I460" i="1"/>
  <c r="A460" i="1"/>
  <c r="I159" i="1"/>
  <c r="A159" i="1"/>
  <c r="I352" i="1"/>
  <c r="A352" i="1"/>
  <c r="I888" i="1"/>
  <c r="A888" i="1"/>
  <c r="I517" i="1"/>
  <c r="A517" i="1"/>
  <c r="I932" i="1"/>
  <c r="A932" i="1"/>
  <c r="I631" i="1"/>
  <c r="A631" i="1"/>
  <c r="I503" i="1"/>
  <c r="A503" i="1"/>
  <c r="I315" i="1"/>
  <c r="A315" i="1"/>
  <c r="I642" i="1"/>
  <c r="A642" i="1"/>
  <c r="I683" i="1"/>
  <c r="A683" i="1"/>
  <c r="I421" i="1"/>
  <c r="A421" i="1"/>
  <c r="I395" i="1"/>
  <c r="A395" i="1"/>
  <c r="I776" i="1"/>
  <c r="A776" i="1"/>
  <c r="I640" i="1"/>
  <c r="A640" i="1"/>
  <c r="I552" i="1"/>
  <c r="A552" i="1"/>
  <c r="I488" i="1"/>
  <c r="A488" i="1"/>
  <c r="I388" i="1"/>
  <c r="A388" i="1"/>
  <c r="I779" i="1"/>
  <c r="A779" i="1"/>
  <c r="I613" i="1"/>
  <c r="A613" i="1"/>
  <c r="I491" i="1"/>
  <c r="A491" i="1"/>
  <c r="I414" i="1"/>
  <c r="A414" i="1"/>
  <c r="I612" i="1"/>
  <c r="A612" i="1"/>
  <c r="I484" i="1"/>
  <c r="A484" i="1"/>
  <c r="I559" i="1"/>
  <c r="A559" i="1"/>
  <c r="I514" i="1"/>
  <c r="A514" i="1"/>
  <c r="I296" i="1"/>
  <c r="A296" i="1"/>
  <c r="I752" i="1"/>
  <c r="A752" i="1"/>
  <c r="I287" i="1"/>
  <c r="A287" i="1"/>
  <c r="A285" i="1"/>
  <c r="I285" i="1"/>
  <c r="A321" i="1"/>
  <c r="I321" i="1"/>
  <c r="A22" i="1"/>
  <c r="I22" i="1"/>
  <c r="A822" i="1"/>
  <c r="I822" i="1"/>
  <c r="A446" i="1"/>
  <c r="I446" i="1"/>
  <c r="A801" i="1"/>
  <c r="I801" i="1"/>
  <c r="A585" i="1"/>
  <c r="I585" i="1"/>
  <c r="I261" i="1"/>
  <c r="A261" i="1"/>
  <c r="A905" i="1"/>
  <c r="I905" i="1"/>
  <c r="A706" i="1"/>
  <c r="I706" i="1"/>
  <c r="A890" i="1"/>
  <c r="I890" i="1"/>
  <c r="I29" i="1"/>
  <c r="A29" i="1"/>
  <c r="A658" i="1"/>
  <c r="I658" i="1"/>
  <c r="A310" i="1"/>
  <c r="I310" i="1"/>
  <c r="A682" i="1"/>
  <c r="I682" i="1"/>
  <c r="A513" i="1"/>
  <c r="I513" i="1"/>
  <c r="A665" i="1"/>
  <c r="I665" i="1"/>
  <c r="A566" i="1"/>
  <c r="I566" i="1"/>
  <c r="A70" i="1"/>
  <c r="I70" i="1"/>
  <c r="A881" i="1"/>
  <c r="I881" i="1"/>
  <c r="A737" i="1"/>
  <c r="I737" i="1"/>
  <c r="A569" i="1"/>
  <c r="I569" i="1"/>
  <c r="A309" i="1"/>
  <c r="I309" i="1"/>
  <c r="A929" i="1"/>
  <c r="I929" i="1"/>
  <c r="A942" i="1"/>
  <c r="I942" i="1"/>
  <c r="I166" i="1"/>
  <c r="A166" i="1"/>
  <c r="A497" i="1"/>
  <c r="I497" i="1"/>
  <c r="A554" i="1"/>
  <c r="I554" i="1"/>
  <c r="A685" i="1"/>
  <c r="I685" i="1"/>
  <c r="A518" i="1"/>
  <c r="I518" i="1"/>
  <c r="I205" i="1"/>
  <c r="A205" i="1"/>
  <c r="A849" i="1"/>
  <c r="I849" i="1"/>
  <c r="A262" i="1"/>
  <c r="I262" i="1"/>
  <c r="A785" i="1"/>
  <c r="I785" i="1"/>
  <c r="A401" i="1"/>
  <c r="I401" i="1"/>
  <c r="A553" i="1"/>
  <c r="I553" i="1"/>
  <c r="A46" i="1"/>
  <c r="I46" i="1"/>
  <c r="A833" i="1"/>
  <c r="I833" i="1"/>
  <c r="A761" i="1"/>
  <c r="I761" i="1"/>
  <c r="A921" i="1"/>
  <c r="I921" i="1"/>
  <c r="I508" i="1"/>
  <c r="A508" i="1"/>
  <c r="A67" i="1"/>
  <c r="A33" i="1"/>
  <c r="A218" i="1"/>
  <c r="I672" i="1"/>
  <c r="A672" i="1"/>
  <c r="I796" i="1"/>
  <c r="A796" i="1"/>
  <c r="I662" i="1"/>
  <c r="A662" i="1"/>
  <c r="I935" i="1"/>
  <c r="A935" i="1"/>
  <c r="I871" i="1"/>
  <c r="A871" i="1"/>
  <c r="I759" i="1"/>
  <c r="A759" i="1"/>
  <c r="I288" i="1"/>
  <c r="A288" i="1"/>
  <c r="I847" i="1"/>
  <c r="A847" i="1"/>
  <c r="I639" i="1"/>
  <c r="A639" i="1"/>
  <c r="I483" i="1"/>
  <c r="A483" i="1"/>
  <c r="I940" i="1"/>
  <c r="A940" i="1"/>
  <c r="I578" i="1"/>
  <c r="A578" i="1"/>
  <c r="I679" i="1"/>
  <c r="A679" i="1"/>
  <c r="I299" i="1"/>
  <c r="A299" i="1"/>
  <c r="I632" i="1"/>
  <c r="A632" i="1"/>
  <c r="I378" i="1"/>
  <c r="A378" i="1"/>
  <c r="I787" i="1"/>
  <c r="A787" i="1"/>
  <c r="I549" i="1"/>
  <c r="A549" i="1"/>
  <c r="I635" i="1"/>
  <c r="A635" i="1"/>
  <c r="I297" i="1"/>
  <c r="A297" i="1"/>
  <c r="I749" i="1"/>
  <c r="A749" i="1"/>
  <c r="I720" i="1"/>
  <c r="A720" i="1"/>
  <c r="I400" i="1"/>
  <c r="A400" i="1"/>
  <c r="I800" i="1"/>
  <c r="A800" i="1"/>
  <c r="I615" i="1"/>
  <c r="A615" i="1"/>
  <c r="I487" i="1"/>
  <c r="A487" i="1"/>
  <c r="I399" i="1"/>
  <c r="A399" i="1"/>
  <c r="I346" i="1"/>
  <c r="A346" i="1"/>
  <c r="I565" i="1"/>
  <c r="A565" i="1"/>
  <c r="I459" i="1"/>
  <c r="A459" i="1"/>
  <c r="I876" i="1"/>
  <c r="A876" i="1"/>
  <c r="I275" i="1"/>
  <c r="A275" i="1"/>
  <c r="I592" i="1"/>
  <c r="A592" i="1"/>
  <c r="I512" i="1"/>
  <c r="A512" i="1"/>
  <c r="I448" i="1"/>
  <c r="A448" i="1"/>
  <c r="I511" i="1"/>
  <c r="A511" i="1"/>
  <c r="I756" i="1"/>
  <c r="A756" i="1"/>
  <c r="I939" i="1"/>
  <c r="A939" i="1"/>
  <c r="I763" i="1"/>
  <c r="A763" i="1"/>
  <c r="I843" i="1"/>
  <c r="A843" i="1"/>
  <c r="I427" i="1"/>
  <c r="A427" i="1"/>
  <c r="I852" i="1"/>
  <c r="A852" i="1"/>
  <c r="I564" i="1"/>
  <c r="A564" i="1"/>
  <c r="I436" i="1"/>
  <c r="A436" i="1"/>
  <c r="I260" i="1"/>
  <c r="A260" i="1"/>
  <c r="I463" i="1"/>
  <c r="A463" i="1"/>
  <c r="I470" i="1"/>
  <c r="A470" i="1"/>
  <c r="I661" i="1"/>
  <c r="A661" i="1"/>
  <c r="I916" i="1"/>
  <c r="A916" i="1"/>
  <c r="I716" i="1"/>
  <c r="A716" i="1"/>
  <c r="I778" i="1"/>
  <c r="A778" i="1"/>
  <c r="I644" i="1"/>
  <c r="A644" i="1"/>
  <c r="I404" i="1"/>
  <c r="A404" i="1"/>
  <c r="A869" i="1"/>
  <c r="I869" i="1"/>
  <c r="A609" i="1"/>
  <c r="I609" i="1"/>
  <c r="A174" i="1"/>
  <c r="I174" i="1"/>
  <c r="A697" i="1"/>
  <c r="I697" i="1"/>
  <c r="A110" i="1"/>
  <c r="I110" i="1"/>
  <c r="A457" i="1"/>
  <c r="I457" i="1"/>
  <c r="A490" i="1"/>
  <c r="I490" i="1"/>
  <c r="A725" i="1"/>
  <c r="I725" i="1"/>
  <c r="A838" i="1"/>
  <c r="I838" i="1"/>
  <c r="A806" i="1"/>
  <c r="I806" i="1"/>
  <c r="A369" i="1"/>
  <c r="I369" i="1"/>
  <c r="A550" i="1"/>
  <c r="I550" i="1"/>
  <c r="A126" i="1"/>
  <c r="I126" i="1"/>
  <c r="A885" i="1"/>
  <c r="I885" i="1"/>
  <c r="A449" i="1"/>
  <c r="I449" i="1"/>
  <c r="A601" i="1"/>
  <c r="I601" i="1"/>
  <c r="A410" i="1"/>
  <c r="I410" i="1"/>
  <c r="I141" i="1"/>
  <c r="A141" i="1"/>
  <c r="A733" i="1"/>
  <c r="I733" i="1"/>
  <c r="A837" i="1"/>
  <c r="I837" i="1"/>
  <c r="A441" i="1"/>
  <c r="I441" i="1"/>
  <c r="A546" i="1"/>
  <c r="I546" i="1"/>
  <c r="A805" i="1"/>
  <c r="I805" i="1"/>
  <c r="A858" i="1"/>
  <c r="I858" i="1"/>
  <c r="A582" i="1"/>
  <c r="I582" i="1"/>
  <c r="A678" i="1"/>
  <c r="I678" i="1"/>
  <c r="A398" i="1"/>
  <c r="I398" i="1"/>
  <c r="A293" i="1"/>
  <c r="I293" i="1"/>
  <c r="A710" i="1"/>
  <c r="I710" i="1"/>
  <c r="A906" i="1"/>
  <c r="I906" i="1"/>
  <c r="A37" i="1"/>
  <c r="I37" i="1"/>
  <c r="A269" i="1"/>
  <c r="I269" i="1"/>
  <c r="A294" i="1"/>
  <c r="I294" i="1"/>
  <c r="A670" i="1"/>
  <c r="I670" i="1"/>
  <c r="A489" i="1"/>
  <c r="I489" i="1"/>
  <c r="A350" i="1"/>
  <c r="I350" i="1"/>
  <c r="A93" i="1"/>
  <c r="I93" i="1"/>
  <c r="I86" i="1"/>
  <c r="A86" i="1"/>
  <c r="A69" i="1"/>
  <c r="I69" i="1"/>
  <c r="A797" i="1"/>
  <c r="I797" i="1"/>
  <c r="A59" i="1"/>
  <c r="A236" i="1"/>
  <c r="A204" i="1"/>
  <c r="A64" i="1"/>
  <c r="A251" i="1"/>
  <c r="A115" i="1"/>
  <c r="A193" i="1"/>
  <c r="A81" i="1"/>
  <c r="A266" i="1"/>
  <c r="A186" i="1"/>
  <c r="A200" i="1"/>
  <c r="A28" i="1"/>
  <c r="A168" i="1"/>
  <c r="A72" i="1"/>
  <c r="I274" i="1"/>
  <c r="A274" i="1"/>
  <c r="I375" i="1"/>
  <c r="A375" i="1"/>
  <c r="I872" i="1"/>
  <c r="A872" i="1"/>
  <c r="I764" i="1"/>
  <c r="A764" i="1"/>
  <c r="I305" i="1"/>
  <c r="A305" i="1"/>
  <c r="I450" i="1"/>
  <c r="A450" i="1"/>
  <c r="I919" i="1"/>
  <c r="A919" i="1"/>
  <c r="I887" i="1"/>
  <c r="A887" i="1"/>
  <c r="I855" i="1"/>
  <c r="A855" i="1"/>
  <c r="I783" i="1"/>
  <c r="A783" i="1"/>
  <c r="I735" i="1"/>
  <c r="A735" i="1"/>
  <c r="I703" i="1"/>
  <c r="A703" i="1"/>
  <c r="I272" i="1"/>
  <c r="A272" i="1"/>
  <c r="I437" i="1"/>
  <c r="A437" i="1"/>
  <c r="I831" i="1"/>
  <c r="A831" i="1"/>
  <c r="I765" i="1"/>
  <c r="A765" i="1"/>
  <c r="I611" i="1"/>
  <c r="A611" i="1"/>
  <c r="I547" i="1"/>
  <c r="A547" i="1"/>
  <c r="I451" i="1"/>
  <c r="A451" i="1"/>
  <c r="I331" i="1"/>
  <c r="A331" i="1"/>
  <c r="I892" i="1"/>
  <c r="A892" i="1"/>
  <c r="I724" i="1"/>
  <c r="A724" i="1"/>
  <c r="I494" i="1"/>
  <c r="A494" i="1"/>
  <c r="I844" i="1"/>
  <c r="A844" i="1"/>
  <c r="I798" i="1"/>
  <c r="A798" i="1"/>
  <c r="I283" i="1"/>
  <c r="A283" i="1"/>
  <c r="I568" i="1"/>
  <c r="A568" i="1"/>
  <c r="I184" i="1"/>
  <c r="A184" i="1"/>
  <c r="I36" i="1"/>
  <c r="A36" i="1"/>
  <c r="I259" i="1"/>
  <c r="A259" i="1"/>
  <c r="I203" i="1"/>
  <c r="A203" i="1"/>
  <c r="I684" i="1"/>
  <c r="A684" i="1"/>
  <c r="I772" i="1"/>
  <c r="A772" i="1"/>
  <c r="I859" i="1"/>
  <c r="A859" i="1"/>
  <c r="I755" i="1"/>
  <c r="A755" i="1"/>
  <c r="I292" i="1"/>
  <c r="A292" i="1"/>
  <c r="I405" i="1"/>
  <c r="A405" i="1"/>
  <c r="I290" i="1"/>
  <c r="A290" i="1"/>
  <c r="I539" i="1"/>
  <c r="A539" i="1"/>
  <c r="I411" i="1"/>
  <c r="A411" i="1"/>
  <c r="I687" i="1"/>
  <c r="A687" i="1"/>
  <c r="I524" i="1"/>
  <c r="A524" i="1"/>
  <c r="I693" i="1"/>
  <c r="A693" i="1"/>
  <c r="I360" i="1"/>
  <c r="A360" i="1"/>
  <c r="I575" i="1"/>
  <c r="A575" i="1"/>
  <c r="I597" i="1"/>
  <c r="A597" i="1"/>
  <c r="I306" i="1"/>
  <c r="A306" i="1"/>
  <c r="I355" i="1"/>
  <c r="A355" i="1"/>
  <c r="I396" i="1"/>
  <c r="A396" i="1"/>
  <c r="I651" i="1"/>
  <c r="A651" i="1"/>
  <c r="I583" i="1"/>
  <c r="A583" i="1"/>
  <c r="I519" i="1"/>
  <c r="A519" i="1"/>
  <c r="I439" i="1"/>
  <c r="A439" i="1"/>
  <c r="I327" i="1"/>
  <c r="A327" i="1"/>
  <c r="I880" i="1"/>
  <c r="A880" i="1"/>
  <c r="I281" i="1"/>
  <c r="A281" i="1"/>
  <c r="I478" i="1"/>
  <c r="A478" i="1"/>
  <c r="I816" i="1"/>
  <c r="A816" i="1"/>
  <c r="I723" i="1"/>
  <c r="A723" i="1"/>
  <c r="I485" i="1"/>
  <c r="A485" i="1"/>
  <c r="I376" i="1"/>
  <c r="A376" i="1"/>
  <c r="I688" i="1"/>
  <c r="A688" i="1"/>
  <c r="I792" i="1"/>
  <c r="A792" i="1"/>
  <c r="I758" i="1"/>
  <c r="A758" i="1"/>
  <c r="I656" i="1"/>
  <c r="A656" i="1"/>
  <c r="I608" i="1"/>
  <c r="A608" i="1"/>
  <c r="I560" i="1"/>
  <c r="A560" i="1"/>
  <c r="I528" i="1"/>
  <c r="A528" i="1"/>
  <c r="I496" i="1"/>
  <c r="A496" i="1"/>
  <c r="I464" i="1"/>
  <c r="A464" i="1"/>
  <c r="I432" i="1"/>
  <c r="A432" i="1"/>
  <c r="I348" i="1"/>
  <c r="A348" i="1"/>
  <c r="I95" i="1"/>
  <c r="A95" i="1"/>
  <c r="I643" i="1"/>
  <c r="A643" i="1"/>
  <c r="I447" i="1"/>
  <c r="A447" i="1"/>
  <c r="I928" i="1"/>
  <c r="A928" i="1"/>
  <c r="I700" i="1"/>
  <c r="A700" i="1"/>
  <c r="I390" i="1"/>
  <c r="A390" i="1"/>
  <c r="I899" i="1"/>
  <c r="A899" i="1"/>
  <c r="I795" i="1"/>
  <c r="A795" i="1"/>
  <c r="I731" i="1"/>
  <c r="A731" i="1"/>
  <c r="I284" i="1"/>
  <c r="A284" i="1"/>
  <c r="I647" i="1"/>
  <c r="A647" i="1"/>
  <c r="I523" i="1"/>
  <c r="A523" i="1"/>
  <c r="I845" i="1"/>
  <c r="A845" i="1"/>
  <c r="I313" i="1"/>
  <c r="A313" i="1"/>
  <c r="I930" i="1"/>
  <c r="A930" i="1"/>
  <c r="I628" i="1"/>
  <c r="A628" i="1"/>
  <c r="I500" i="1"/>
  <c r="A500" i="1"/>
  <c r="I242" i="1"/>
  <c r="A242" i="1"/>
  <c r="I216" i="1"/>
  <c r="A216" i="1"/>
  <c r="I127" i="1"/>
  <c r="A127" i="1"/>
  <c r="I258" i="1"/>
  <c r="A258" i="1"/>
  <c r="I372" i="1"/>
  <c r="A372" i="1"/>
  <c r="I591" i="1"/>
  <c r="A591" i="1"/>
  <c r="I319" i="1"/>
  <c r="A319" i="1"/>
  <c r="I586" i="1"/>
  <c r="A586" i="1"/>
  <c r="I691" i="1"/>
  <c r="A691" i="1"/>
  <c r="I312" i="1"/>
  <c r="A312" i="1"/>
  <c r="I384" i="1"/>
  <c r="A384" i="1"/>
  <c r="I812" i="1"/>
  <c r="A812" i="1"/>
  <c r="A377" i="1"/>
  <c r="I377" i="1"/>
  <c r="I303" i="1"/>
  <c r="A303" i="1"/>
  <c r="I540" i="1"/>
  <c r="A540" i="1"/>
  <c r="A165" i="1"/>
  <c r="I165" i="1"/>
  <c r="I214" i="1"/>
  <c r="A214" i="1"/>
  <c r="A674" i="1"/>
  <c r="I674" i="1"/>
  <c r="A505" i="1"/>
  <c r="I505" i="1"/>
  <c r="A386" i="1"/>
  <c r="I386" i="1"/>
  <c r="A109" i="1"/>
  <c r="I109" i="1"/>
  <c r="A773" i="1"/>
  <c r="I773" i="1"/>
  <c r="A802" i="1"/>
  <c r="I802" i="1"/>
  <c r="A397" i="1"/>
  <c r="I397" i="1"/>
  <c r="I117" i="1"/>
  <c r="A117" i="1"/>
  <c r="A745" i="1"/>
  <c r="I745" i="1"/>
  <c r="A341" i="1"/>
  <c r="I341" i="1"/>
  <c r="A561" i="1"/>
  <c r="I561" i="1"/>
  <c r="A30" i="1"/>
  <c r="I30" i="1"/>
  <c r="I125" i="1"/>
  <c r="A125" i="1"/>
  <c r="I182" i="1"/>
  <c r="A182" i="1"/>
  <c r="A873" i="1"/>
  <c r="I873" i="1"/>
  <c r="A681" i="1"/>
  <c r="I681" i="1"/>
  <c r="I54" i="1"/>
  <c r="A54" i="1"/>
  <c r="A770" i="1"/>
  <c r="I770" i="1"/>
  <c r="A874" i="1"/>
  <c r="I874" i="1"/>
  <c r="A349" i="1"/>
  <c r="I349" i="1"/>
  <c r="A486" i="1"/>
  <c r="I486" i="1"/>
  <c r="A594" i="1"/>
  <c r="I594" i="1"/>
  <c r="A253" i="1"/>
  <c r="I253" i="1"/>
  <c r="A254" i="1"/>
  <c r="I254" i="1"/>
  <c r="A777" i="1"/>
  <c r="I777" i="1"/>
  <c r="A345" i="1"/>
  <c r="I345" i="1"/>
  <c r="A473" i="1"/>
  <c r="I473" i="1"/>
  <c r="A577" i="1"/>
  <c r="I577" i="1"/>
  <c r="A653" i="1"/>
  <c r="I653" i="1"/>
  <c r="A38" i="1"/>
  <c r="I38" i="1"/>
  <c r="A498" i="1"/>
  <c r="I498" i="1"/>
  <c r="A654" i="1"/>
  <c r="I654" i="1"/>
  <c r="A825" i="1"/>
  <c r="I825" i="1"/>
  <c r="A270" i="1"/>
  <c r="I270" i="1"/>
  <c r="A789" i="1"/>
  <c r="I789" i="1"/>
  <c r="I101" i="1"/>
  <c r="A101" i="1"/>
  <c r="A278" i="1"/>
  <c r="I278" i="1"/>
  <c r="A337" i="1"/>
  <c r="I337" i="1"/>
  <c r="A545" i="1"/>
  <c r="I545" i="1"/>
  <c r="A482" i="1"/>
  <c r="I482" i="1"/>
  <c r="A277" i="1"/>
  <c r="I277" i="1"/>
  <c r="I230" i="1"/>
  <c r="A230" i="1"/>
  <c r="A897" i="1"/>
  <c r="I897" i="1"/>
  <c r="A738" i="1"/>
  <c r="I738" i="1"/>
  <c r="A914" i="1"/>
  <c r="I914" i="1"/>
  <c r="A474" i="1"/>
  <c r="I474" i="1"/>
  <c r="A181" i="1"/>
  <c r="I181" i="1"/>
  <c r="A877" i="1"/>
  <c r="I877" i="1"/>
  <c r="A433" i="1"/>
  <c r="I433" i="1"/>
  <c r="A625" i="1"/>
  <c r="I625" i="1"/>
  <c r="A426" i="1"/>
  <c r="I426" i="1"/>
  <c r="A666" i="1"/>
  <c r="I666" i="1"/>
  <c r="A673" i="1"/>
  <c r="I673" i="1"/>
  <c r="A746" i="1"/>
  <c r="I746" i="1"/>
  <c r="A878" i="1"/>
  <c r="I878" i="1"/>
  <c r="A934" i="1"/>
  <c r="I934" i="1"/>
  <c r="A389" i="1"/>
  <c r="I389" i="1"/>
  <c r="A418" i="1"/>
  <c r="I418" i="1"/>
  <c r="A149" i="1"/>
  <c r="I149" i="1"/>
  <c r="A829" i="1"/>
  <c r="I829" i="1"/>
  <c r="A198" i="1"/>
  <c r="I198" i="1"/>
  <c r="A729" i="1"/>
  <c r="I729" i="1"/>
  <c r="A925" i="1"/>
  <c r="I925" i="1"/>
  <c r="A333" i="1"/>
  <c r="I333" i="1"/>
  <c r="A465" i="1"/>
  <c r="I465" i="1"/>
  <c r="A541" i="1"/>
  <c r="I541" i="1"/>
  <c r="A617" i="1"/>
  <c r="I617" i="1"/>
  <c r="A14" i="1"/>
  <c r="I14" i="1"/>
  <c r="A574" i="1"/>
  <c r="I574" i="1"/>
  <c r="A229" i="1"/>
  <c r="I229" i="1"/>
  <c r="A222" i="1"/>
  <c r="I222" i="1"/>
  <c r="A741" i="1"/>
  <c r="I741" i="1"/>
  <c r="A889" i="1"/>
  <c r="I889" i="1"/>
  <c r="I828" i="1"/>
  <c r="A828" i="1"/>
  <c r="A698" i="1"/>
  <c r="I698" i="1"/>
  <c r="I336" i="1"/>
  <c r="A336" i="1"/>
</calcChain>
</file>

<file path=xl/sharedStrings.xml><?xml version="1.0" encoding="utf-8"?>
<sst xmlns="http://schemas.openxmlformats.org/spreadsheetml/2006/main" count="2180" uniqueCount="2180">
  <si>
    <t>max real lenght</t>
  </si>
  <si>
    <t>remaining wasted</t>
  </si>
  <si>
    <t>percentage</t>
  </si>
  <si>
    <t>correcting factor</t>
  </si>
  <si>
    <t>&lt;note time="0.000" string="3" fret="6" /&gt;</t>
  </si>
  <si>
    <t>&lt;note time="0.125" string="3" fret="4" /&gt;</t>
  </si>
  <si>
    <t>&lt;note time="0.250" string="2" fret="6" /&gt;</t>
  </si>
  <si>
    <t>&lt;note time="0.375" string="2" fret="4" /&gt;</t>
  </si>
  <si>
    <t>&lt;note time="0.500" string="1" fret="6" palmMute="1" /&gt;</t>
  </si>
  <si>
    <t>&lt;note time="0.625" string="1" fret="7" palmMute="1" /&gt;</t>
  </si>
  <si>
    <t>&lt;note time="0.750" string="1" fret="6" palmMute="1" /&gt;</t>
  </si>
  <si>
    <t>&lt;note time="0.875" string="0" fret="7" palmMute="1" /&gt;</t>
  </si>
  <si>
    <t>&lt;note time="1.000" string="1" fret="4" palmMute="1" /&gt;</t>
  </si>
  <si>
    <t>&lt;note time="1.125" string="1" fret="7" palmMute="1" /&gt;</t>
  </si>
  <si>
    <t>&lt;note time="1.250" string="1" fret="4" palmMute="1" /&gt;</t>
  </si>
  <si>
    <t>&lt;note time="1.375" string="0" fret="7" palmMute="1" /&gt;</t>
  </si>
  <si>
    <t>&lt;note time="1.500" string="1" fret="4" sustain="0.497" vibrato="80" /&gt;</t>
  </si>
  <si>
    <t>&lt;note time="2.000" string="3" fret="6" /&gt;</t>
  </si>
  <si>
    <t>&lt;note time="2.125" string="3" fret="4" /&gt;</t>
  </si>
  <si>
    <t>&lt;note time="2.250" string="2" fret="6" /&gt;</t>
  </si>
  <si>
    <t>&lt;note time="2.375" string="2" fret="4" /&gt;</t>
  </si>
  <si>
    <t>&lt;note time="2.500" string="1" fret="6" palmMute="1" /&gt;</t>
  </si>
  <si>
    <t>&lt;note time="2.625" string="1" fret="7" palmMute="1" /&gt;</t>
  </si>
  <si>
    <t>&lt;note time="2.750" string="1" fret="6" palmMute="1" /&gt;</t>
  </si>
  <si>
    <t>&lt;note time="2.875" string="0" fret="7" palmMute="1" /&gt;</t>
  </si>
  <si>
    <t>&lt;note time="3.000" string="1" fret="4" palmMute="1" /&gt;</t>
  </si>
  <si>
    <t>&lt;note time="3.125" string="1" fret="7" palmMute="1" /&gt;</t>
  </si>
  <si>
    <t>&lt;note time="3.250" string="1" fret="4" palmMute="1" /&gt;</t>
  </si>
  <si>
    <t>&lt;note time="3.375" string="0" fret="7" palmMute="1" /&gt;</t>
  </si>
  <si>
    <t>&lt;note time="3.500" string="1" fret="4" sustain="0.497" vibrato="80" /&gt;</t>
  </si>
  <si>
    <t>&lt;note time="4.000" string="3" fret="6" /&gt;</t>
  </si>
  <si>
    <t>&lt;note time="4.125" string="3" fret="4" /&gt;</t>
  </si>
  <si>
    <t>&lt;note time="4.250" string="2" fret="6" /&gt;</t>
  </si>
  <si>
    <t>&lt;note time="4.375" string="2" fret="4" /&gt;</t>
  </si>
  <si>
    <t>&lt;note time="4.500" string="1" fret="6" palmMute="1" /&gt;</t>
  </si>
  <si>
    <t>&lt;note time="4.625" string="1" fret="7" palmMute="1" /&gt;</t>
  </si>
  <si>
    <t>&lt;note time="4.750" string="1" fret="6" palmMute="1" /&gt;</t>
  </si>
  <si>
    <t>&lt;note time="4.875" string="0" fret="7" palmMute="1" /&gt;</t>
  </si>
  <si>
    <t>&lt;note time="5.000" string="1" fret="4" palmMute="1" /&gt;</t>
  </si>
  <si>
    <t>&lt;note time="5.125" string="1" fret="7" palmMute="1" /&gt;</t>
  </si>
  <si>
    <t>&lt;note time="5.250" string="1" fret="4" palmMute="1" /&gt;</t>
  </si>
  <si>
    <t>&lt;note time="5.375" string="0" fret="7" palmMute="1" /&gt;</t>
  </si>
  <si>
    <t>&lt;note time="5.500" string="1" fret="4" sustain="0.497" vibrato="80" /&gt;</t>
  </si>
  <si>
    <t>&lt;note time="6.000" string="3" fret="6" /&gt;</t>
  </si>
  <si>
    <t>&lt;note time="6.125" string="3" fret="4" /&gt;</t>
  </si>
  <si>
    <t>&lt;note time="6.250" string="2" fret="6" /&gt;</t>
  </si>
  <si>
    <t>&lt;note time="6.375" string="2" fret="4" /&gt;</t>
  </si>
  <si>
    <t>&lt;note time="6.500" string="1" fret="6" palmMute="1" /&gt;</t>
  </si>
  <si>
    <t>&lt;note time="6.625" string="1" fret="7" palmMute="1" /&gt;</t>
  </si>
  <si>
    <t>&lt;note time="6.750" string="1" fret="6" palmMute="1" /&gt;</t>
  </si>
  <si>
    <t>&lt;note time="6.875" string="0" fret="7" palmMute="1" /&gt;</t>
  </si>
  <si>
    <t>&lt;note time="7.000" string="1" fret="4" palmMute="1" /&gt;</t>
  </si>
  <si>
    <t>&lt;note time="7.125" string="1" fret="7" palmMute="1" /&gt;</t>
  </si>
  <si>
    <t>&lt;note time="7.250" string="1" fret="4" palmMute="1" /&gt;</t>
  </si>
  <si>
    <t>&lt;note time="7.375" string="0" fret="7" palmMute="1" /&gt;</t>
  </si>
  <si>
    <t>&lt;note time="7.500" string="1" fret="4" sustain="0.497" vibrato="80" /&gt;</t>
  </si>
  <si>
    <t>&lt;note time="56.000" string="3" fret="6" /&gt;</t>
  </si>
  <si>
    <t>&lt;note time="56.125" string="3" fret="4" /&gt;</t>
  </si>
  <si>
    <t>&lt;note time="56.250" string="2" fret="6" /&gt;</t>
  </si>
  <si>
    <t>&lt;note time="56.375" string="2" fret="4" /&gt;</t>
  </si>
  <si>
    <t>&lt;note time="56.500" string="1" fret="6" palmMute="1" /&gt;</t>
  </si>
  <si>
    <t>&lt;note time="56.625" string="1" fret="7" palmMute="1" /&gt;</t>
  </si>
  <si>
    <t>&lt;note time="56.750" string="1" fret="6" palmMute="1" /&gt;</t>
  </si>
  <si>
    <t>&lt;note time="56.875" string="0" fret="7" palmMute="1" /&gt;</t>
  </si>
  <si>
    <t>&lt;note time="57.000" string="1" fret="4" palmMute="1" /&gt;</t>
  </si>
  <si>
    <t>&lt;note time="57.125" string="1" fret="7" palmMute="1" /&gt;</t>
  </si>
  <si>
    <t>&lt;note time="57.250" string="1" fret="4" palmMute="1" /&gt;</t>
  </si>
  <si>
    <t>&lt;note time="57.375" string="0" fret="7" palmMute="1" /&gt;</t>
  </si>
  <si>
    <t>&lt;note time="57.500" string="1" fret="4" sustain="0.497" vibrato="80" /&gt;</t>
  </si>
  <si>
    <t>&lt;note time="58.000" string="3" fret="6" /&gt;</t>
  </si>
  <si>
    <t>&lt;note time="58.125" string="3" fret="4" /&gt;</t>
  </si>
  <si>
    <t>&lt;note time="58.250" string="2" fret="6" /&gt;</t>
  </si>
  <si>
    <t>&lt;note time="58.375" string="2" fret="4" /&gt;</t>
  </si>
  <si>
    <t>&lt;note time="58.500" string="1" fret="6" palmMute="1" /&gt;</t>
  </si>
  <si>
    <t>&lt;note time="58.625" string="1" fret="7" palmMute="1" /&gt;</t>
  </si>
  <si>
    <t>&lt;note time="58.750" string="1" fret="6" palmMute="1" /&gt;</t>
  </si>
  <si>
    <t>&lt;note time="58.875" string="0" fret="7" palmMute="1" /&gt;</t>
  </si>
  <si>
    <t>&lt;note time="59.000" string="1" fret="4" palmMute="1" /&gt;</t>
  </si>
  <si>
    <t>&lt;note time="59.125" string="1" fret="7" palmMute="1" /&gt;</t>
  </si>
  <si>
    <t>&lt;note time="59.250" string="1" fret="4" palmMute="1" /&gt;</t>
  </si>
  <si>
    <t>&lt;note time="59.375" string="0" fret="7" palmMute="1" /&gt;</t>
  </si>
  <si>
    <t>&lt;note time="59.500" string="1" fret="4" sustain="0.497" vibrato="80" /&gt;</t>
  </si>
  <si>
    <t>&lt;note time="60.000" string="3" fret="6" /&gt;</t>
  </si>
  <si>
    <t>&lt;note time="60.125" string="3" fret="4" /&gt;</t>
  </si>
  <si>
    <t>&lt;note time="60.250" string="2" fret="6" /&gt;</t>
  </si>
  <si>
    <t>&lt;note time="60.375" string="2" fret="4" /&gt;</t>
  </si>
  <si>
    <t>&lt;note time="60.500" string="1" fret="6" palmMute="1" /&gt;</t>
  </si>
  <si>
    <t>&lt;note time="60.625" string="1" fret="7" palmMute="1" /&gt;</t>
  </si>
  <si>
    <t>&lt;note time="60.750" string="1" fret="6" palmMute="1" /&gt;</t>
  </si>
  <si>
    <t>&lt;note time="60.875" string="0" fret="7" palmMute="1" /&gt;</t>
  </si>
  <si>
    <t>&lt;note time="61.000" string="1" fret="4" palmMute="1" /&gt;</t>
  </si>
  <si>
    <t>&lt;note time="61.125" string="1" fret="7" palmMute="1" /&gt;</t>
  </si>
  <si>
    <t>&lt;note time="61.250" string="1" fret="4" palmMute="1" /&gt;</t>
  </si>
  <si>
    <t>&lt;note time="61.375" string="0" fret="7" palmMute="1" /&gt;</t>
  </si>
  <si>
    <t>&lt;note time="61.500" string="1" fret="4" sustain="0.497" vibrato="80" /&gt;</t>
  </si>
  <si>
    <t>&lt;note time="62.000" string="3" fret="6" /&gt;</t>
  </si>
  <si>
    <t>&lt;note time="62.125" string="3" fret="4" /&gt;</t>
  </si>
  <si>
    <t>&lt;note time="62.250" string="2" fret="6" /&gt;</t>
  </si>
  <si>
    <t>&lt;note time="62.375" string="2" fret="4" /&gt;</t>
  </si>
  <si>
    <t>&lt;note time="62.500" string="1" fret="6" palmMute="1" /&gt;</t>
  </si>
  <si>
    <t>&lt;note time="62.625" string="1" fret="7" palmMute="1" /&gt;</t>
  </si>
  <si>
    <t>&lt;note time="62.750" string="1" fret="6" palmMute="1" /&gt;</t>
  </si>
  <si>
    <t>&lt;note time="62.875" string="0" fret="7" palmMute="1" /&gt;</t>
  </si>
  <si>
    <t>&lt;note time="63.000" string="1" fret="4" palmMute="1" /&gt;</t>
  </si>
  <si>
    <t>&lt;note time="63.125" string="1" fret="7" palmMute="1" /&gt;</t>
  </si>
  <si>
    <t>&lt;note time="63.250" string="1" fret="4" palmMute="1" /&gt;</t>
  </si>
  <si>
    <t>&lt;note time="63.375" string="0" fret="7" palmMute="1" /&gt;</t>
  </si>
  <si>
    <t>&lt;note time="63.500" string="1" fret="4" sustain="0.497" vibrato="80" /&gt;</t>
  </si>
  <si>
    <t>&lt;note time="116.250" string="3" fret="6" /&gt;</t>
  </si>
  <si>
    <t>&lt;note time="116.375" string="3" fret="4" /&gt;</t>
  </si>
  <si>
    <t>&lt;note time="116.500" string="2" fret="6" /&gt;</t>
  </si>
  <si>
    <t>&lt;note time="116.625" string="2" fret="4" /&gt;</t>
  </si>
  <si>
    <t>&lt;note time="116.875" string="2" fret="2" /&gt;</t>
  </si>
  <si>
    <t>&lt;note time="117.000" string="1" fret="2" sustain="2.000" /&gt;</t>
  </si>
  <si>
    <t>&lt;note time="124.250" string="3" fret="6" /&gt;</t>
  </si>
  <si>
    <t>&lt;note time="124.375" string="3" fret="4" /&gt;</t>
  </si>
  <si>
    <t>&lt;note time="124.500" string="2" fret="6" /&gt;</t>
  </si>
  <si>
    <t>&lt;note time="124.625" string="2" fret="4" /&gt;</t>
  </si>
  <si>
    <t>&lt;note time="124.875" string="2" fret="2" /&gt;</t>
  </si>
  <si>
    <t>&lt;note time="125.000" string="1" fret="2" sustain="0.997" /&gt;</t>
  </si>
  <si>
    <t>&lt;note time="126.000" string="1" fret="4" sustain="0.997" /&gt;</t>
  </si>
  <si>
    <t>&lt;note time="127.000" string="3" fret="6" /&gt;</t>
  </si>
  <si>
    <t>&lt;note time="127.125" string="3" fret="4" /&gt;</t>
  </si>
  <si>
    <t>&lt;note time="127.250" string="2" fret="6" /&gt;</t>
  </si>
  <si>
    <t>&lt;note time="127.375" string="2" fret="4" /&gt;</t>
  </si>
  <si>
    <t>&lt;note time="127.500" string="1" fret="6" palmMute="1" /&gt;</t>
  </si>
  <si>
    <t>&lt;note time="127.625" string="1" fret="7" palmMute="1" /&gt;</t>
  </si>
  <si>
    <t>&lt;note time="127.750" string="1" fret="6" palmMute="1" /&gt;</t>
  </si>
  <si>
    <t>&lt;note time="127.875" string="0" fret="7" palmMute="1" /&gt;</t>
  </si>
  <si>
    <t>&lt;note time="128.000" string="1" fret="4" palmMute="1" /&gt;</t>
  </si>
  <si>
    <t>&lt;note time="128.125" string="1" fret="7" palmMute="1" /&gt;</t>
  </si>
  <si>
    <t>&lt;note time="128.250" string="1" fret="4" palmMute="1" /&gt;</t>
  </si>
  <si>
    <t>&lt;note time="128.375" string="0" fret="7" palmMute="1" /&gt;</t>
  </si>
  <si>
    <t>&lt;note time="128.500" string="1" fret="4" sustain="0.497" vibrato="80" /&gt;</t>
  </si>
  <si>
    <t>&lt;note time="129.000" string="3" fret="6" /&gt;</t>
  </si>
  <si>
    <t>&lt;note time="129.125" string="3" fret="4" /&gt;</t>
  </si>
  <si>
    <t>&lt;note time="129.250" string="2" fret="6" /&gt;</t>
  </si>
  <si>
    <t>&lt;note time="129.375" string="2" fret="4" /&gt;</t>
  </si>
  <si>
    <t>&lt;note time="129.500" string="1" fret="6" palmMute="1" /&gt;</t>
  </si>
  <si>
    <t>&lt;note time="129.625" string="1" fret="7" palmMute="1" /&gt;</t>
  </si>
  <si>
    <t>&lt;note time="129.750" string="1" fret="6" palmMute="1" /&gt;</t>
  </si>
  <si>
    <t>&lt;note time="129.875" string="0" fret="7" palmMute="1" /&gt;</t>
  </si>
  <si>
    <t>&lt;note time="130.000" string="1" fret="4" palmMute="1" /&gt;</t>
  </si>
  <si>
    <t>&lt;note time="130.125" string="1" fret="7" palmMute="1" /&gt;</t>
  </si>
  <si>
    <t>&lt;note time="130.250" string="1" fret="4" palmMute="1" /&gt;</t>
  </si>
  <si>
    <t>&lt;note time="130.375" string="0" fret="7" palmMute="1" /&gt;</t>
  </si>
  <si>
    <t>&lt;note time="130.500" string="1" fret="4" sustain="0.497" vibrato="80" /&gt;</t>
  </si>
  <si>
    <t>&lt;note time="131.000" string="3" fret="6" /&gt;</t>
  </si>
  <si>
    <t>&lt;note time="131.125" string="3" fret="4" /&gt;</t>
  </si>
  <si>
    <t>&lt;note time="131.250" string="2" fret="6" /&gt;</t>
  </si>
  <si>
    <t>&lt;note time="131.375" string="2" fret="4" /&gt;</t>
  </si>
  <si>
    <t>&lt;note time="131.500" string="1" fret="6" palmMute="1" /&gt;</t>
  </si>
  <si>
    <t>&lt;note time="131.625" string="1" fret="7" palmMute="1" /&gt;</t>
  </si>
  <si>
    <t>&lt;note time="131.750" string="1" fret="6" palmMute="1" /&gt;</t>
  </si>
  <si>
    <t>&lt;note time="131.875" string="0" fret="7" palmMute="1" /&gt;</t>
  </si>
  <si>
    <t>&lt;note time="132.000" string="1" fret="4" palmMute="1" /&gt;</t>
  </si>
  <si>
    <t>&lt;note time="132.125" string="1" fret="7" palmMute="1" /&gt;</t>
  </si>
  <si>
    <t>&lt;note time="132.250" string="1" fret="4" palmMute="1" /&gt;</t>
  </si>
  <si>
    <t>&lt;note time="132.375" string="0" fret="7" palmMute="1" /&gt;</t>
  </si>
  <si>
    <t>&lt;note time="132.500" string="1" fret="4" sustain="0.497" vibrato="80" /&gt;</t>
  </si>
  <si>
    <t>&lt;note time="133.000" string="3" fret="6" /&gt;</t>
  </si>
  <si>
    <t>&lt;note time="133.125" string="3" fret="4" /&gt;</t>
  </si>
  <si>
    <t>&lt;note time="133.250" string="2" fret="6" /&gt;</t>
  </si>
  <si>
    <t>&lt;note time="133.375" string="2" fret="4" /&gt;</t>
  </si>
  <si>
    <t>&lt;note time="133.500" string="1" fret="6" palmMute="1" /&gt;</t>
  </si>
  <si>
    <t>&lt;note time="133.625" string="1" fret="7" palmMute="1" /&gt;</t>
  </si>
  <si>
    <t>&lt;note time="133.750" string="1" fret="6" palmMute="1" /&gt;</t>
  </si>
  <si>
    <t>&lt;note time="133.875" string="0" fret="7" palmMute="1" /&gt;</t>
  </si>
  <si>
    <t>&lt;note time="134.000" string="1" fret="4" palmMute="1" /&gt;</t>
  </si>
  <si>
    <t>&lt;note time="134.125" string="1" fret="7" palmMute="1" /&gt;</t>
  </si>
  <si>
    <t>&lt;note time="134.250" string="1" fret="4" palmMute="1" /&gt;</t>
  </si>
  <si>
    <t>&lt;note time="134.375" string="0" fret="7" palmMute="1" /&gt;</t>
  </si>
  <si>
    <t>&lt;note time="134.500" string="1" fret="4" sustain="0.497" vibrato="80" /&gt;</t>
  </si>
  <si>
    <t>&lt;note time="135.000" string="3" fret="6" /&gt;</t>
  </si>
  <si>
    <t>&lt;note time="135.125" string="3" fret="4" /&gt;</t>
  </si>
  <si>
    <t>&lt;note time="135.250" string="2" fret="6" /&gt;</t>
  </si>
  <si>
    <t>&lt;note time="135.375" string="2" fret="4" /&gt;</t>
  </si>
  <si>
    <t>&lt;note time="135.500" string="1" fret="6" palmMute="1" /&gt;</t>
  </si>
  <si>
    <t>&lt;note time="135.625" string="1" fret="7" palmMute="1" /&gt;</t>
  </si>
  <si>
    <t>&lt;note time="135.750" string="1" fret="6" palmMute="1" /&gt;</t>
  </si>
  <si>
    <t>&lt;note time="135.875" string="0" fret="7" palmMute="1" /&gt;</t>
  </si>
  <si>
    <t>&lt;note time="136.000" string="1" fret="4" palmMute="1" /&gt;</t>
  </si>
  <si>
    <t>&lt;note time="136.125" string="1" fret="7" palmMute="1" /&gt;</t>
  </si>
  <si>
    <t>&lt;note time="136.250" string="1" fret="4" palmMute="1" /&gt;</t>
  </si>
  <si>
    <t>&lt;note time="136.375" string="0" fret="7" palmMute="1" /&gt;</t>
  </si>
  <si>
    <t>&lt;note time="136.500" string="1" fret="4" sustain="0.497" vibrato="80" /&gt;</t>
  </si>
  <si>
    <t>&lt;note time="137.000" string="3" fret="6" /&gt;</t>
  </si>
  <si>
    <t>&lt;note time="137.125" string="3" fret="4" /&gt;</t>
  </si>
  <si>
    <t>&lt;note time="137.250" string="2" fret="6" /&gt;</t>
  </si>
  <si>
    <t>&lt;note time="137.375" string="2" fret="4" /&gt;</t>
  </si>
  <si>
    <t>&lt;note time="137.500" string="1" fret="6" palmMute="1" /&gt;</t>
  </si>
  <si>
    <t>&lt;note time="137.625" string="1" fret="7" palmMute="1" /&gt;</t>
  </si>
  <si>
    <t>&lt;note time="137.750" string="1" fret="6" palmMute="1" /&gt;</t>
  </si>
  <si>
    <t>&lt;note time="137.875" string="0" fret="7" palmMute="1" /&gt;</t>
  </si>
  <si>
    <t>&lt;note time="138.000" string="1" fret="4" palmMute="1" /&gt;</t>
  </si>
  <si>
    <t>&lt;note time="138.125" string="1" fret="7" palmMute="1" /&gt;</t>
  </si>
  <si>
    <t>&lt;note time="138.250" string="1" fret="4" palmMute="1" /&gt;</t>
  </si>
  <si>
    <t>&lt;note time="138.375" string="0" fret="7" palmMute="1" /&gt;</t>
  </si>
  <si>
    <t>&lt;note time="138.500" string="1" fret="4" sustain="0.497" vibrato="80" /&gt;</t>
  </si>
  <si>
    <t>&lt;note time="139.000" string="3" fret="6" /&gt;</t>
  </si>
  <si>
    <t>&lt;note time="139.125" string="3" fret="4" /&gt;</t>
  </si>
  <si>
    <t>&lt;note time="139.250" string="2" fret="6" /&gt;</t>
  </si>
  <si>
    <t>&lt;note time="139.375" string="2" fret="4" /&gt;</t>
  </si>
  <si>
    <t>&lt;note time="139.500" string="1" fret="6" palmMute="1" /&gt;</t>
  </si>
  <si>
    <t>&lt;note time="139.625" string="1" fret="7" palmMute="1" /&gt;</t>
  </si>
  <si>
    <t>&lt;note time="139.750" string="1" fret="6" palmMute="1" /&gt;</t>
  </si>
  <si>
    <t>&lt;note time="139.875" string="0" fret="7" palmMute="1" /&gt;</t>
  </si>
  <si>
    <t>&lt;note time="140.000" string="1" fret="4" palmMute="1" /&gt;</t>
  </si>
  <si>
    <t>&lt;note time="140.125" string="1" fret="7" palmMute="1" /&gt;</t>
  </si>
  <si>
    <t>&lt;note time="140.250" string="1" fret="4" palmMute="1" /&gt;</t>
  </si>
  <si>
    <t>&lt;note time="140.375" string="0" fret="7" palmMute="1" /&gt;</t>
  </si>
  <si>
    <t>&lt;note time="140.500" string="1" fret="4" sustain="0.497" vibrato="80" /&gt;</t>
  </si>
  <si>
    <t>&lt;note time="141.000" string="3" fret="6" /&gt;</t>
  </si>
  <si>
    <t>&lt;note time="141.125" string="3" fret="4" /&gt;</t>
  </si>
  <si>
    <t>&lt;note time="141.250" string="2" fret="6" /&gt;</t>
  </si>
  <si>
    <t>&lt;note time="141.375" string="2" fret="4" /&gt;</t>
  </si>
  <si>
    <t>&lt;note time="141.500" string="1" fret="6" palmMute="1" /&gt;</t>
  </si>
  <si>
    <t>&lt;note time="141.625" string="1" fret="7" palmMute="1" /&gt;</t>
  </si>
  <si>
    <t>&lt;note time="141.750" string="1" fret="6" palmMute="1" /&gt;</t>
  </si>
  <si>
    <t>&lt;note time="141.875" string="0" fret="7" palmMute="1" /&gt;</t>
  </si>
  <si>
    <t>&lt;note time="142.000" string="1" fret="4" palmMute="1" /&gt;</t>
  </si>
  <si>
    <t>&lt;note time="142.125" string="1" fret="7" palmMute="1" /&gt;</t>
  </si>
  <si>
    <t>&lt;note time="142.250" string="1" fret="4" palmMute="1" /&gt;</t>
  </si>
  <si>
    <t>&lt;note time="142.375" string="0" fret="7" palmMute="1" /&gt;</t>
  </si>
  <si>
    <t>&lt;note time="142.500" string="1" fret="4" sustain="0.497" vibrato="80" /&gt;</t>
  </si>
  <si>
    <t>&lt;note time="159.000" string="3" fret="6" /&gt;</t>
  </si>
  <si>
    <t>&lt;note time="159.125" string="3" fret="4" /&gt;</t>
  </si>
  <si>
    <t>&lt;note time="159.250" string="2" fret="6" /&gt;</t>
  </si>
  <si>
    <t>&lt;note time="159.375" string="2" fret="4" /&gt;</t>
  </si>
  <si>
    <t>&lt;note time="159.500" string="1" fret="6" palmMute="1" /&gt;</t>
  </si>
  <si>
    <t>&lt;note time="159.625" string="1" fret="7" palmMute="1" /&gt;</t>
  </si>
  <si>
    <t>&lt;note time="159.750" string="1" fret="6" palmMute="1" /&gt;</t>
  </si>
  <si>
    <t>&lt;note time="159.875" string="0" fret="7" palmMute="1" /&gt;</t>
  </si>
  <si>
    <t>&lt;note time="160.000" string="1" fret="4" palmMute="1" /&gt;</t>
  </si>
  <si>
    <t>&lt;note time="160.125" string="1" fret="7" palmMute="1" /&gt;</t>
  </si>
  <si>
    <t>&lt;note time="160.250" string="1" fret="4" palmMute="1" /&gt;</t>
  </si>
  <si>
    <t>&lt;note time="160.375" string="0" fret="7" palmMute="1" /&gt;</t>
  </si>
  <si>
    <t>&lt;note time="160.500" string="1" fret="4" sustain="0.497" vibrato="80" /&gt;</t>
  </si>
  <si>
    <t>&lt;note time="161.000" string="3" fret="6" /&gt;</t>
  </si>
  <si>
    <t>&lt;note time="161.125" string="3" fret="4" /&gt;</t>
  </si>
  <si>
    <t>&lt;note time="161.250" string="2" fret="6" /&gt;</t>
  </si>
  <si>
    <t>&lt;note time="161.375" string="2" fret="4" /&gt;</t>
  </si>
  <si>
    <t>&lt;note time="161.500" string="1" fret="6" palmMute="1" /&gt;</t>
  </si>
  <si>
    <t>&lt;note time="161.625" string="1" fret="7" palmMute="1" /&gt;</t>
  </si>
  <si>
    <t>&lt;note time="161.750" string="1" fret="6" palmMute="1" /&gt;</t>
  </si>
  <si>
    <t>&lt;note time="161.875" string="0" fret="7" palmMute="1" /&gt;</t>
  </si>
  <si>
    <t>&lt;note time="162.000" string="1" fret="4" palmMute="1" /&gt;</t>
  </si>
  <si>
    <t>&lt;note time="162.125" string="1" fret="7" palmMute="1" /&gt;</t>
  </si>
  <si>
    <t>&lt;note time="162.250" string="1" fret="4" palmMute="1" /&gt;</t>
  </si>
  <si>
    <t>&lt;note time="162.375" string="0" fret="7" palmMute="1" /&gt;</t>
  </si>
  <si>
    <t>&lt;note time="162.500" string="1" fret="4" sustain="0.497" vibrato="80" /&gt;</t>
  </si>
  <si>
    <t>&lt;note time="163.000" string="3" fret="6" /&gt;</t>
  </si>
  <si>
    <t>&lt;note time="163.125" string="3" fret="4" /&gt;</t>
  </si>
  <si>
    <t>&lt;note time="163.250" string="2" fret="6" /&gt;</t>
  </si>
  <si>
    <t>&lt;note time="163.375" string="2" fret="4" /&gt;</t>
  </si>
  <si>
    <t>&lt;note time="163.500" string="1" fret="6" palmMute="1" /&gt;</t>
  </si>
  <si>
    <t>&lt;note time="163.625" string="1" fret="7" palmMute="1" /&gt;</t>
  </si>
  <si>
    <t>&lt;note time="163.750" string="1" fret="6" palmMute="1" /&gt;</t>
  </si>
  <si>
    <t>&lt;note time="163.875" string="0" fret="7" palmMute="1" /&gt;</t>
  </si>
  <si>
    <t>&lt;note time="164.000" string="1" fret="4" palmMute="1" /&gt;</t>
  </si>
  <si>
    <t>&lt;note time="164.125" string="1" fret="7" palmMute="1" /&gt;</t>
  </si>
  <si>
    <t>&lt;note time="164.250" string="1" fret="4" palmMute="1" /&gt;</t>
  </si>
  <si>
    <t>&lt;note time="164.375" string="0" fret="7" palmMute="1" /&gt;</t>
  </si>
  <si>
    <t>&lt;note time="164.500" string="1" fret="4" sustain="0.497" vibrato="80" /&gt;</t>
  </si>
  <si>
    <t>&lt;note time="165.000" string="3" fret="6" /&gt;</t>
  </si>
  <si>
    <t>&lt;note time="165.125" string="3" fret="4" /&gt;</t>
  </si>
  <si>
    <t>&lt;note time="165.250" string="2" fret="6" /&gt;</t>
  </si>
  <si>
    <t>&lt;note time="165.375" string="2" fret="4" /&gt;</t>
  </si>
  <si>
    <t>&lt;note time="165.500" string="1" fret="6" palmMute="1" /&gt;</t>
  </si>
  <si>
    <t>&lt;note time="165.625" string="1" fret="7" palmMute="1" /&gt;</t>
  </si>
  <si>
    <t>&lt;note time="165.750" string="1" fret="6" palmMute="1" /&gt;</t>
  </si>
  <si>
    <t>&lt;note time="165.875" string="0" fret="7" palmMute="1" /&gt;</t>
  </si>
  <si>
    <t>&lt;note time="166.000" string="1" fret="4" palmMute="1" /&gt;</t>
  </si>
  <si>
    <t>&lt;note time="166.125" string="1" fret="7" palmMute="1" /&gt;</t>
  </si>
  <si>
    <t>&lt;note time="166.250" string="1" fret="4" palmMute="1" /&gt;</t>
  </si>
  <si>
    <t>&lt;note time="166.375" string="0" fret="7" palmMute="1" /&gt;</t>
  </si>
  <si>
    <t>&lt;note time="166.500" string="1" fret="4" sustain="0.497" vibrato="80" /&gt;</t>
  </si>
  <si>
    <t>&lt;note time="167.000" string="3" fret="6" /&gt;</t>
  </si>
  <si>
    <t>&lt;note time="167.125" string="3" fret="4" /&gt;</t>
  </si>
  <si>
    <t>&lt;note time="167.250" string="2" fret="6" /&gt;</t>
  </si>
  <si>
    <t>&lt;note time="167.375" string="2" fret="4" /&gt;</t>
  </si>
  <si>
    <t>&lt;note time="167.500" string="1" fret="6" palmMute="1" /&gt;</t>
  </si>
  <si>
    <t>&lt;note time="167.625" string="1" fret="7" palmMute="1" /&gt;</t>
  </si>
  <si>
    <t>&lt;note time="167.750" string="1" fret="6" palmMute="1" /&gt;</t>
  </si>
  <si>
    <t>&lt;note time="167.875" string="0" fret="7" palmMute="1" /&gt;</t>
  </si>
  <si>
    <t>&lt;note time="168.000" string="1" fret="4" palmMute="1" /&gt;</t>
  </si>
  <si>
    <t>&lt;note time="168.125" string="1" fret="7" palmMute="1" /&gt;</t>
  </si>
  <si>
    <t>&lt;note time="168.250" string="1" fret="4" palmMute="1" /&gt;</t>
  </si>
  <si>
    <t>&lt;note time="168.375" string="0" fret="7" palmMute="1" /&gt;</t>
  </si>
  <si>
    <t>&lt;note time="168.500" string="1" fret="4" sustain="0.497" vibrato="80" /&gt;</t>
  </si>
  <si>
    <t>&lt;note time="169.000" string="3" fret="6" /&gt;</t>
  </si>
  <si>
    <t>&lt;note time="169.125" string="3" fret="4" /&gt;</t>
  </si>
  <si>
    <t>&lt;note time="169.250" string="2" fret="6" /&gt;</t>
  </si>
  <si>
    <t>&lt;note time="169.375" string="2" fret="4" /&gt;</t>
  </si>
  <si>
    <t>&lt;note time="169.500" string="1" fret="6" palmMute="1" /&gt;</t>
  </si>
  <si>
    <t>&lt;note time="169.625" string="1" fret="7" palmMute="1" /&gt;</t>
  </si>
  <si>
    <t>&lt;note time="169.750" string="1" fret="6" palmMute="1" /&gt;</t>
  </si>
  <si>
    <t>&lt;note time="169.875" string="0" fret="7" palmMute="1" /&gt;</t>
  </si>
  <si>
    <t>&lt;note time="170.000" string="1" fret="4" palmMute="1" /&gt;</t>
  </si>
  <si>
    <t>&lt;note time="170.125" string="1" fret="7" palmMute="1" /&gt;</t>
  </si>
  <si>
    <t>&lt;note time="170.250" string="1" fret="4" palmMute="1" /&gt;</t>
  </si>
  <si>
    <t>&lt;note time="170.375" string="0" fret="7" palmMute="1" /&gt;</t>
  </si>
  <si>
    <t>&lt;note time="170.500" string="1" fret="4" sustain="0.497" vibrato="80" /&gt;</t>
  </si>
  <si>
    <t>&lt;note time="171.000" string="3" fret="6" /&gt;</t>
  </si>
  <si>
    <t>&lt;note time="171.125" string="3" fret="4" /&gt;</t>
  </si>
  <si>
    <t>&lt;note time="171.250" string="2" fret="6" /&gt;</t>
  </si>
  <si>
    <t>&lt;note time="171.375" string="2" fret="4" /&gt;</t>
  </si>
  <si>
    <t>&lt;note time="171.500" string="1" fret="6" palmMute="1" /&gt;</t>
  </si>
  <si>
    <t>&lt;note time="171.625" string="1" fret="7" palmMute="1" /&gt;</t>
  </si>
  <si>
    <t>&lt;note time="171.750" string="1" fret="6" palmMute="1" /&gt;</t>
  </si>
  <si>
    <t>&lt;note time="171.875" string="0" fret="7" palmMute="1" /&gt;</t>
  </si>
  <si>
    <t>&lt;note time="172.000" string="1" fret="4" palmMute="1" /&gt;</t>
  </si>
  <si>
    <t>&lt;note time="172.125" string="1" fret="7" palmMute="1" /&gt;</t>
  </si>
  <si>
    <t>&lt;note time="172.250" string="1" fret="4" palmMute="1" /&gt;</t>
  </si>
  <si>
    <t>&lt;note time="172.375" string="0" fret="7" palmMute="1" /&gt;</t>
  </si>
  <si>
    <t>&lt;note time="172.500" string="1" fret="4" sustain="0.497" vibrato="80" /&gt;</t>
  </si>
  <si>
    <t>&lt;note time="173.000" string="3" fret="6" /&gt;</t>
  </si>
  <si>
    <t>&lt;note time="173.125" string="3" fret="4" /&gt;</t>
  </si>
  <si>
    <t>&lt;note time="173.250" string="2" fret="6" /&gt;</t>
  </si>
  <si>
    <t>&lt;note time="173.375" string="2" fret="4" /&gt;</t>
  </si>
  <si>
    <t>&lt;note time="173.500" string="1" fret="6" palmMute="1" /&gt;</t>
  </si>
  <si>
    <t>&lt;note time="173.625" string="1" fret="7" palmMute="1" /&gt;</t>
  </si>
  <si>
    <t>&lt;note time="173.750" string="1" fret="6" palmMute="1" /&gt;</t>
  </si>
  <si>
    <t>&lt;note time="173.875" string="0" fret="7" palmMute="1" /&gt;</t>
  </si>
  <si>
    <t>&lt;note time="174.000" string="1" fret="4" palmMute="1" /&gt;</t>
  </si>
  <si>
    <t>&lt;note time="174.125" string="1" fret="7" palmMute="1" /&gt;</t>
  </si>
  <si>
    <t>&lt;note time="174.250" string="1" fret="4" palmMute="1" /&gt;</t>
  </si>
  <si>
    <t>&lt;note time="174.375" string="0" fret="7" palmMute="1" /&gt;</t>
  </si>
  <si>
    <t>&lt;note time="174.500" string="1" fret="4" sustain="0.497" vibrato="80" /&gt;</t>
  </si>
  <si>
    <t>&lt;chord time="8.125" chordId="3" highDensity="1" &gt;&lt;chordNote time="8.125" string="1" fret="4" leftHand="1" /&gt;&lt;chordNote time="8.125" string="2" fret="6" leftHand="3" /&gt;&lt;chordNote time="8.125" string="3" fret="6" leftHand="4" /&gt;&lt;/chord&gt;</t>
  </si>
  <si>
    <t>&lt;chord time="8.250" chordId="3" highDensity="1" &gt;&lt;chordNote time="8.250" string="1" fret="4" leftHand="1" /&gt;&lt;chordNote time="8.250" string="2" fret="6" leftHand="3" /&gt;&lt;chordNote time="8.250" string="3" fret="6" leftHand="4" /&gt;&lt;/chord&gt;</t>
  </si>
  <si>
    <t>&lt;chord time="8.375" chordId="3" highDensity="1" &gt;&lt;chordNote time="8.375" string="1" fret="4" leftHand="1" /&gt;&lt;chordNote time="8.375" string="2" fret="6" leftHand="3" /&gt;&lt;chordNote time="8.375" string="3" fret="6" leftHand="4" /&gt;&lt;/chord&gt;</t>
  </si>
  <si>
    <t>&lt;chord time="8.500" chordId="3" highDensity="1" &gt;&lt;chordNote time="8.500" string="1" fret="4" leftHand="1" /&gt;&lt;chordNote time="8.500" string="2" fret="6" leftHand="3" /&gt;&lt;chordNote time="8.500" string="3" fret="6" leftHand="4" /&gt;&lt;/chord&gt;</t>
  </si>
  <si>
    <t>&lt;chord time="8.625" chordId="3" highDensity="1" &gt;&lt;chordNote time="8.625" string="1" fret="4" leftHand="1" /&gt;&lt;chordNote time="8.625" string="2" fret="6" leftHand="3" /&gt;&lt;chordNote time="8.625" string="3" fret="6" leftHand="4" /&gt;&lt;/chord&gt;</t>
  </si>
  <si>
    <t>&lt;chord time="8.750" chordId="3" highDensity="1" &gt;&lt;chordNote time="8.750" string="1" fret="4" leftHand="1" /&gt;&lt;chordNote time="8.750" string="2" fret="6" leftHand="3" /&gt;&lt;chordNote time="8.750" string="3" fret="6" leftHand="4" /&gt;&lt;/chord&gt;</t>
  </si>
  <si>
    <t>&lt;chord time="8.875" chordId="3" highDensity="1" &gt;&lt;chordNote time="8.875" string="1" fret="4" leftHand="1" /&gt;&lt;chordNote time="8.875" string="2" fret="6" leftHand="3" /&gt;&lt;chordNote time="8.875" string="3" fret="6" leftHand="4" /&gt;&lt;/chord&gt;</t>
  </si>
  <si>
    <t>&lt;chord time="9.000" chordId="3" highDensity="1" &gt;&lt;chordNote time="9.000" string="1" fret="4" leftHand="1" /&gt;&lt;chordNote time="9.000" string="2" fret="6" leftHand="3" /&gt;&lt;chordNote time="9.000" string="3" fret="6" leftHand="4" /&gt;&lt;/chord&gt;</t>
  </si>
  <si>
    <t>&lt;chord time="9.125" chordId="3" highDensity="1" &gt;&lt;chordNote time="9.125" string="1" fret="4" leftHand="1" /&gt;&lt;chordNote time="9.125" string="2" fret="6" leftHand="3" /&gt;&lt;chordNote time="9.125" string="3" fret="6" leftHand="4" /&gt;&lt;/chord&gt;</t>
  </si>
  <si>
    <t>&lt;chord time="9.250" chordId="3" highDensity="1" &gt;&lt;chordNote time="9.250" string="1" fret="4" leftHand="1" /&gt;&lt;chordNote time="9.250" string="2" fret="6" leftHand="3" /&gt;&lt;chordNote time="9.250" string="3" fret="6" leftHand="4" /&gt;&lt;/chord&gt;</t>
  </si>
  <si>
    <t>&lt;chord time="9.375" chordId="3" highDensity="1" &gt;&lt;chordNote time="9.375" string="1" fret="4" leftHand="1" /&gt;&lt;chordNote time="9.375" string="2" fret="6" leftHand="3" /&gt;&lt;chordNote time="9.375" string="3" fret="6" leftHand="4" /&gt;&lt;/chord&gt;</t>
  </si>
  <si>
    <t>&lt;chord time="9.500" chordId="3" highDensity="1" &gt;&lt;chordNote time="9.500" string="1" fret="4" leftHand="1" /&gt;&lt;chordNote time="9.500" string="2" fret="6" leftHand="3" /&gt;&lt;chordNote time="9.500" string="3" fret="6" leftHand="4" /&gt;&lt;/chord&gt;</t>
  </si>
  <si>
    <t>&lt;chord time="9.625" chordId="3" highDensity="1" &gt;&lt;chordNote time="9.625" string="1" fret="4" leftHand="1" /&gt;&lt;chordNote time="9.625" string="2" fret="6" leftHand="3" /&gt;&lt;chordNote time="9.625" string="3" fret="6" leftHand="4" /&gt;&lt;/chord&gt;</t>
  </si>
  <si>
    <t>&lt;chord time="9.750" chordId="3" highDensity="1" &gt;&lt;chordNote time="9.750" string="1" fret="4" leftHand="1" /&gt;&lt;chordNote time="9.750" string="2" fret="6" leftHand="3" /&gt;&lt;chordNote time="9.750" string="3" fret="6" leftHand="4" /&gt;&lt;/chord&gt;</t>
  </si>
  <si>
    <t>&lt;chord time="9.875" chordId="3" highDensity="1" &gt;&lt;chordNote time="9.875" string="1" fret="4" leftHand="1" /&gt;&lt;chordNote time="9.875" string="2" fret="6" leftHand="3" /&gt;&lt;chordNote time="9.875" string="3" fret="6" leftHand="4" /&gt;&lt;/chord&gt;</t>
  </si>
  <si>
    <t>&lt;chord time="10.000" chordId="4" &gt;&lt;chordNote time="10.000" string="1" fret="2" leftHand="1" /&gt;&lt;chordNote time="10.000" string="2" fret="4" leftHand="3" /&gt;&lt;chordNote time="10.000" string="3" fret="4" leftHand="4" /&gt;&lt;/chord&gt;</t>
  </si>
  <si>
    <t>&lt;chord time="10.125" chordId="4" highDensity="1" &gt;&lt;chordNote time="10.125" string="1" fret="2" leftHand="1" /&gt;&lt;chordNote time="10.125" string="2" fret="4" leftHand="3" /&gt;&lt;chordNote time="10.125" string="3" fret="4" leftHand="4" /&gt;&lt;/chord&gt;</t>
  </si>
  <si>
    <t>&lt;chord time="10.250" chordId="4" highDensity="1" &gt;&lt;chordNote time="10.250" string="1" fret="2" leftHand="1" /&gt;&lt;chordNote time="10.250" string="2" fret="4" leftHand="3" /&gt;&lt;chordNote time="10.250" string="3" fret="4" leftHand="4" /&gt;&lt;/chord&gt;</t>
  </si>
  <si>
    <t>&lt;chord time="10.375" chordId="4" highDensity="1" &gt;&lt;chordNote time="10.375" string="1" fret="2" leftHand="1" /&gt;&lt;chordNote time="10.375" string="2" fret="4" leftHand="3" /&gt;&lt;chordNote time="10.375" string="3" fret="4" leftHand="4" /&gt;&lt;/chord&gt;</t>
  </si>
  <si>
    <t>&lt;chord time="10.500" chordId="4" highDensity="1" &gt;&lt;chordNote time="10.500" string="1" fret="2" leftHand="1" /&gt;&lt;chordNote time="10.500" string="2" fret="4" leftHand="3" /&gt;&lt;chordNote time="10.500" string="3" fret="4" leftHand="4" /&gt;&lt;/chord&gt;</t>
  </si>
  <si>
    <t>&lt;chord time="10.625" chordId="4" highDensity="1" &gt;&lt;chordNote time="10.625" string="1" fret="2" leftHand="1" /&gt;&lt;chordNote time="10.625" string="2" fret="4" leftHand="3" /&gt;&lt;chordNote time="10.625" string="3" fret="4" leftHand="4" /&gt;&lt;/chord&gt;</t>
  </si>
  <si>
    <t>&lt;chord time="10.750" chordId="4" highDensity="1" &gt;&lt;chordNote time="10.750" string="1" fret="2" leftHand="1" /&gt;&lt;chordNote time="10.750" string="2" fret="4" leftHand="3" /&gt;&lt;chordNote time="10.750" string="3" fret="4" leftHand="4" /&gt;&lt;/chord&gt;</t>
  </si>
  <si>
    <t>&lt;chord time="10.875" chordId="4" highDensity="1" &gt;&lt;chordNote time="10.875" string="1" fret="2" leftHand="1" /&gt;&lt;chordNote time="10.875" string="2" fret="4" leftHand="3" /&gt;&lt;chordNote time="10.875" string="3" fret="4" leftHand="4" /&gt;&lt;/chord&gt;</t>
  </si>
  <si>
    <t>&lt;chord time="11.000" chordId="4" highDensity="1" &gt;&lt;chordNote time="11.000" string="1" fret="2" leftHand="1" /&gt;&lt;chordNote time="11.000" string="2" fret="4" leftHand="3" /&gt;&lt;chordNote time="11.000" string="3" fret="4" leftHand="4" /&gt;&lt;/chord&gt;</t>
  </si>
  <si>
    <t>&lt;chord time="11.125" chordId="4" highDensity="1" &gt;&lt;chordNote time="11.125" string="1" fret="2" leftHand="1" /&gt;&lt;chordNote time="11.125" string="2" fret="4" leftHand="3" /&gt;&lt;chordNote time="11.125" string="3" fret="4" leftHand="4" /&gt;&lt;/chord&gt;</t>
  </si>
  <si>
    <t>&lt;chord time="11.250" chordId="4" highDensity="1" &gt;&lt;chordNote time="11.250" string="1" fret="2" leftHand="1" /&gt;&lt;chordNote time="11.250" string="2" fret="4" leftHand="3" /&gt;&lt;chordNote time="11.250" string="3" fret="4" leftHand="4" /&gt;&lt;/chord&gt;</t>
  </si>
  <si>
    <t>&lt;chord time="11.375" chordId="4" highDensity="1" &gt;&lt;chordNote time="11.375" string="1" fret="2" leftHand="1" /&gt;&lt;chordNote time="11.375" string="2" fret="4" leftHand="3" /&gt;&lt;chordNote time="11.375" string="3" fret="4" leftHand="4" /&gt;&lt;/chord&gt;</t>
  </si>
  <si>
    <t>&lt;chord time="11.500" chordId="4" highDensity="1" &gt;&lt;chordNote time="11.500" string="1" fret="2" leftHand="1" /&gt;&lt;chordNote time="11.500" string="2" fret="4" leftHand="3" /&gt;&lt;chordNote time="11.500" string="3" fret="4" leftHand="4" /&gt;&lt;/chord&gt;</t>
  </si>
  <si>
    <t>&lt;chord time="11.625" chordId="4" highDensity="1" &gt;&lt;chordNote time="11.625" string="1" fret="2" leftHand="1" /&gt;&lt;chordNote time="11.625" string="2" fret="4" leftHand="3" /&gt;&lt;chordNote time="11.625" string="3" fret="4" leftHand="4" /&gt;&lt;/chord&gt;</t>
  </si>
  <si>
    <t>&lt;chord time="11.750" chordId="4" highDensity="1" &gt;&lt;chordNote time="11.750" string="1" fret="2" leftHand="1" /&gt;&lt;chordNote time="11.750" string="2" fret="4" leftHand="3" /&gt;&lt;chordNote time="11.750" string="3" fret="4" leftHand="4" /&gt;&lt;/chord&gt;</t>
  </si>
  <si>
    <t>&lt;chord time="11.875" chordId="4" highDensity="1" &gt;&lt;chordNote time="11.875" string="1" fret="2" leftHand="1" /&gt;&lt;chordNote time="11.875" string="2" fret="4" leftHand="3" /&gt;&lt;chordNote time="11.875" string="3" fret="4" leftHand="4" /&gt;&lt;/chord&gt;</t>
  </si>
  <si>
    <t>&lt;chord time="12.000" chordId="0" &gt;&lt;chordNote time="12.000" string="1" fret="7" leftHand="1" /&gt;&lt;chordNote time="12.000" string="2" fret="9" leftHand="3" /&gt;&lt;chordNote time="12.000" string="3" fret="9" leftHand="4" /&gt;&lt;/chord&gt;</t>
  </si>
  <si>
    <t>&lt;chord time="12.125" chordId="0" highDensity="1" &gt;&lt;chordNote time="12.125" string="1" fret="7" leftHand="1" /&gt;&lt;chordNote time="12.125" string="2" fret="9" leftHand="3" /&gt;&lt;chordNote time="12.125" string="3" fret="9" leftHand="4" /&gt;&lt;/chord&gt;</t>
  </si>
  <si>
    <t>&lt;chord time="12.250" chordId="0" highDensity="1" &gt;&lt;chordNote time="12.250" string="1" fret="7" leftHand="1" /&gt;&lt;chordNote time="12.250" string="2" fret="9" leftHand="3" /&gt;&lt;chordNote time="12.250" string="3" fret="9" leftHand="4" /&gt;&lt;/chord&gt;</t>
  </si>
  <si>
    <t>&lt;chord time="12.375" chordId="0" highDensity="1" &gt;&lt;chordNote time="12.375" string="1" fret="7" leftHand="1" /&gt;&lt;chordNote time="12.375" string="2" fret="9" leftHand="3" /&gt;&lt;chordNote time="12.375" string="3" fret="9" leftHand="4" /&gt;&lt;/chord&gt;</t>
  </si>
  <si>
    <t>&lt;chord time="12.500" chordId="0" highDensity="1" &gt;&lt;chordNote time="12.500" string="1" fret="7" leftHand="1" /&gt;&lt;chordNote time="12.500" string="2" fret="9" leftHand="3" /&gt;&lt;chordNote time="12.500" string="3" fret="9" leftHand="4" /&gt;&lt;/chord&gt;</t>
  </si>
  <si>
    <t>&lt;chord time="12.625" chordId="0" highDensity="1" &gt;&lt;chordNote time="12.625" string="1" fret="7" leftHand="1" /&gt;&lt;chordNote time="12.625" string="2" fret="9" leftHand="3" /&gt;&lt;chordNote time="12.625" string="3" fret="9" leftHand="4" /&gt;&lt;/chord&gt;</t>
  </si>
  <si>
    <t>&lt;chord time="12.750" chordId="0" highDensity="1" &gt;&lt;chordNote time="12.750" string="1" fret="7" leftHand="1" /&gt;&lt;chordNote time="12.750" string="2" fret="9" leftHand="3" /&gt;&lt;chordNote time="12.750" string="3" fret="9" leftHand="4" /&gt;&lt;/chord&gt;</t>
  </si>
  <si>
    <t>&lt;chord time="12.875" chordId="0" highDensity="1" &gt;&lt;chordNote time="12.875" string="1" fret="7" leftHand="1" /&gt;&lt;chordNote time="12.875" string="2" fret="9" leftHand="3" /&gt;&lt;chordNote time="12.875" string="3" fret="9" leftHand="4" /&gt;&lt;/chord&gt;</t>
  </si>
  <si>
    <t>&lt;chord time="13.000" chordId="0" highDensity="1" &gt;&lt;chordNote time="13.000" string="1" fret="7" leftHand="1" /&gt;&lt;chordNote time="13.000" string="2" fret="9" leftHand="3" /&gt;&lt;chordNote time="13.000" string="3" fret="9" leftHand="4" /&gt;&lt;/chord&gt;</t>
  </si>
  <si>
    <t>&lt;chord time="13.125" chordId="0" highDensity="1" &gt;&lt;chordNote time="13.125" string="1" fret="7" leftHand="1" /&gt;&lt;chordNote time="13.125" string="2" fret="9" leftHand="3" /&gt;&lt;chordNote time="13.125" string="3" fret="9" leftHand="4" /&gt;&lt;/chord&gt;</t>
  </si>
  <si>
    <t>&lt;chord time="13.250" chordId="0" highDensity="1" &gt;&lt;chordNote time="13.250" string="1" fret="7" leftHand="1" /&gt;&lt;chordNote time="13.250" string="2" fret="9" leftHand="3" /&gt;&lt;chordNote time="13.250" string="3" fret="9" leftHand="4" /&gt;&lt;/chord&gt;</t>
  </si>
  <si>
    <t>&lt;chord time="13.375" chordId="0" highDensity="1" &gt;&lt;chordNote time="13.375" string="1" fret="7" leftHand="1" /&gt;&lt;chordNote time="13.375" string="2" fret="9" leftHand="3" /&gt;&lt;chordNote time="13.375" string="3" fret="9" leftHand="4" /&gt;&lt;/chord&gt;</t>
  </si>
  <si>
    <t>&lt;chord time="13.500" chordId="0" highDensity="1" &gt;&lt;chordNote time="13.500" string="1" fret="7" leftHand="1" /&gt;&lt;chordNote time="13.500" string="2" fret="9" leftHand="3" /&gt;&lt;chordNote time="13.500" string="3" fret="9" leftHand="4" /&gt;&lt;/chord&gt;</t>
  </si>
  <si>
    <t>&lt;chord time="13.625" chordId="0" highDensity="1" &gt;&lt;chordNote time="13.625" string="1" fret="7" leftHand="1" /&gt;&lt;chordNote time="13.625" string="2" fret="9" leftHand="3" /&gt;&lt;chordNote time="13.625" string="3" fret="9" leftHand="4" /&gt;&lt;/chord&gt;</t>
  </si>
  <si>
    <t>&lt;chord time="13.750" chordId="0" highDensity="1" &gt;&lt;chordNote time="13.750" string="1" fret="7" leftHand="1" /&gt;&lt;chordNote time="13.750" string="2" fret="9" leftHand="3" /&gt;&lt;chordNote time="13.750" string="3" fret="9" leftHand="4" /&gt;&lt;/chord&gt;</t>
  </si>
  <si>
    <t>&lt;chord time="13.875" chordId="0" highDensity="1" &gt;&lt;chordNote time="13.875" string="1" fret="7" leftHand="1" /&gt;&lt;chordNote time="13.875" string="2" fret="9" leftHand="3" /&gt;&lt;chordNote time="13.875" string="3" fret="9" leftHand="4" /&gt;&lt;/chord&gt;</t>
  </si>
  <si>
    <t>&lt;chord time="14.000" chordId="1" &gt;&lt;chordNote time="14.000" string="1" fret="9" leftHand="1" /&gt;&lt;chordNote time="14.000" string="2" fret="11" leftHand="3" /&gt;&lt;chordNote time="14.000" string="3" fret="11" leftHand="4" /&gt;&lt;/chord&gt;</t>
  </si>
  <si>
    <t>&lt;chord time="14.125" chordId="1" highDensity="1" &gt;&lt;chordNote time="14.125" string="1" fret="9" leftHand="1" /&gt;&lt;chordNote time="14.125" string="2" fret="11" leftHand="3" /&gt;&lt;chordNote time="14.125" string="3" fret="11" leftHand="4" /&gt;&lt;/chord&gt;</t>
  </si>
  <si>
    <t>&lt;chord time="14.250" chordId="1" highDensity="1" &gt;&lt;chordNote time="14.250" string="1" fret="9" leftHand="1" /&gt;&lt;chordNote time="14.250" string="2" fret="11" leftHand="3" /&gt;&lt;chordNote time="14.250" string="3" fret="11" leftHand="4" /&gt;&lt;/chord&gt;</t>
  </si>
  <si>
    <t>&lt;chord time="14.375" chordId="1" highDensity="1" &gt;&lt;chordNote time="14.375" string="1" fret="9" leftHand="1" /&gt;&lt;chordNote time="14.375" string="2" fret="11" leftHand="3" /&gt;&lt;chordNote time="14.375" string="3" fret="11" leftHand="4" /&gt;&lt;/chord&gt;</t>
  </si>
  <si>
    <t>&lt;chord time="14.500" chordId="1" highDensity="1" &gt;&lt;chordNote time="14.500" string="1" fret="9" leftHand="1" /&gt;&lt;chordNote time="14.500" string="2" fret="11" leftHand="3" /&gt;&lt;chordNote time="14.500" string="3" fret="11" leftHand="4" /&gt;&lt;/chord&gt;</t>
  </si>
  <si>
    <t>&lt;chord time="14.625" chordId="1" highDensity="1" &gt;&lt;chordNote time="14.625" string="1" fret="9" leftHand="1" /&gt;&lt;chordNote time="14.625" string="2" fret="11" leftHand="3" /&gt;&lt;chordNote time="14.625" string="3" fret="11" leftHand="4" /&gt;&lt;/chord&gt;</t>
  </si>
  <si>
    <t>&lt;chord time="14.750" chordId="1" highDensity="1" &gt;&lt;chordNote time="14.750" string="1" fret="9" leftHand="1" /&gt;&lt;chordNote time="14.750" string="2" fret="11" leftHand="3" /&gt;&lt;chordNote time="14.750" string="3" fret="11" leftHand="4" /&gt;&lt;/chord&gt;</t>
  </si>
  <si>
    <t>&lt;chord time="14.875" chordId="1" highDensity="1" &gt;&lt;chordNote time="14.875" string="1" fret="9" leftHand="1" /&gt;&lt;chordNote time="14.875" string="2" fret="11" leftHand="3" /&gt;&lt;chordNote time="14.875" string="3" fret="11" leftHand="4" /&gt;&lt;/chord&gt;</t>
  </si>
  <si>
    <t>&lt;chord time="15.000" chordId="1" highDensity="1" &gt;&lt;chordNote time="15.000" string="1" fret="9" leftHand="1" /&gt;&lt;chordNote time="15.000" string="2" fret="11" leftHand="3" /&gt;&lt;chordNote time="15.000" string="3" fret="11" leftHand="4" /&gt;&lt;/chord&gt;</t>
  </si>
  <si>
    <t>&lt;chord time="15.125" chordId="1" highDensity="1" &gt;&lt;chordNote time="15.125" string="1" fret="9" leftHand="1" /&gt;&lt;chordNote time="15.125" string="2" fret="11" leftHand="3" /&gt;&lt;chordNote time="15.125" string="3" fret="11" leftHand="4" /&gt;&lt;/chord&gt;</t>
  </si>
  <si>
    <t>&lt;chord time="15.250" chordId="1" highDensity="1" &gt;&lt;chordNote time="15.250" string="1" fret="9" leftHand="1" /&gt;&lt;chordNote time="15.250" string="2" fret="11" leftHand="3" /&gt;&lt;chordNote time="15.250" string="3" fret="11" leftHand="4" /&gt;&lt;/chord&gt;</t>
  </si>
  <si>
    <t>&lt;chord time="15.375" chordId="1" highDensity="1" &gt;&lt;chordNote time="15.375" string="1" fret="9" leftHand="1" /&gt;&lt;chordNote time="15.375" string="2" fret="11" leftHand="3" /&gt;&lt;chordNote time="15.375" string="3" fret="11" leftHand="4" /&gt;&lt;/chord&gt;</t>
  </si>
  <si>
    <t>&lt;chord time="15.500" chordId="1" highDensity="1" &gt;&lt;chordNote time="15.500" string="1" fret="9" leftHand="1" /&gt;&lt;chordNote time="15.500" string="2" fret="11" leftHand="3" /&gt;&lt;chordNote time="15.500" string="3" fret="11" leftHand="4" /&gt;&lt;/chord&gt;</t>
  </si>
  <si>
    <t>&lt;chord time="15.625" chordId="1" highDensity="1" &gt;&lt;chordNote time="15.625" string="1" fret="9" leftHand="1" /&gt;&lt;chordNote time="15.625" string="2" fret="11" leftHand="3" /&gt;&lt;chordNote time="15.625" string="3" fret="11" leftHand="4" /&gt;&lt;/chord&gt;</t>
  </si>
  <si>
    <t>&lt;chord time="15.750" chordId="1" highDensity="1" &gt;&lt;chordNote time="15.750" string="1" fret="9" leftHand="1" /&gt;&lt;chordNote time="15.750" string="2" fret="11" leftHand="3" /&gt;&lt;chordNote time="15.750" string="3" fret="11" leftHand="4" /&gt;&lt;/chord&gt;</t>
  </si>
  <si>
    <t>&lt;chord time="15.875" chordId="1" highDensity="1" &gt;&lt;chordNote time="15.875" string="1" fret="9" leftHand="1" /&gt;&lt;chordNote time="15.875" string="2" fret="11" leftHand="3" /&gt;&lt;chordNote time="15.875" string="3" fret="11" leftHand="4" /&gt;&lt;/chord&gt;</t>
  </si>
  <si>
    <t>&lt;chord time="16.000" chordId="3" &gt;&lt;chordNote time="16.000" string="1" fret="4" leftHand="1" /&gt;&lt;chordNote time="16.000" string="2" fret="6" leftHand="3" /&gt;&lt;chordNote time="16.000" string="3" fret="6" leftHand="4" /&gt;&lt;/chord&gt;</t>
  </si>
  <si>
    <t>&lt;chord time="16.125" chordId="3" highDensity="1" &gt;&lt;chordNote time="16.125" string="1" fret="4" leftHand="1" /&gt;&lt;chordNote time="16.125" string="2" fret="6" leftHand="3" /&gt;&lt;chordNote time="16.125" string="3" fret="6" leftHand="4" /&gt;&lt;/chord&gt;</t>
  </si>
  <si>
    <t>&lt;chord time="16.250" chordId="3" highDensity="1" &gt;&lt;chordNote time="16.250" string="1" fret="4" leftHand="1" /&gt;&lt;chordNote time="16.250" string="2" fret="6" leftHand="3" /&gt;&lt;chordNote time="16.250" string="3" fret="6" leftHand="4" /&gt;&lt;/chord&gt;</t>
  </si>
  <si>
    <t>&lt;chord time="16.375" chordId="3" highDensity="1" &gt;&lt;chordNote time="16.375" string="1" fret="4" leftHand="1" /&gt;&lt;chordNote time="16.375" string="2" fret="6" leftHand="3" /&gt;&lt;chordNote time="16.375" string="3" fret="6" leftHand="4" /&gt;&lt;/chord&gt;</t>
  </si>
  <si>
    <t>&lt;chord time="16.500" chordId="3" highDensity="1" &gt;&lt;chordNote time="16.500" string="1" fret="4" leftHand="1" /&gt;&lt;chordNote time="16.500" string="2" fret="6" leftHand="3" /&gt;&lt;chordNote time="16.500" string="3" fret="6" leftHand="4" /&gt;&lt;/chord&gt;</t>
  </si>
  <si>
    <t>&lt;chord time="16.625" chordId="3" highDensity="1" &gt;&lt;chordNote time="16.625" string="1" fret="4" leftHand="1" /&gt;&lt;chordNote time="16.625" string="2" fret="6" leftHand="3" /&gt;&lt;chordNote time="16.625" string="3" fret="6" leftHand="4" /&gt;&lt;/chord&gt;</t>
  </si>
  <si>
    <t>&lt;chord time="16.750" chordId="3" highDensity="1" &gt;&lt;chordNote time="16.750" string="1" fret="4" leftHand="1" /&gt;&lt;chordNote time="16.750" string="2" fret="6" leftHand="3" /&gt;&lt;chordNote time="16.750" string="3" fret="6" leftHand="4" /&gt;&lt;/chord&gt;</t>
  </si>
  <si>
    <t>&lt;chord time="16.875" chordId="3" highDensity="1" &gt;&lt;chordNote time="16.875" string="1" fret="4" leftHand="1" /&gt;&lt;chordNote time="16.875" string="2" fret="6" leftHand="3" /&gt;&lt;chordNote time="16.875" string="3" fret="6" leftHand="4" /&gt;&lt;/chord&gt;</t>
  </si>
  <si>
    <t>&lt;chord time="17.000" chordId="3" highDensity="1" &gt;&lt;chordNote time="17.000" string="1" fret="4" leftHand="1" /&gt;&lt;chordNote time="17.000" string="2" fret="6" leftHand="3" /&gt;&lt;chordNote time="17.000" string="3" fret="6" leftHand="4" /&gt;&lt;/chord&gt;</t>
  </si>
  <si>
    <t>&lt;chord time="17.125" chordId="3" highDensity="1" &gt;&lt;chordNote time="17.125" string="1" fret="4" leftHand="1" /&gt;&lt;chordNote time="17.125" string="2" fret="6" leftHand="3" /&gt;&lt;chordNote time="17.125" string="3" fret="6" leftHand="4" /&gt;&lt;/chord&gt;</t>
  </si>
  <si>
    <t>&lt;chord time="17.250" chordId="3" highDensity="1" &gt;&lt;chordNote time="17.250" string="1" fret="4" leftHand="1" /&gt;&lt;chordNote time="17.250" string="2" fret="6" leftHand="3" /&gt;&lt;chordNote time="17.250" string="3" fret="6" leftHand="4" /&gt;&lt;/chord&gt;</t>
  </si>
  <si>
    <t>&lt;chord time="17.375" chordId="3" highDensity="1" &gt;&lt;chordNote time="17.375" string="1" fret="4" leftHand="1" /&gt;&lt;chordNote time="17.375" string="2" fret="6" leftHand="3" /&gt;&lt;chordNote time="17.375" string="3" fret="6" leftHand="4" /&gt;&lt;/chord&gt;</t>
  </si>
  <si>
    <t>&lt;chord time="17.500" chordId="3" highDensity="1" &gt;&lt;chordNote time="17.500" string="1" fret="4" leftHand="1" /&gt;&lt;chordNote time="17.500" string="2" fret="6" leftHand="3" /&gt;&lt;chordNote time="17.500" string="3" fret="6" leftHand="4" /&gt;&lt;/chord&gt;</t>
  </si>
  <si>
    <t>&lt;chord time="17.625" chordId="3" highDensity="1" &gt;&lt;chordNote time="17.625" string="1" fret="4" leftHand="1" /&gt;&lt;chordNote time="17.625" string="2" fret="6" leftHand="3" /&gt;&lt;chordNote time="17.625" string="3" fret="6" leftHand="4" /&gt;&lt;/chord&gt;</t>
  </si>
  <si>
    <t>&lt;chord time="17.750" chordId="3" highDensity="1" &gt;&lt;chordNote time="17.750" string="1" fret="4" leftHand="1" /&gt;&lt;chordNote time="17.750" string="2" fret="6" leftHand="3" /&gt;&lt;chordNote time="17.750" string="3" fret="6" leftHand="4" /&gt;&lt;/chord&gt;</t>
  </si>
  <si>
    <t>&lt;chord time="17.875" chordId="3" highDensity="1" &gt;&lt;chordNote time="17.875" string="1" fret="4" leftHand="1" /&gt;&lt;chordNote time="17.875" string="2" fret="6" leftHand="3" /&gt;&lt;chordNote time="17.875" string="3" fret="6" leftHand="4" /&gt;&lt;/chord&gt;</t>
  </si>
  <si>
    <t>&lt;chord time="18.000" chordId="4" &gt;&lt;chordNote time="18.000" string="1" fret="2" leftHand="1" /&gt;&lt;chordNote time="18.000" string="2" fret="4" leftHand="3" /&gt;&lt;chordNote time="18.000" string="3" fret="4" leftHand="4" /&gt;&lt;/chord&gt;</t>
  </si>
  <si>
    <t>&lt;chord time="18.125" chordId="4" highDensity="1" &gt;&lt;chordNote time="18.125" string="1" fret="2" leftHand="1" /&gt;&lt;chordNote time="18.125" string="2" fret="4" leftHand="3" /&gt;&lt;chordNote time="18.125" string="3" fret="4" leftHand="4" /&gt;&lt;/chord&gt;</t>
  </si>
  <si>
    <t>&lt;chord time="18.250" chordId="4" highDensity="1" &gt;&lt;chordNote time="18.250" string="1" fret="2" leftHand="1" /&gt;&lt;chordNote time="18.250" string="2" fret="4" leftHand="3" /&gt;&lt;chordNote time="18.250" string="3" fret="4" leftHand="4" /&gt;&lt;/chord&gt;</t>
  </si>
  <si>
    <t>&lt;chord time="18.375" chordId="4" highDensity="1" &gt;&lt;chordNote time="18.375" string="1" fret="2" leftHand="1" /&gt;&lt;chordNote time="18.375" string="2" fret="4" leftHand="3" /&gt;&lt;chordNote time="18.375" string="3" fret="4" leftHand="4" /&gt;&lt;/chord&gt;</t>
  </si>
  <si>
    <t>&lt;chord time="18.500" chordId="4" highDensity="1" &gt;&lt;chordNote time="18.500" string="1" fret="2" leftHand="1" /&gt;&lt;chordNote time="18.500" string="2" fret="4" leftHand="3" /&gt;&lt;chordNote time="18.500" string="3" fret="4" leftHand="4" /&gt;&lt;/chord&gt;</t>
  </si>
  <si>
    <t>&lt;chord time="18.625" chordId="4" highDensity="1" &gt;&lt;chordNote time="18.625" string="1" fret="2" leftHand="1" /&gt;&lt;chordNote time="18.625" string="2" fret="4" leftHand="3" /&gt;&lt;chordNote time="18.625" string="3" fret="4" leftHand="4" /&gt;&lt;/chord&gt;</t>
  </si>
  <si>
    <t>&lt;chord time="18.750" chordId="4" highDensity="1" &gt;&lt;chordNote time="18.750" string="1" fret="2" leftHand="1" /&gt;&lt;chordNote time="18.750" string="2" fret="4" leftHand="3" /&gt;&lt;chordNote time="18.750" string="3" fret="4" leftHand="4" /&gt;&lt;/chord&gt;</t>
  </si>
  <si>
    <t>&lt;chord time="18.875" chordId="4" highDensity="1" &gt;&lt;chordNote time="18.875" string="1" fret="2" leftHand="1" /&gt;&lt;chordNote time="18.875" string="2" fret="4" leftHand="3" /&gt;&lt;chordNote time="18.875" string="3" fret="4" leftHand="4" /&gt;&lt;/chord&gt;</t>
  </si>
  <si>
    <t>&lt;chord time="19.000" chordId="4" highDensity="1" &gt;&lt;chordNote time="19.000" string="1" fret="2" leftHand="1" /&gt;&lt;chordNote time="19.000" string="2" fret="4" leftHand="3" /&gt;&lt;chordNote time="19.000" string="3" fret="4" leftHand="4" /&gt;&lt;/chord&gt;</t>
  </si>
  <si>
    <t>&lt;chord time="19.125" chordId="4" highDensity="1" &gt;&lt;chordNote time="19.125" string="1" fret="2" leftHand="1" /&gt;&lt;chordNote time="19.125" string="2" fret="4" leftHand="3" /&gt;&lt;chordNote time="19.125" string="3" fret="4" leftHand="4" /&gt;&lt;/chord&gt;</t>
  </si>
  <si>
    <t>&lt;chord time="19.250" chordId="4" highDensity="1" &gt;&lt;chordNote time="19.250" string="1" fret="2" leftHand="1" /&gt;&lt;chordNote time="19.250" string="2" fret="4" leftHand="3" /&gt;&lt;chordNote time="19.250" string="3" fret="4" leftHand="4" /&gt;&lt;/chord&gt;</t>
  </si>
  <si>
    <t>&lt;chord time="19.375" chordId="4" highDensity="1" &gt;&lt;chordNote time="19.375" string="1" fret="2" leftHand="1" /&gt;&lt;chordNote time="19.375" string="2" fret="4" leftHand="3" /&gt;&lt;chordNote time="19.375" string="3" fret="4" leftHand="4" /&gt;&lt;/chord&gt;</t>
  </si>
  <si>
    <t>&lt;chord time="19.500" chordId="4" highDensity="1" &gt;&lt;chordNote time="19.500" string="1" fret="2" leftHand="1" /&gt;&lt;chordNote time="19.500" string="2" fret="4" leftHand="3" /&gt;&lt;chordNote time="19.500" string="3" fret="4" leftHand="4" /&gt;&lt;/chord&gt;</t>
  </si>
  <si>
    <t>&lt;chord time="19.625" chordId="4" highDensity="1" &gt;&lt;chordNote time="19.625" string="1" fret="2" leftHand="1" /&gt;&lt;chordNote time="19.625" string="2" fret="4" leftHand="3" /&gt;&lt;chordNote time="19.625" string="3" fret="4" leftHand="4" /&gt;&lt;/chord&gt;</t>
  </si>
  <si>
    <t>&lt;chord time="19.750" chordId="4" highDensity="1" &gt;&lt;chordNote time="19.750" string="1" fret="2" leftHand="1" /&gt;&lt;chordNote time="19.750" string="2" fret="4" leftHand="3" /&gt;&lt;chordNote time="19.750" string="3" fret="4" leftHand="4" /&gt;&lt;/chord&gt;</t>
  </si>
  <si>
    <t>&lt;chord time="19.875" chordId="4" highDensity="1" &gt;&lt;chordNote time="19.875" string="1" fret="2" leftHand="1" /&gt;&lt;chordNote time="19.875" string="2" fret="4" leftHand="3" /&gt;&lt;chordNote time="19.875" string="3" fret="4" leftHand="4" /&gt;&lt;/chord&gt;</t>
  </si>
  <si>
    <t>&lt;chord time="20.000" chordId="0" &gt;&lt;chordNote time="20.000" string="1" fret="7" leftHand="1" /&gt;&lt;chordNote time="20.000" string="2" fret="9" leftHand="3" /&gt;&lt;chordNote time="20.000" string="3" fret="9" leftHand="4" /&gt;&lt;/chord&gt;</t>
  </si>
  <si>
    <t>&lt;chord time="20.125" chordId="0" highDensity="1" &gt;&lt;chordNote time="20.125" string="1" fret="7" leftHand="1" /&gt;&lt;chordNote time="20.125" string="2" fret="9" leftHand="3" /&gt;&lt;chordNote time="20.125" string="3" fret="9" leftHand="4" /&gt;&lt;/chord&gt;</t>
  </si>
  <si>
    <t>&lt;chord time="20.250" chordId="0" highDensity="1" &gt;&lt;chordNote time="20.250" string="1" fret="7" leftHand="1" /&gt;&lt;chordNote time="20.250" string="2" fret="9" leftHand="3" /&gt;&lt;chordNote time="20.250" string="3" fret="9" leftHand="4" /&gt;&lt;/chord&gt;</t>
  </si>
  <si>
    <t>&lt;chord time="20.375" chordId="0" highDensity="1" &gt;&lt;chordNote time="20.375" string="1" fret="7" leftHand="1" /&gt;&lt;chordNote time="20.375" string="2" fret="9" leftHand="3" /&gt;&lt;chordNote time="20.375" string="3" fret="9" leftHand="4" /&gt;&lt;/chord&gt;</t>
  </si>
  <si>
    <t>&lt;chord time="20.500" chordId="0" highDensity="1" &gt;&lt;chordNote time="20.500" string="1" fret="7" leftHand="1" /&gt;&lt;chordNote time="20.500" string="2" fret="9" leftHand="3" /&gt;&lt;chordNote time="20.500" string="3" fret="9" leftHand="4" /&gt;&lt;/chord&gt;</t>
  </si>
  <si>
    <t>&lt;chord time="20.625" chordId="0" highDensity="1" &gt;&lt;chordNote time="20.625" string="1" fret="7" leftHand="1" /&gt;&lt;chordNote time="20.625" string="2" fret="9" leftHand="3" /&gt;&lt;chordNote time="20.625" string="3" fret="9" leftHand="4" /&gt;&lt;/chord&gt;</t>
  </si>
  <si>
    <t>&lt;chord time="20.750" chordId="0" highDensity="1" &gt;&lt;chordNote time="20.750" string="1" fret="7" leftHand="1" /&gt;&lt;chordNote time="20.750" string="2" fret="9" leftHand="3" /&gt;&lt;chordNote time="20.750" string="3" fret="9" leftHand="4" /&gt;&lt;/chord&gt;</t>
  </si>
  <si>
    <t>&lt;chord time="20.875" chordId="0" highDensity="1" &gt;&lt;chordNote time="20.875" string="1" fret="7" leftHand="1" /&gt;&lt;chordNote time="20.875" string="2" fret="9" leftHand="3" /&gt;&lt;chordNote time="20.875" string="3" fret="9" leftHand="4" /&gt;&lt;/chord&gt;</t>
  </si>
  <si>
    <t>&lt;chord time="21.000" chordId="0" highDensity="1" &gt;&lt;chordNote time="21.000" string="1" fret="7" leftHand="1" /&gt;&lt;chordNote time="21.000" string="2" fret="9" leftHand="3" /&gt;&lt;chordNote time="21.000" string="3" fret="9" leftHand="4" /&gt;&lt;/chord&gt;</t>
  </si>
  <si>
    <t>&lt;chord time="21.125" chordId="0" highDensity="1" &gt;&lt;chordNote time="21.125" string="1" fret="7" leftHand="1" /&gt;&lt;chordNote time="21.125" string="2" fret="9" leftHand="3" /&gt;&lt;chordNote time="21.125" string="3" fret="9" leftHand="4" /&gt;&lt;/chord&gt;</t>
  </si>
  <si>
    <t>&lt;chord time="21.250" chordId="0" highDensity="1" &gt;&lt;chordNote time="21.250" string="1" fret="7" leftHand="1" /&gt;&lt;chordNote time="21.250" string="2" fret="9" leftHand="3" /&gt;&lt;chordNote time="21.250" string="3" fret="9" leftHand="4" /&gt;&lt;/chord&gt;</t>
  </si>
  <si>
    <t>&lt;chord time="21.375" chordId="0" highDensity="1" &gt;&lt;chordNote time="21.375" string="1" fret="7" leftHand="1" /&gt;&lt;chordNote time="21.375" string="2" fret="9" leftHand="3" /&gt;&lt;chordNote time="21.375" string="3" fret="9" leftHand="4" /&gt;&lt;/chord&gt;</t>
  </si>
  <si>
    <t>&lt;chord time="21.500" chordId="0" highDensity="1" &gt;&lt;chordNote time="21.500" string="1" fret="7" leftHand="1" /&gt;&lt;chordNote time="21.500" string="2" fret="9" leftHand="3" /&gt;&lt;chordNote time="21.500" string="3" fret="9" leftHand="4" /&gt;&lt;/chord&gt;</t>
  </si>
  <si>
    <t>&lt;chord time="21.625" chordId="0" highDensity="1" &gt;&lt;chordNote time="21.625" string="1" fret="7" leftHand="1" /&gt;&lt;chordNote time="21.625" string="2" fret="9" leftHand="3" /&gt;&lt;chordNote time="21.625" string="3" fret="9" leftHand="4" /&gt;&lt;/chord&gt;</t>
  </si>
  <si>
    <t>&lt;chord time="21.750" chordId="0" highDensity="1" &gt;&lt;chordNote time="21.750" string="1" fret="7" leftHand="1" /&gt;&lt;chordNote time="21.750" string="2" fret="9" leftHand="3" /&gt;&lt;chordNote time="21.750" string="3" fret="9" leftHand="4" /&gt;&lt;/chord&gt;</t>
  </si>
  <si>
    <t>&lt;chord time="21.875" chordId="0" highDensity="1" &gt;&lt;chordNote time="21.875" string="1" fret="7" leftHand="1" /&gt;&lt;chordNote time="21.875" string="2" fret="9" leftHand="3" /&gt;&lt;chordNote time="21.875" string="3" fret="9" leftHand="4" /&gt;&lt;/chord&gt;</t>
  </si>
  <si>
    <t>&lt;chord time="22.000" chordId="1" &gt;&lt;chordNote time="22.000" string="1" fret="9" leftHand="1" /&gt;&lt;chordNote time="22.000" string="2" fret="11" leftHand="3" /&gt;&lt;chordNote time="22.000" string="3" fret="11" leftHand="4" /&gt;&lt;/chord&gt;</t>
  </si>
  <si>
    <t>&lt;chord time="22.125" chordId="1" highDensity="1" &gt;&lt;chordNote time="22.125" string="1" fret="9" leftHand="1" /&gt;&lt;chordNote time="22.125" string="2" fret="11" leftHand="3" /&gt;&lt;chordNote time="22.125" string="3" fret="11" leftHand="4" /&gt;&lt;/chord&gt;</t>
  </si>
  <si>
    <t>&lt;chord time="22.250" chordId="1" highDensity="1" &gt;&lt;chordNote time="22.250" string="1" fret="9" leftHand="1" /&gt;&lt;chordNote time="22.250" string="2" fret="11" leftHand="3" /&gt;&lt;chordNote time="22.250" string="3" fret="11" leftHand="4" /&gt;&lt;/chord&gt;</t>
  </si>
  <si>
    <t>&lt;chord time="22.375" chordId="1" highDensity="1" &gt;&lt;chordNote time="22.375" string="1" fret="9" leftHand="1" /&gt;&lt;chordNote time="22.375" string="2" fret="11" leftHand="3" /&gt;&lt;chordNote time="22.375" string="3" fret="11" leftHand="4" /&gt;&lt;/chord&gt;</t>
  </si>
  <si>
    <t>&lt;chord time="22.500" chordId="1" highDensity="1" &gt;&lt;chordNote time="22.500" string="1" fret="9" leftHand="1" /&gt;&lt;chordNote time="22.500" string="2" fret="11" leftHand="3" /&gt;&lt;chordNote time="22.500" string="3" fret="11" leftHand="4" /&gt;&lt;/chord&gt;</t>
  </si>
  <si>
    <t>&lt;chord time="22.625" chordId="1" highDensity="1" &gt;&lt;chordNote time="22.625" string="1" fret="9" leftHand="1" /&gt;&lt;chordNote time="22.625" string="2" fret="11" leftHand="3" /&gt;&lt;chordNote time="22.625" string="3" fret="11" leftHand="4" /&gt;&lt;/chord&gt;</t>
  </si>
  <si>
    <t>&lt;chord time="22.750" chordId="1" highDensity="1" &gt;&lt;chordNote time="22.750" string="1" fret="9" leftHand="1" /&gt;&lt;chordNote time="22.750" string="2" fret="11" leftHand="3" /&gt;&lt;chordNote time="22.750" string="3" fret="11" leftHand="4" /&gt;&lt;/chord&gt;</t>
  </si>
  <si>
    <t>&lt;chord time="22.875" chordId="1" highDensity="1" &gt;&lt;chordNote time="22.875" string="1" fret="9" leftHand="1" /&gt;&lt;chordNote time="22.875" string="2" fret="11" leftHand="3" /&gt;&lt;chordNote time="22.875" string="3" fret="11" leftHand="4" /&gt;&lt;/chord&gt;</t>
  </si>
  <si>
    <t>&lt;chord time="23.000" chordId="1" highDensity="1" &gt;&lt;chordNote time="23.000" string="1" fret="9" leftHand="1" /&gt;&lt;chordNote time="23.000" string="2" fret="11" leftHand="3" /&gt;&lt;chordNote time="23.000" string="3" fret="11" leftHand="4" /&gt;&lt;/chord&gt;</t>
  </si>
  <si>
    <t>&lt;chord time="23.125" chordId="1" highDensity="1" &gt;&lt;chordNote time="23.125" string="1" fret="9" leftHand="1" /&gt;&lt;chordNote time="23.125" string="2" fret="11" leftHand="3" /&gt;&lt;chordNote time="23.125" string="3" fret="11" leftHand="4" /&gt;&lt;/chord&gt;</t>
  </si>
  <si>
    <t>&lt;chord time="23.250" chordId="1" highDensity="1" &gt;&lt;chordNote time="23.250" string="1" fret="9" leftHand="1" /&gt;&lt;chordNote time="23.250" string="2" fret="11" leftHand="3" /&gt;&lt;chordNote time="23.250" string="3" fret="11" leftHand="4" /&gt;&lt;/chord&gt;</t>
  </si>
  <si>
    <t>&lt;chord time="23.375" chordId="1" highDensity="1" &gt;&lt;chordNote time="23.375" string="1" fret="9" leftHand="1" /&gt;&lt;chordNote time="23.375" string="2" fret="11" leftHand="3" /&gt;&lt;chordNote time="23.375" string="3" fret="11" leftHand="4" /&gt;&lt;/chord&gt;</t>
  </si>
  <si>
    <t>&lt;chord time="23.500" chordId="1" highDensity="1" &gt;&lt;chordNote time="23.500" string="1" fret="9" leftHand="1" /&gt;&lt;chordNote time="23.500" string="2" fret="11" leftHand="3" /&gt;&lt;chordNote time="23.500" string="3" fret="11" leftHand="4" /&gt;&lt;/chord&gt;</t>
  </si>
  <si>
    <t>&lt;chord time="23.625" chordId="1" highDensity="1" &gt;&lt;chordNote time="23.625" string="1" fret="9" leftHand="1" /&gt;&lt;chordNote time="23.625" string="2" fret="11" leftHand="3" /&gt;&lt;chordNote time="23.625" string="3" fret="11" leftHand="4" /&gt;&lt;/chord&gt;</t>
  </si>
  <si>
    <t>&lt;chord time="23.750" chordId="1" highDensity="1" &gt;&lt;chordNote time="23.750" string="1" fret="9" leftHand="1" /&gt;&lt;chordNote time="23.750" string="2" fret="11" leftHand="3" /&gt;&lt;chordNote time="23.750" string="3" fret="11" leftHand="4" /&gt;&lt;/chord&gt;</t>
  </si>
  <si>
    <t>&lt;chord time="23.875" chordId="1" highDensity="1" &gt;&lt;chordNote time="23.875" string="1" fret="9" leftHand="1" /&gt;&lt;chordNote time="23.875" string="2" fret="11" leftHand="3" /&gt;&lt;chordNote time="23.875" string="3" fret="11" leftHand="4" /&gt;&lt;/chord&gt;</t>
  </si>
  <si>
    <t>&lt;chord time="24.000" chordId="3" &gt;&lt;chordNote time="24.000" string="1" fret="4" leftHand="1" /&gt;&lt;chordNote time="24.000" string="2" fret="6" leftHand="3" /&gt;&lt;chordNote time="24.000" string="3" fret="6" leftHand="4" /&gt;&lt;/chord&gt;</t>
  </si>
  <si>
    <t>&lt;chord time="24.125" chordId="3" highDensity="1" &gt;&lt;chordNote time="24.125" string="1" fret="4" leftHand="1" /&gt;&lt;chordNote time="24.125" string="2" fret="6" leftHand="3" /&gt;&lt;chordNote time="24.125" string="3" fret="6" leftHand="4" /&gt;&lt;/chord&gt;</t>
  </si>
  <si>
    <t>&lt;chord time="24.250" chordId="3" highDensity="1" &gt;&lt;chordNote time="24.250" string="1" fret="4" leftHand="1" /&gt;&lt;chordNote time="24.250" string="2" fret="6" leftHand="3" /&gt;&lt;chordNote time="24.250" string="3" fret="6" leftHand="4" /&gt;&lt;/chord&gt;</t>
  </si>
  <si>
    <t>&lt;chord time="24.375" chordId="3" highDensity="1" &gt;&lt;chordNote time="24.375" string="1" fret="4" leftHand="1" /&gt;&lt;chordNote time="24.375" string="2" fret="6" leftHand="3" /&gt;&lt;chordNote time="24.375" string="3" fret="6" leftHand="4" /&gt;&lt;/chord&gt;</t>
  </si>
  <si>
    <t>&lt;chord time="24.500" chordId="3" highDensity="1" &gt;&lt;chordNote time="24.500" string="1" fret="4" leftHand="1" /&gt;&lt;chordNote time="24.500" string="2" fret="6" leftHand="3" /&gt;&lt;chordNote time="24.500" string="3" fret="6" leftHand="4" /&gt;&lt;/chord&gt;</t>
  </si>
  <si>
    <t>&lt;chord time="24.625" chordId="3" highDensity="1" &gt;&lt;chordNote time="24.625" string="1" fret="4" leftHand="1" /&gt;&lt;chordNote time="24.625" string="2" fret="6" leftHand="3" /&gt;&lt;chordNote time="24.625" string="3" fret="6" leftHand="4" /&gt;&lt;/chord&gt;</t>
  </si>
  <si>
    <t>&lt;chord time="24.750" chordId="3" highDensity="1" &gt;&lt;chordNote time="24.750" string="1" fret="4" leftHand="1" /&gt;&lt;chordNote time="24.750" string="2" fret="6" leftHand="3" /&gt;&lt;chordNote time="24.750" string="3" fret="6" leftHand="4" /&gt;&lt;/chord&gt;</t>
  </si>
  <si>
    <t>&lt;chord time="24.875" chordId="3" highDensity="1" &gt;&lt;chordNote time="24.875" string="1" fret="4" leftHand="1" /&gt;&lt;chordNote time="24.875" string="2" fret="6" leftHand="3" /&gt;&lt;chordNote time="24.875" string="3" fret="6" leftHand="4" /&gt;&lt;/chord&gt;</t>
  </si>
  <si>
    <t>&lt;chord time="25.000" chordId="3" highDensity="1" &gt;&lt;chordNote time="25.000" string="1" fret="4" leftHand="1" /&gt;&lt;chordNote time="25.000" string="2" fret="6" leftHand="3" /&gt;&lt;chordNote time="25.000" string="3" fret="6" leftHand="4" /&gt;&lt;/chord&gt;</t>
  </si>
  <si>
    <t>&lt;chord time="25.125" chordId="3" highDensity="1" &gt;&lt;chordNote time="25.125" string="1" fret="4" leftHand="1" /&gt;&lt;chordNote time="25.125" string="2" fret="6" leftHand="3" /&gt;&lt;chordNote time="25.125" string="3" fret="6" leftHand="4" /&gt;&lt;/chord&gt;</t>
  </si>
  <si>
    <t>&lt;chord time="25.250" chordId="3" highDensity="1" &gt;&lt;chordNote time="25.250" string="1" fret="4" leftHand="1" /&gt;&lt;chordNote time="25.250" string="2" fret="6" leftHand="3" /&gt;&lt;chordNote time="25.250" string="3" fret="6" leftHand="4" /&gt;&lt;/chord&gt;</t>
  </si>
  <si>
    <t>&lt;chord time="25.375" chordId="3" highDensity="1" &gt;&lt;chordNote time="25.375" string="1" fret="4" leftHand="1" /&gt;&lt;chordNote time="25.375" string="2" fret="6" leftHand="3" /&gt;&lt;chordNote time="25.375" string="3" fret="6" leftHand="4" /&gt;&lt;/chord&gt;</t>
  </si>
  <si>
    <t>&lt;chord time="25.500" chordId="3" highDensity="1" &gt;&lt;chordNote time="25.500" string="1" fret="4" leftHand="1" /&gt;&lt;chordNote time="25.500" string="2" fret="6" leftHand="3" /&gt;&lt;chordNote time="25.500" string="3" fret="6" leftHand="4" /&gt;&lt;/chord&gt;</t>
  </si>
  <si>
    <t>&lt;chord time="25.625" chordId="3" highDensity="1" &gt;&lt;chordNote time="25.625" string="1" fret="4" leftHand="1" /&gt;&lt;chordNote time="25.625" string="2" fret="6" leftHand="3" /&gt;&lt;chordNote time="25.625" string="3" fret="6" leftHand="4" /&gt;&lt;/chord&gt;</t>
  </si>
  <si>
    <t>&lt;chord time="25.750" chordId="3" highDensity="1" &gt;&lt;chordNote time="25.750" string="1" fret="4" leftHand="1" /&gt;&lt;chordNote time="25.750" string="2" fret="6" leftHand="3" /&gt;&lt;chordNote time="25.750" string="3" fret="6" leftHand="4" /&gt;&lt;/chord&gt;</t>
  </si>
  <si>
    <t>&lt;chord time="25.875" chordId="3" highDensity="1" &gt;&lt;chordNote time="25.875" string="1" fret="4" leftHand="1" /&gt;&lt;chordNote time="25.875" string="2" fret="6" leftHand="3" /&gt;&lt;chordNote time="25.875" string="3" fret="6" leftHand="4" /&gt;&lt;/chord&gt;</t>
  </si>
  <si>
    <t>&lt;chord time="26.000" chordId="4" &gt;&lt;chordNote time="26.000" string="1" fret="2" leftHand="1" /&gt;&lt;chordNote time="26.000" string="2" fret="4" leftHand="3" /&gt;&lt;chordNote time="26.000" string="3" fret="4" leftHand="4" /&gt;&lt;/chord&gt;</t>
  </si>
  <si>
    <t>&lt;chord time="26.125" chordId="4" highDensity="1" &gt;&lt;chordNote time="26.125" string="1" fret="2" leftHand="1" /&gt;&lt;chordNote time="26.125" string="2" fret="4" leftHand="3" /&gt;&lt;chordNote time="26.125" string="3" fret="4" leftHand="4" /&gt;&lt;/chord&gt;</t>
  </si>
  <si>
    <t>&lt;chord time="26.250" chordId="4" highDensity="1" &gt;&lt;chordNote time="26.250" string="1" fret="2" leftHand="1" /&gt;&lt;chordNote time="26.250" string="2" fret="4" leftHand="3" /&gt;&lt;chordNote time="26.250" string="3" fret="4" leftHand="4" /&gt;&lt;/chord&gt;</t>
  </si>
  <si>
    <t>&lt;chord time="26.375" chordId="4" highDensity="1" &gt;&lt;chordNote time="26.375" string="1" fret="2" leftHand="1" /&gt;&lt;chordNote time="26.375" string="2" fret="4" leftHand="3" /&gt;&lt;chordNote time="26.375" string="3" fret="4" leftHand="4" /&gt;&lt;/chord&gt;</t>
  </si>
  <si>
    <t>&lt;chord time="26.500" chordId="4" highDensity="1" &gt;&lt;chordNote time="26.500" string="1" fret="2" leftHand="1" /&gt;&lt;chordNote time="26.500" string="2" fret="4" leftHand="3" /&gt;&lt;chordNote time="26.500" string="3" fret="4" leftHand="4" /&gt;&lt;/chord&gt;</t>
  </si>
  <si>
    <t>&lt;chord time="26.625" chordId="4" highDensity="1" &gt;&lt;chordNote time="26.625" string="1" fret="2" leftHand="1" /&gt;&lt;chordNote time="26.625" string="2" fret="4" leftHand="3" /&gt;&lt;chordNote time="26.625" string="3" fret="4" leftHand="4" /&gt;&lt;/chord&gt;</t>
  </si>
  <si>
    <t>&lt;chord time="26.750" chordId="4" highDensity="1" &gt;&lt;chordNote time="26.750" string="1" fret="2" leftHand="1" /&gt;&lt;chordNote time="26.750" string="2" fret="4" leftHand="3" /&gt;&lt;chordNote time="26.750" string="3" fret="4" leftHand="4" /&gt;&lt;/chord&gt;</t>
  </si>
  <si>
    <t>&lt;chord time="26.875" chordId="4" highDensity="1" &gt;&lt;chordNote time="26.875" string="1" fret="2" leftHand="1" /&gt;&lt;chordNote time="26.875" string="2" fret="4" leftHand="3" /&gt;&lt;chordNote time="26.875" string="3" fret="4" leftHand="4" /&gt;&lt;/chord&gt;</t>
  </si>
  <si>
    <t>&lt;chord time="27.000" chordId="4" highDensity="1" &gt;&lt;chordNote time="27.000" string="1" fret="2" leftHand="1" /&gt;&lt;chordNote time="27.000" string="2" fret="4" leftHand="3" /&gt;&lt;chordNote time="27.000" string="3" fret="4" leftHand="4" /&gt;&lt;/chord&gt;</t>
  </si>
  <si>
    <t>&lt;chord time="27.125" chordId="4" highDensity="1" &gt;&lt;chordNote time="27.125" string="1" fret="2" leftHand="1" /&gt;&lt;chordNote time="27.125" string="2" fret="4" leftHand="3" /&gt;&lt;chordNote time="27.125" string="3" fret="4" leftHand="4" /&gt;&lt;/chord&gt;</t>
  </si>
  <si>
    <t>&lt;chord time="27.250" chordId="4" highDensity="1" &gt;&lt;chordNote time="27.250" string="1" fret="2" leftHand="1" /&gt;&lt;chordNote time="27.250" string="2" fret="4" leftHand="3" /&gt;&lt;chordNote time="27.250" string="3" fret="4" leftHand="4" /&gt;&lt;/chord&gt;</t>
  </si>
  <si>
    <t>&lt;chord time="27.375" chordId="4" highDensity="1" &gt;&lt;chordNote time="27.375" string="1" fret="2" leftHand="1" /&gt;&lt;chordNote time="27.375" string="2" fret="4" leftHand="3" /&gt;&lt;chordNote time="27.375" string="3" fret="4" leftHand="4" /&gt;&lt;/chord&gt;</t>
  </si>
  <si>
    <t>&lt;chord time="27.500" chordId="4" highDensity="1" &gt;&lt;chordNote time="27.500" string="1" fret="2" leftHand="1" /&gt;&lt;chordNote time="27.500" string="2" fret="4" leftHand="3" /&gt;&lt;chordNote time="27.500" string="3" fret="4" leftHand="4" /&gt;&lt;/chord&gt;</t>
  </si>
  <si>
    <t>&lt;chord time="27.625" chordId="4" highDensity="1" &gt;&lt;chordNote time="27.625" string="1" fret="2" leftHand="1" /&gt;&lt;chordNote time="27.625" string="2" fret="4" leftHand="3" /&gt;&lt;chordNote time="27.625" string="3" fret="4" leftHand="4" /&gt;&lt;/chord&gt;</t>
  </si>
  <si>
    <t>&lt;chord time="27.750" chordId="4" highDensity="1" &gt;&lt;chordNote time="27.750" string="1" fret="2" leftHand="1" /&gt;&lt;chordNote time="27.750" string="2" fret="4" leftHand="3" /&gt;&lt;chordNote time="27.750" string="3" fret="4" leftHand="4" /&gt;&lt;/chord&gt;</t>
  </si>
  <si>
    <t>&lt;chord time="27.875" chordId="4" highDensity="1" &gt;&lt;chordNote time="27.875" string="1" fret="2" leftHand="1" /&gt;&lt;chordNote time="27.875" string="2" fret="4" leftHand="3" /&gt;&lt;chordNote time="27.875" string="3" fret="4" leftHand="4" /&gt;&lt;/chord&gt;</t>
  </si>
  <si>
    <t>&lt;chord time="28.000" chordId="0" &gt;&lt;chordNote time="28.000" string="1" fret="7" leftHand="1" /&gt;&lt;chordNote time="28.000" string="2" fret="9" leftHand="3" /&gt;&lt;chordNote time="28.000" string="3" fret="9" leftHand="4" /&gt;&lt;/chord&gt;</t>
  </si>
  <si>
    <t>&lt;chord time="28.125" chordId="0" highDensity="1" &gt;&lt;chordNote time="28.125" string="1" fret="7" leftHand="1" /&gt;&lt;chordNote time="28.125" string="2" fret="9" leftHand="3" /&gt;&lt;chordNote time="28.125" string="3" fret="9" leftHand="4" /&gt;&lt;/chord&gt;</t>
  </si>
  <si>
    <t>&lt;chord time="28.250" chordId="0" highDensity="1" &gt;&lt;chordNote time="28.250" string="1" fret="7" leftHand="1" /&gt;&lt;chordNote time="28.250" string="2" fret="9" leftHand="3" /&gt;&lt;chordNote time="28.250" string="3" fret="9" leftHand="4" /&gt;&lt;/chord&gt;</t>
  </si>
  <si>
    <t>&lt;chord time="28.375" chordId="0" highDensity="1" &gt;&lt;chordNote time="28.375" string="1" fret="7" leftHand="1" /&gt;&lt;chordNote time="28.375" string="2" fret="9" leftHand="3" /&gt;&lt;chordNote time="28.375" string="3" fret="9" leftHand="4" /&gt;&lt;/chord&gt;</t>
  </si>
  <si>
    <t>&lt;chord time="28.500" chordId="0" highDensity="1" &gt;&lt;chordNote time="28.500" string="1" fret="7" leftHand="1" /&gt;&lt;chordNote time="28.500" string="2" fret="9" leftHand="3" /&gt;&lt;chordNote time="28.500" string="3" fret="9" leftHand="4" /&gt;&lt;/chord&gt;</t>
  </si>
  <si>
    <t>&lt;chord time="28.625" chordId="0" highDensity="1" &gt;&lt;chordNote time="28.625" string="1" fret="7" leftHand="1" /&gt;&lt;chordNote time="28.625" string="2" fret="9" leftHand="3" /&gt;&lt;chordNote time="28.625" string="3" fret="9" leftHand="4" /&gt;&lt;/chord&gt;</t>
  </si>
  <si>
    <t>&lt;chord time="28.750" chordId="0" highDensity="1" &gt;&lt;chordNote time="28.750" string="1" fret="7" leftHand="1" /&gt;&lt;chordNote time="28.750" string="2" fret="9" leftHand="3" /&gt;&lt;chordNote time="28.750" string="3" fret="9" leftHand="4" /&gt;&lt;/chord&gt;</t>
  </si>
  <si>
    <t>&lt;chord time="28.875" chordId="0" highDensity="1" &gt;&lt;chordNote time="28.875" string="1" fret="7" leftHand="1" /&gt;&lt;chordNote time="28.875" string="2" fret="9" leftHand="3" /&gt;&lt;chordNote time="28.875" string="3" fret="9" leftHand="4" /&gt;&lt;/chord&gt;</t>
  </si>
  <si>
    <t>&lt;chord time="29.000" chordId="0" highDensity="1" &gt;&lt;chordNote time="29.000" string="1" fret="7" leftHand="1" /&gt;&lt;chordNote time="29.000" string="2" fret="9" leftHand="3" /&gt;&lt;chordNote time="29.000" string="3" fret="9" leftHand="4" /&gt;&lt;/chord&gt;</t>
  </si>
  <si>
    <t>&lt;chord time="29.125" chordId="0" highDensity="1" &gt;&lt;chordNote time="29.125" string="1" fret="7" leftHand="1" /&gt;&lt;chordNote time="29.125" string="2" fret="9" leftHand="3" /&gt;&lt;chordNote time="29.125" string="3" fret="9" leftHand="4" /&gt;&lt;/chord&gt;</t>
  </si>
  <si>
    <t>&lt;chord time="29.250" chordId="0" highDensity="1" &gt;&lt;chordNote time="29.250" string="1" fret="7" leftHand="1" /&gt;&lt;chordNote time="29.250" string="2" fret="9" leftHand="3" /&gt;&lt;chordNote time="29.250" string="3" fret="9" leftHand="4" /&gt;&lt;/chord&gt;</t>
  </si>
  <si>
    <t>&lt;chord time="29.375" chordId="0" highDensity="1" &gt;&lt;chordNote time="29.375" string="1" fret="7" leftHand="1" /&gt;&lt;chordNote time="29.375" string="2" fret="9" leftHand="3" /&gt;&lt;chordNote time="29.375" string="3" fret="9" leftHand="4" /&gt;&lt;/chord&gt;</t>
  </si>
  <si>
    <t>&lt;chord time="29.500" chordId="0" highDensity="1" &gt;&lt;chordNote time="29.500" string="1" fret="7" leftHand="1" /&gt;&lt;chordNote time="29.500" string="2" fret="9" leftHand="3" /&gt;&lt;chordNote time="29.500" string="3" fret="9" leftHand="4" /&gt;&lt;/chord&gt;</t>
  </si>
  <si>
    <t>&lt;chord time="29.625" chordId="0" highDensity="1" &gt;&lt;chordNote time="29.625" string="1" fret="7" leftHand="1" /&gt;&lt;chordNote time="29.625" string="2" fret="9" leftHand="3" /&gt;&lt;chordNote time="29.625" string="3" fret="9" leftHand="4" /&gt;&lt;/chord&gt;</t>
  </si>
  <si>
    <t>&lt;chord time="29.750" chordId="0" highDensity="1" &gt;&lt;chordNote time="29.750" string="1" fret="7" leftHand="1" /&gt;&lt;chordNote time="29.750" string="2" fret="9" leftHand="3" /&gt;&lt;chordNote time="29.750" string="3" fret="9" leftHand="4" /&gt;&lt;/chord&gt;</t>
  </si>
  <si>
    <t>&lt;chord time="29.875" chordId="0" highDensity="1" &gt;&lt;chordNote time="29.875" string="1" fret="7" leftHand="1" /&gt;&lt;chordNote time="29.875" string="2" fret="9" leftHand="3" /&gt;&lt;chordNote time="29.875" string="3" fret="9" leftHand="4" /&gt;&lt;/chord&gt;</t>
  </si>
  <si>
    <t>&lt;chord time="30.000" chordId="1" &gt;&lt;chordNote time="30.000" string="1" fret="9" leftHand="1" /&gt;&lt;chordNote time="30.000" string="2" fret="11" leftHand="3" /&gt;&lt;chordNote time="30.000" string="3" fret="11" leftHand="4" /&gt;&lt;/chord&gt;</t>
  </si>
  <si>
    <t>&lt;chord time="30.125" chordId="1" highDensity="1" &gt;&lt;chordNote time="30.125" string="1" fret="9" leftHand="1" /&gt;&lt;chordNote time="30.125" string="2" fret="11" leftHand="3" /&gt;&lt;chordNote time="30.125" string="3" fret="11" leftHand="4" /&gt;&lt;/chord&gt;</t>
  </si>
  <si>
    <t>&lt;chord time="30.250" chordId="1" highDensity="1" &gt;&lt;chordNote time="30.250" string="1" fret="9" leftHand="1" /&gt;&lt;chordNote time="30.250" string="2" fret="11" leftHand="3" /&gt;&lt;chordNote time="30.250" string="3" fret="11" leftHand="4" /&gt;&lt;/chord&gt;</t>
  </si>
  <si>
    <t>&lt;chord time="30.375" chordId="1" highDensity="1" &gt;&lt;chordNote time="30.375" string="1" fret="9" leftHand="1" /&gt;&lt;chordNote time="30.375" string="2" fret="11" leftHand="3" /&gt;&lt;chordNote time="30.375" string="3" fret="11" leftHand="4" /&gt;&lt;/chord&gt;</t>
  </si>
  <si>
    <t>&lt;chord time="30.500" chordId="1" highDensity="1" &gt;&lt;chordNote time="30.500" string="1" fret="9" leftHand="1" /&gt;&lt;chordNote time="30.500" string="2" fret="11" leftHand="3" /&gt;&lt;chordNote time="30.500" string="3" fret="11" leftHand="4" /&gt;&lt;/chord&gt;</t>
  </si>
  <si>
    <t>&lt;chord time="30.625" chordId="1" highDensity="1" &gt;&lt;chordNote time="30.625" string="1" fret="9" leftHand="1" /&gt;&lt;chordNote time="30.625" string="2" fret="11" leftHand="3" /&gt;&lt;chordNote time="30.625" string="3" fret="11" leftHand="4" /&gt;&lt;/chord&gt;</t>
  </si>
  <si>
    <t>&lt;chord time="30.750" chordId="1" highDensity="1" &gt;&lt;chordNote time="30.750" string="1" fret="9" leftHand="1" /&gt;&lt;chordNote time="30.750" string="2" fret="11" leftHand="3" /&gt;&lt;chordNote time="30.750" string="3" fret="11" leftHand="4" /&gt;&lt;/chord&gt;</t>
  </si>
  <si>
    <t>&lt;chord time="30.875" chordId="1" highDensity="1" &gt;&lt;chordNote time="30.875" string="1" fret="9" leftHand="1" /&gt;&lt;chordNote time="30.875" string="2" fret="11" leftHand="3" /&gt;&lt;chordNote time="30.875" string="3" fret="11" leftHand="4" /&gt;&lt;/chord&gt;</t>
  </si>
  <si>
    <t>&lt;chord time="31.000" chordId="1" highDensity="1" &gt;&lt;chordNote time="31.000" string="1" fret="9" leftHand="1" /&gt;&lt;chordNote time="31.000" string="2" fret="11" leftHand="3" /&gt;&lt;chordNote time="31.000" string="3" fret="11" leftHand="4" /&gt;&lt;/chord&gt;</t>
  </si>
  <si>
    <t>&lt;chord time="31.125" chordId="1" highDensity="1" &gt;&lt;chordNote time="31.125" string="1" fret="9" leftHand="1" /&gt;&lt;chordNote time="31.125" string="2" fret="11" leftHand="3" /&gt;&lt;chordNote time="31.125" string="3" fret="11" leftHand="4" /&gt;&lt;/chord&gt;</t>
  </si>
  <si>
    <t>&lt;chord time="31.250" chordId="1" highDensity="1" &gt;&lt;chordNote time="31.250" string="1" fret="9" leftHand="1" /&gt;&lt;chordNote time="31.250" string="2" fret="11" leftHand="3" /&gt;&lt;chordNote time="31.250" string="3" fret="11" leftHand="4" /&gt;&lt;/chord&gt;</t>
  </si>
  <si>
    <t>&lt;chord time="31.375" chordId="1" highDensity="1" &gt;&lt;chordNote time="31.375" string="1" fret="9" leftHand="1" /&gt;&lt;chordNote time="31.375" string="2" fret="11" leftHand="3" /&gt;&lt;chordNote time="31.375" string="3" fret="11" leftHand="4" /&gt;&lt;/chord&gt;</t>
  </si>
  <si>
    <t>&lt;chord time="31.500" chordId="1" highDensity="1" &gt;&lt;chordNote time="31.500" string="1" fret="9" leftHand="1" /&gt;&lt;chordNote time="31.500" string="2" fret="11" leftHand="3" /&gt;&lt;chordNote time="31.500" string="3" fret="11" leftHand="4" /&gt;&lt;/chord&gt;</t>
  </si>
  <si>
    <t>&lt;chord time="31.625" chordId="1" highDensity="1" &gt;&lt;chordNote time="31.625" string="1" fret="9" leftHand="1" /&gt;&lt;chordNote time="31.625" string="2" fret="11" leftHand="3" /&gt;&lt;chordNote time="31.625" string="3" fret="11" leftHand="4" /&gt;&lt;/chord&gt;</t>
  </si>
  <si>
    <t>&lt;chord time="31.750" chordId="1" highDensity="1" &gt;&lt;chordNote time="31.750" string="1" fret="9" leftHand="1" /&gt;&lt;chordNote time="31.750" string="2" fret="11" leftHand="3" /&gt;&lt;chordNote time="31.750" string="3" fret="11" leftHand="4" /&gt;&lt;/chord&gt;</t>
  </si>
  <si>
    <t>&lt;chord time="31.875" chordId="1" highDensity="1" &gt;&lt;chordNote time="31.875" string="1" fret="9" leftHand="1" /&gt;&lt;chordNote time="31.875" string="2" fret="11" leftHand="3" /&gt;&lt;chordNote time="31.875" string="3" fret="11" leftHand="4" /&gt;&lt;/chord&gt;</t>
  </si>
  <si>
    <t>&lt;chord time="32.000" chordId="3" &gt;&lt;chordNote time="32.000" string="1" fret="4" leftHand="1" /&gt;&lt;chordNote time="32.000" string="2" fret="6" leftHand="3" /&gt;&lt;chordNote time="32.000" string="3" fret="6" leftHand="4" /&gt;&lt;/chord&gt;</t>
  </si>
  <si>
    <t>&lt;chord time="32.125" chordId="3" highDensity="1" &gt;&lt;chordNote time="32.125" string="1" fret="4" leftHand="1" /&gt;&lt;chordNote time="32.125" string="2" fret="6" leftHand="3" /&gt;&lt;chordNote time="32.125" string="3" fret="6" leftHand="4" /&gt;&lt;/chord&gt;</t>
  </si>
  <si>
    <t>&lt;chord time="32.250" chordId="3" highDensity="1" &gt;&lt;chordNote time="32.250" string="1" fret="4" leftHand="1" /&gt;&lt;chordNote time="32.250" string="2" fret="6" leftHand="3" /&gt;&lt;chordNote time="32.250" string="3" fret="6" leftHand="4" /&gt;&lt;/chord&gt;</t>
  </si>
  <si>
    <t>&lt;chord time="32.375" chordId="3" highDensity="1" &gt;&lt;chordNote time="32.375" string="1" fret="4" leftHand="1" /&gt;&lt;chordNote time="32.375" string="2" fret="6" leftHand="3" /&gt;&lt;chordNote time="32.375" string="3" fret="6" leftHand="4" /&gt;&lt;/chord&gt;</t>
  </si>
  <si>
    <t>&lt;chord time="32.500" chordId="3" highDensity="1" &gt;&lt;chordNote time="32.500" string="1" fret="4" leftHand="1" /&gt;&lt;chordNote time="32.500" string="2" fret="6" leftHand="3" /&gt;&lt;chordNote time="32.500" string="3" fret="6" leftHand="4" /&gt;&lt;/chord&gt;</t>
  </si>
  <si>
    <t>&lt;chord time="32.625" chordId="3" highDensity="1" &gt;&lt;chordNote time="32.625" string="1" fret="4" leftHand="1" /&gt;&lt;chordNote time="32.625" string="2" fret="6" leftHand="3" /&gt;&lt;chordNote time="32.625" string="3" fret="6" leftHand="4" /&gt;&lt;/chord&gt;</t>
  </si>
  <si>
    <t>&lt;chord time="32.750" chordId="3" highDensity="1" &gt;&lt;chordNote time="32.750" string="1" fret="4" leftHand="1" /&gt;&lt;chordNote time="32.750" string="2" fret="6" leftHand="3" /&gt;&lt;chordNote time="32.750" string="3" fret="6" leftHand="4" /&gt;&lt;/chord&gt;</t>
  </si>
  <si>
    <t>&lt;chord time="32.875" chordId="3" highDensity="1" &gt;&lt;chordNote time="32.875" string="1" fret="4" leftHand="1" /&gt;&lt;chordNote time="32.875" string="2" fret="6" leftHand="3" /&gt;&lt;chordNote time="32.875" string="3" fret="6" leftHand="4" /&gt;&lt;/chord&gt;</t>
  </si>
  <si>
    <t>&lt;chord time="33.000" chordId="3" highDensity="1" &gt;&lt;chordNote time="33.000" string="1" fret="4" leftHand="1" /&gt;&lt;chordNote time="33.000" string="2" fret="6" leftHand="3" /&gt;&lt;chordNote time="33.000" string="3" fret="6" leftHand="4" /&gt;&lt;/chord&gt;</t>
  </si>
  <si>
    <t>&lt;chord time="33.125" chordId="3" highDensity="1" &gt;&lt;chordNote time="33.125" string="1" fret="4" leftHand="1" /&gt;&lt;chordNote time="33.125" string="2" fret="6" leftHand="3" /&gt;&lt;chordNote time="33.125" string="3" fret="6" leftHand="4" /&gt;&lt;/chord&gt;</t>
  </si>
  <si>
    <t>&lt;chord time="33.250" chordId="3" highDensity="1" &gt;&lt;chordNote time="33.250" string="1" fret="4" leftHand="1" /&gt;&lt;chordNote time="33.250" string="2" fret="6" leftHand="3" /&gt;&lt;chordNote time="33.250" string="3" fret="6" leftHand="4" /&gt;&lt;/chord&gt;</t>
  </si>
  <si>
    <t>&lt;chord time="33.375" chordId="3" highDensity="1" &gt;&lt;chordNote time="33.375" string="1" fret="4" leftHand="1" /&gt;&lt;chordNote time="33.375" string="2" fret="6" leftHand="3" /&gt;&lt;chordNote time="33.375" string="3" fret="6" leftHand="4" /&gt;&lt;/chord&gt;</t>
  </si>
  <si>
    <t>&lt;chord time="33.500" chordId="3" highDensity="1" &gt;&lt;chordNote time="33.500" string="1" fret="4" leftHand="1" /&gt;&lt;chordNote time="33.500" string="2" fret="6" leftHand="3" /&gt;&lt;chordNote time="33.500" string="3" fret="6" leftHand="4" /&gt;&lt;/chord&gt;</t>
  </si>
  <si>
    <t>&lt;chord time="33.625" chordId="3" highDensity="1" &gt;&lt;chordNote time="33.625" string="1" fret="4" leftHand="1" /&gt;&lt;chordNote time="33.625" string="2" fret="6" leftHand="3" /&gt;&lt;chordNote time="33.625" string="3" fret="6" leftHand="4" /&gt;&lt;/chord&gt;</t>
  </si>
  <si>
    <t>&lt;chord time="33.750" chordId="3" highDensity="1" &gt;&lt;chordNote time="33.750" string="1" fret="4" leftHand="1" /&gt;&lt;chordNote time="33.750" string="2" fret="6" leftHand="3" /&gt;&lt;chordNote time="33.750" string="3" fret="6" leftHand="4" /&gt;&lt;/chord&gt;</t>
  </si>
  <si>
    <t>&lt;chord time="33.875" chordId="3" highDensity="1" &gt;&lt;chordNote time="33.875" string="1" fret="4" leftHand="1" /&gt;&lt;chordNote time="33.875" string="2" fret="6" leftHand="3" /&gt;&lt;chordNote time="33.875" string="3" fret="6" leftHand="4" /&gt;&lt;/chord&gt;</t>
  </si>
  <si>
    <t>&lt;chord time="34.000" chordId="4" &gt;&lt;chordNote time="34.000" string="1" fret="2" leftHand="1" /&gt;&lt;chordNote time="34.000" string="2" fret="4" leftHand="3" /&gt;&lt;chordNote time="34.000" string="3" fret="4" leftHand="4" /&gt;&lt;/chord&gt;</t>
  </si>
  <si>
    <t>&lt;chord time="34.125" chordId="4" highDensity="1" &gt;&lt;chordNote time="34.125" string="1" fret="2" leftHand="1" /&gt;&lt;chordNote time="34.125" string="2" fret="4" leftHand="3" /&gt;&lt;chordNote time="34.125" string="3" fret="4" leftHand="4" /&gt;&lt;/chord&gt;</t>
  </si>
  <si>
    <t>&lt;chord time="34.250" chordId="4" highDensity="1" &gt;&lt;chordNote time="34.250" string="1" fret="2" leftHand="1" /&gt;&lt;chordNote time="34.250" string="2" fret="4" leftHand="3" /&gt;&lt;chordNote time="34.250" string="3" fret="4" leftHand="4" /&gt;&lt;/chord&gt;</t>
  </si>
  <si>
    <t>&lt;chord time="34.375" chordId="4" highDensity="1" &gt;&lt;chordNote time="34.375" string="1" fret="2" leftHand="1" /&gt;&lt;chordNote time="34.375" string="2" fret="4" leftHand="3" /&gt;&lt;chordNote time="34.375" string="3" fret="4" leftHand="4" /&gt;&lt;/chord&gt;</t>
  </si>
  <si>
    <t>&lt;chord time="34.500" chordId="4" highDensity="1" &gt;&lt;chordNote time="34.500" string="1" fret="2" leftHand="1" /&gt;&lt;chordNote time="34.500" string="2" fret="4" leftHand="3" /&gt;&lt;chordNote time="34.500" string="3" fret="4" leftHand="4" /&gt;&lt;/chord&gt;</t>
  </si>
  <si>
    <t>&lt;chord time="34.625" chordId="4" highDensity="1" &gt;&lt;chordNote time="34.625" string="1" fret="2" leftHand="1" /&gt;&lt;chordNote time="34.625" string="2" fret="4" leftHand="3" /&gt;&lt;chordNote time="34.625" string="3" fret="4" leftHand="4" /&gt;&lt;/chord&gt;</t>
  </si>
  <si>
    <t>&lt;chord time="34.750" chordId="4" highDensity="1" &gt;&lt;chordNote time="34.750" string="1" fret="2" leftHand="1" /&gt;&lt;chordNote time="34.750" string="2" fret="4" leftHand="3" /&gt;&lt;chordNote time="34.750" string="3" fret="4" leftHand="4" /&gt;&lt;/chord&gt;</t>
  </si>
  <si>
    <t>&lt;chord time="34.875" chordId="4" highDensity="1" &gt;&lt;chordNote time="34.875" string="1" fret="2" leftHand="1" /&gt;&lt;chordNote time="34.875" string="2" fret="4" leftHand="3" /&gt;&lt;chordNote time="34.875" string="3" fret="4" leftHand="4" /&gt;&lt;/chord&gt;</t>
  </si>
  <si>
    <t>&lt;chord time="35.000" chordId="4" highDensity="1" &gt;&lt;chordNote time="35.000" string="1" fret="2" leftHand="1" /&gt;&lt;chordNote time="35.000" string="2" fret="4" leftHand="3" /&gt;&lt;chordNote time="35.000" string="3" fret="4" leftHand="4" /&gt;&lt;/chord&gt;</t>
  </si>
  <si>
    <t>&lt;chord time="35.125" chordId="4" highDensity="1" &gt;&lt;chordNote time="35.125" string="1" fret="2" leftHand="1" /&gt;&lt;chordNote time="35.125" string="2" fret="4" leftHand="3" /&gt;&lt;chordNote time="35.125" string="3" fret="4" leftHand="4" /&gt;&lt;/chord&gt;</t>
  </si>
  <si>
    <t>&lt;chord time="35.250" chordId="4" highDensity="1" &gt;&lt;chordNote time="35.250" string="1" fret="2" leftHand="1" /&gt;&lt;chordNote time="35.250" string="2" fret="4" leftHand="3" /&gt;&lt;chordNote time="35.250" string="3" fret="4" leftHand="4" /&gt;&lt;/chord&gt;</t>
  </si>
  <si>
    <t>&lt;chord time="35.375" chordId="4" highDensity="1" &gt;&lt;chordNote time="35.375" string="1" fret="2" leftHand="1" /&gt;&lt;chordNote time="35.375" string="2" fret="4" leftHand="3" /&gt;&lt;chordNote time="35.375" string="3" fret="4" leftHand="4" /&gt;&lt;/chord&gt;</t>
  </si>
  <si>
    <t>&lt;chord time="35.500" chordId="4" highDensity="1" &gt;&lt;chordNote time="35.500" string="1" fret="2" leftHand="1" /&gt;&lt;chordNote time="35.500" string="2" fret="4" leftHand="3" /&gt;&lt;chordNote time="35.500" string="3" fret="4" leftHand="4" /&gt;&lt;/chord&gt;</t>
  </si>
  <si>
    <t>&lt;chord time="35.625" chordId="4" highDensity="1" &gt;&lt;chordNote time="35.625" string="1" fret="2" leftHand="1" /&gt;&lt;chordNote time="35.625" string="2" fret="4" leftHand="3" /&gt;&lt;chordNote time="35.625" string="3" fret="4" leftHand="4" /&gt;&lt;/chord&gt;</t>
  </si>
  <si>
    <t>&lt;chord time="35.750" chordId="4" highDensity="1" &gt;&lt;chordNote time="35.750" string="1" fret="2" leftHand="1" /&gt;&lt;chordNote time="35.750" string="2" fret="4" leftHand="3" /&gt;&lt;chordNote time="35.750" string="3" fret="4" leftHand="4" /&gt;&lt;/chord&gt;</t>
  </si>
  <si>
    <t>&lt;chord time="35.875" chordId="4" highDensity="1" &gt;&lt;chordNote time="35.875" string="1" fret="2" leftHand="1" /&gt;&lt;chordNote time="35.875" string="2" fret="4" leftHand="3" /&gt;&lt;chordNote time="35.875" string="3" fret="4" leftHand="4" /&gt;&lt;/chord&gt;</t>
  </si>
  <si>
    <t>&lt;chord time="36.000" chordId="0" &gt;&lt;chordNote time="36.000" string="1" fret="7" leftHand="1" /&gt;&lt;chordNote time="36.000" string="2" fret="9" leftHand="3" /&gt;&lt;chordNote time="36.000" string="3" fret="9" leftHand="4" /&gt;&lt;/chord&gt;</t>
  </si>
  <si>
    <t>&lt;chord time="36.125" chordId="0" highDensity="1" &gt;&lt;chordNote time="36.125" string="1" fret="7" leftHand="1" /&gt;&lt;chordNote time="36.125" string="2" fret="9" leftHand="3" /&gt;&lt;chordNote time="36.125" string="3" fret="9" leftHand="4" /&gt;&lt;/chord&gt;</t>
  </si>
  <si>
    <t>&lt;chord time="36.250" chordId="0" highDensity="1" &gt;&lt;chordNote time="36.250" string="1" fret="7" leftHand="1" /&gt;&lt;chordNote time="36.250" string="2" fret="9" leftHand="3" /&gt;&lt;chordNote time="36.250" string="3" fret="9" leftHand="4" /&gt;&lt;/chord&gt;</t>
  </si>
  <si>
    <t>&lt;chord time="36.375" chordId="0" highDensity="1" &gt;&lt;chordNote time="36.375" string="1" fret="7" leftHand="1" /&gt;&lt;chordNote time="36.375" string="2" fret="9" leftHand="3" /&gt;&lt;chordNote time="36.375" string="3" fret="9" leftHand="4" /&gt;&lt;/chord&gt;</t>
  </si>
  <si>
    <t>&lt;chord time="36.500" chordId="0" highDensity="1" &gt;&lt;chordNote time="36.500" string="1" fret="7" leftHand="1" /&gt;&lt;chordNote time="36.500" string="2" fret="9" leftHand="3" /&gt;&lt;chordNote time="36.500" string="3" fret="9" leftHand="4" /&gt;&lt;/chord&gt;</t>
  </si>
  <si>
    <t>&lt;chord time="36.625" chordId="0" highDensity="1" &gt;&lt;chordNote time="36.625" string="1" fret="7" leftHand="1" /&gt;&lt;chordNote time="36.625" string="2" fret="9" leftHand="3" /&gt;&lt;chordNote time="36.625" string="3" fret="9" leftHand="4" /&gt;&lt;/chord&gt;</t>
  </si>
  <si>
    <t>&lt;chord time="36.750" chordId="0" highDensity="1" &gt;&lt;chordNote time="36.750" string="1" fret="7" leftHand="1" /&gt;&lt;chordNote time="36.750" string="2" fret="9" leftHand="3" /&gt;&lt;chordNote time="36.750" string="3" fret="9" leftHand="4" /&gt;&lt;/chord&gt;</t>
  </si>
  <si>
    <t>&lt;chord time="36.875" chordId="0" highDensity="1" &gt;&lt;chordNote time="36.875" string="1" fret="7" leftHand="1" /&gt;&lt;chordNote time="36.875" string="2" fret="9" leftHand="3" /&gt;&lt;chordNote time="36.875" string="3" fret="9" leftHand="4" /&gt;&lt;/chord&gt;</t>
  </si>
  <si>
    <t>&lt;chord time="37.000" chordId="0" highDensity="1" &gt;&lt;chordNote time="37.000" string="1" fret="7" leftHand="1" /&gt;&lt;chordNote time="37.000" string="2" fret="9" leftHand="3" /&gt;&lt;chordNote time="37.000" string="3" fret="9" leftHand="4" /&gt;&lt;/chord&gt;</t>
  </si>
  <si>
    <t>&lt;chord time="37.125" chordId="0" highDensity="1" &gt;&lt;chordNote time="37.125" string="1" fret="7" leftHand="1" /&gt;&lt;chordNote time="37.125" string="2" fret="9" leftHand="3" /&gt;&lt;chordNote time="37.125" string="3" fret="9" leftHand="4" /&gt;&lt;/chord&gt;</t>
  </si>
  <si>
    <t>&lt;chord time="37.250" chordId="0" highDensity="1" &gt;&lt;chordNote time="37.250" string="1" fret="7" leftHand="1" /&gt;&lt;chordNote time="37.250" string="2" fret="9" leftHand="3" /&gt;&lt;chordNote time="37.250" string="3" fret="9" leftHand="4" /&gt;&lt;/chord&gt;</t>
  </si>
  <si>
    <t>&lt;chord time="37.375" chordId="0" highDensity="1" &gt;&lt;chordNote time="37.375" string="1" fret="7" leftHand="1" /&gt;&lt;chordNote time="37.375" string="2" fret="9" leftHand="3" /&gt;&lt;chordNote time="37.375" string="3" fret="9" leftHand="4" /&gt;&lt;/chord&gt;</t>
  </si>
  <si>
    <t>&lt;chord time="37.500" chordId="0" highDensity="1" &gt;&lt;chordNote time="37.500" string="1" fret="7" leftHand="1" /&gt;&lt;chordNote time="37.500" string="2" fret="9" leftHand="3" /&gt;&lt;chordNote time="37.500" string="3" fret="9" leftHand="4" /&gt;&lt;/chord&gt;</t>
  </si>
  <si>
    <t>&lt;chord time="37.625" chordId="0" highDensity="1" &gt;&lt;chordNote time="37.625" string="1" fret="7" leftHand="1" /&gt;&lt;chordNote time="37.625" string="2" fret="9" leftHand="3" /&gt;&lt;chordNote time="37.625" string="3" fret="9" leftHand="4" /&gt;&lt;/chord&gt;</t>
  </si>
  <si>
    <t>&lt;chord time="37.750" chordId="0" highDensity="1" &gt;&lt;chordNote time="37.750" string="1" fret="7" leftHand="1" /&gt;&lt;chordNote time="37.750" string="2" fret="9" leftHand="3" /&gt;&lt;chordNote time="37.750" string="3" fret="9" leftHand="4" /&gt;&lt;/chord&gt;</t>
  </si>
  <si>
    <t>&lt;chord time="37.875" chordId="0" highDensity="1" &gt;&lt;chordNote time="37.875" string="1" fret="7" leftHand="1" /&gt;&lt;chordNote time="37.875" string="2" fret="9" leftHand="3" /&gt;&lt;chordNote time="37.875" string="3" fret="9" leftHand="4" /&gt;&lt;/chord&gt;</t>
  </si>
  <si>
    <t>&lt;chord time="38.000" chordId="1" &gt;&lt;chordNote time="38.000" string="1" fret="9" leftHand="1" /&gt;&lt;chordNote time="38.000" string="2" fret="11" leftHand="3" /&gt;&lt;chordNote time="38.000" string="3" fret="11" leftHand="4" /&gt;&lt;/chord&gt;</t>
  </si>
  <si>
    <t>&lt;chord time="38.125" chordId="1" highDensity="1" &gt;&lt;chordNote time="38.125" string="1" fret="9" leftHand="1" /&gt;&lt;chordNote time="38.125" string="2" fret="11" leftHand="3" /&gt;&lt;chordNote time="38.125" string="3" fret="11" leftHand="4" /&gt;&lt;/chord&gt;</t>
  </si>
  <si>
    <t>&lt;chord time="38.250" chordId="1" highDensity="1" &gt;&lt;chordNote time="38.250" string="1" fret="9" leftHand="1" /&gt;&lt;chordNote time="38.250" string="2" fret="11" leftHand="3" /&gt;&lt;chordNote time="38.250" string="3" fret="11" leftHand="4" /&gt;&lt;/chord&gt;</t>
  </si>
  <si>
    <t>&lt;chord time="38.375" chordId="1" highDensity="1" &gt;&lt;chordNote time="38.375" string="1" fret="9" leftHand="1" /&gt;&lt;chordNote time="38.375" string="2" fret="11" leftHand="3" /&gt;&lt;chordNote time="38.375" string="3" fret="11" leftHand="4" /&gt;&lt;/chord&gt;</t>
  </si>
  <si>
    <t>&lt;chord time="38.500" chordId="1" highDensity="1" &gt;&lt;chordNote time="38.500" string="1" fret="9" leftHand="1" /&gt;&lt;chordNote time="38.500" string="2" fret="11" leftHand="3" /&gt;&lt;chordNote time="38.500" string="3" fret="11" leftHand="4" /&gt;&lt;/chord&gt;</t>
  </si>
  <si>
    <t>&lt;chord time="38.625" chordId="1" highDensity="1" &gt;&lt;chordNote time="38.625" string="1" fret="9" leftHand="1" /&gt;&lt;chordNote time="38.625" string="2" fret="11" leftHand="3" /&gt;&lt;chordNote time="38.625" string="3" fret="11" leftHand="4" /&gt;&lt;/chord&gt;</t>
  </si>
  <si>
    <t>&lt;chord time="38.750" chordId="1" highDensity="1" &gt;&lt;chordNote time="38.750" string="1" fret="9" leftHand="1" /&gt;&lt;chordNote time="38.750" string="2" fret="11" leftHand="3" /&gt;&lt;chordNote time="38.750" string="3" fret="11" leftHand="4" /&gt;&lt;/chord&gt;</t>
  </si>
  <si>
    <t>&lt;chord time="38.875" chordId="1" highDensity="1" &gt;&lt;chordNote time="38.875" string="1" fret="9" leftHand="1" /&gt;&lt;chordNote time="38.875" string="2" fret="11" leftHand="3" /&gt;&lt;chordNote time="38.875" string="3" fret="11" leftHand="4" /&gt;&lt;/chord&gt;</t>
  </si>
  <si>
    <t>&lt;chord time="39.000" chordId="1" highDensity="1" &gt;&lt;chordNote time="39.000" string="1" fret="9" leftHand="1" /&gt;&lt;chordNote time="39.000" string="2" fret="11" leftHand="3" /&gt;&lt;chordNote time="39.000" string="3" fret="11" leftHand="4" /&gt;&lt;/chord&gt;</t>
  </si>
  <si>
    <t>&lt;chord time="39.125" chordId="1" highDensity="1" &gt;&lt;chordNote time="39.125" string="1" fret="9" leftHand="1" /&gt;&lt;chordNote time="39.125" string="2" fret="11" leftHand="3" /&gt;&lt;chordNote time="39.125" string="3" fret="11" leftHand="4" /&gt;&lt;/chord&gt;</t>
  </si>
  <si>
    <t>&lt;chord time="39.250" chordId="1" highDensity="1" &gt;&lt;chordNote time="39.250" string="1" fret="9" leftHand="1" /&gt;&lt;chordNote time="39.250" string="2" fret="11" leftHand="3" /&gt;&lt;chordNote time="39.250" string="3" fret="11" leftHand="4" /&gt;&lt;/chord&gt;</t>
  </si>
  <si>
    <t>&lt;chord time="39.375" chordId="1" highDensity="1" &gt;&lt;chordNote time="39.375" string="1" fret="9" leftHand="1" /&gt;&lt;chordNote time="39.375" string="2" fret="11" leftHand="3" /&gt;&lt;chordNote time="39.375" string="3" fret="11" leftHand="4" /&gt;&lt;/chord&gt;</t>
  </si>
  <si>
    <t>&lt;chord time="39.500" chordId="1" highDensity="1" &gt;&lt;chordNote time="39.500" string="1" fret="9" leftHand="1" /&gt;&lt;chordNote time="39.500" string="2" fret="11" leftHand="3" /&gt;&lt;chordNote time="39.500" string="3" fret="11" leftHand="4" /&gt;&lt;/chord&gt;</t>
  </si>
  <si>
    <t>&lt;chord time="39.625" chordId="1" highDensity="1" &gt;&lt;chordNote time="39.625" string="1" fret="9" leftHand="1" /&gt;&lt;chordNote time="39.625" string="2" fret="11" leftHand="3" /&gt;&lt;chordNote time="39.625" string="3" fret="11" leftHand="4" /&gt;&lt;/chord&gt;</t>
  </si>
  <si>
    <t>&lt;chord time="39.750" chordId="1" highDensity="1" &gt;&lt;chordNote time="39.750" string="1" fret="9" leftHand="1" /&gt;&lt;chordNote time="39.750" string="2" fret="11" leftHand="3" /&gt;&lt;chordNote time="39.750" string="3" fret="11" leftHand="4" /&gt;&lt;/chord&gt;</t>
  </si>
  <si>
    <t>&lt;chord time="39.875" chordId="1" highDensity="1" &gt;&lt;chordNote time="39.875" string="1" fret="9" leftHand="1" /&gt;&lt;chordNote time="39.875" string="2" fret="11" leftHand="3" /&gt;&lt;chordNote time="39.875" string="3" fret="11" leftHand="4" /&gt;&lt;/chord&gt;</t>
  </si>
  <si>
    <t>&lt;chord time="40.000" chordId="3" &gt;&lt;chordNote time="40.000" string="1" fret="4" leftHand="1" /&gt;&lt;chordNote time="40.000" string="2" fret="6" leftHand="3" /&gt;&lt;chordNote time="40.000" string="3" fret="6" leftHand="4" /&gt;&lt;/chord&gt;</t>
  </si>
  <si>
    <t>&lt;chord time="40.250" chordId="3" highDensity="1" &gt;&lt;chordNote time="40.250" string="1" fret="4" leftHand="1" /&gt;&lt;chordNote time="40.250" string="2" fret="6" leftHand="3" /&gt;&lt;chordNote time="40.250" string="3" fret="6" leftHand="4" /&gt;&lt;/chord&gt;</t>
  </si>
  <si>
    <t>&lt;chord time="40.500" chordId="4" &gt;&lt;chordNote time="40.500" string="1" fret="2" leftHand="1" /&gt;&lt;chordNote time="40.500" string="2" fret="4" leftHand="3" /&gt;&lt;chordNote time="40.500" string="3" fret="4" leftHand="4" /&gt;&lt;/chord&gt;</t>
  </si>
  <si>
    <t>&lt;chord time="40.750" chordId="4" highDensity="1" &gt;&lt;chordNote time="40.750" string="1" fret="2" leftHand="1" /&gt;&lt;chordNote time="40.750" string="2" fret="4" leftHand="3" /&gt;&lt;chordNote time="40.750" string="3" fret="4" leftHand="4" /&gt;&lt;/chord&gt;</t>
  </si>
  <si>
    <t>&lt;chord time="41.000" chordId="5" &gt;&lt;chordNote time="41.000" string="0" fret="0" /&gt;&lt;chordNote time="41.000" string="1" fret="2" leftHand="2" /&gt;&lt;chordNote time="41.000" string="2" fret="2" leftHand="3" /&gt;&lt;/chord&gt;</t>
  </si>
  <si>
    <t>&lt;chord time="42.000" chordId="5" highDensity="1" &gt;&lt;chordNote time="42.000" string="0" fret="0" /&gt;&lt;chordNote time="42.000" string="1" fret="2" leftHand="2" /&gt;&lt;chordNote time="42.000" string="2" fret="2" leftHand="3" /&gt;&lt;/chord&gt;</t>
  </si>
  <si>
    <t>&lt;chord time="42.250" chordId="5" highDensity="1" &gt;&lt;chordNote time="42.250" string="0" fret="0" /&gt;&lt;chordNote time="42.250" string="1" fret="2" leftHand="2" /&gt;&lt;chordNote time="42.250" string="2" fret="2" leftHand="3" /&gt;&lt;/chord&gt;</t>
  </si>
  <si>
    <t>&lt;chord time="42.500" chordId="2" &gt;&lt;chordNote time="42.500" string="0" fret="2" leftHand="1" /&gt;&lt;chordNote time="42.500" string="1" fret="4" leftHand="3" /&gt;&lt;chordNote time="42.500" string="2" fret="4" leftHand="4" /&gt;&lt;/chord&gt;</t>
  </si>
  <si>
    <t>&lt;chord time="42.750" chordId="2" highDensity="1" &gt;&lt;chordNote time="42.750" string="0" fret="2" leftHand="1" /&gt;&lt;chordNote time="42.750" string="1" fret="4" leftHand="3" /&gt;&lt;chordNote time="42.750" string="2" fret="4" leftHand="4" /&gt;&lt;/chord&gt;</t>
  </si>
  <si>
    <t>&lt;chord time="43.000" chordId="3" &gt;&lt;chordNote time="43.000" string="1" fret="4" leftHand="1" /&gt;&lt;chordNote time="43.000" string="2" fret="6" leftHand="3" /&gt;&lt;chordNote time="43.000" string="3" fret="6" leftHand="4" /&gt;&lt;/chord&gt;</t>
  </si>
  <si>
    <t>&lt;chord time="44.000" chordId="3" highDensity="1" &gt;&lt;chordNote time="44.000" string="1" fret="4" leftHand="1" /&gt;&lt;chordNote time="44.000" string="2" fret="6" leftHand="3" /&gt;&lt;chordNote time="44.000" string="3" fret="6" leftHand="4" /&gt;&lt;/chord&gt;</t>
  </si>
  <si>
    <t>&lt;chord time="44.250" chordId="3" highDensity="1" &gt;&lt;chordNote time="44.250" string="1" fret="4" leftHand="1" /&gt;&lt;chordNote time="44.250" string="2" fret="6" leftHand="3" /&gt;&lt;chordNote time="44.250" string="3" fret="6" leftHand="4" /&gt;&lt;/chord&gt;</t>
  </si>
  <si>
    <t>&lt;chord time="44.500" chordId="4" &gt;&lt;chordNote time="44.500" string="1" fret="2" leftHand="1" /&gt;&lt;chordNote time="44.500" string="2" fret="4" leftHand="3" /&gt;&lt;chordNote time="44.500" string="3" fret="4" leftHand="4" /&gt;&lt;/chord&gt;</t>
  </si>
  <si>
    <t>&lt;chord time="44.750" chordId="4" highDensity="1" &gt;&lt;chordNote time="44.750" string="1" fret="2" leftHand="1" /&gt;&lt;chordNote time="44.750" string="2" fret="4" leftHand="3" /&gt;&lt;chordNote time="44.750" string="3" fret="4" leftHand="4" /&gt;&lt;/chord&gt;</t>
  </si>
  <si>
    <t>&lt;chord time="45.000" chordId="5" &gt;&lt;chordNote time="45.000" string="0" fret="0" /&gt;&lt;chordNote time="45.000" string="1" fret="2" leftHand="2" /&gt;&lt;chordNote time="45.000" string="2" fret="2" leftHand="3" /&gt;&lt;/chord&gt;</t>
  </si>
  <si>
    <t>&lt;chord time="46.000" chordId="5" highDensity="1" &gt;&lt;chordNote time="46.000" string="0" fret="0" /&gt;&lt;chordNote time="46.000" string="1" fret="2" leftHand="2" /&gt;&lt;chordNote time="46.000" string="2" fret="2" leftHand="3" /&gt;&lt;/chord&gt;</t>
  </si>
  <si>
    <t>&lt;chord time="46.250" chordId="5" highDensity="1" &gt;&lt;chordNote time="46.250" string="0" fret="0" /&gt;&lt;chordNote time="46.250" string="1" fret="2" leftHand="2" /&gt;&lt;chordNote time="46.250" string="2" fret="2" leftHand="3" /&gt;&lt;/chord&gt;</t>
  </si>
  <si>
    <t>&lt;chord time="46.500" chordId="2" &gt;&lt;chordNote time="46.500" string="0" fret="2" leftHand="1" /&gt;&lt;chordNote time="46.500" string="1" fret="4" leftHand="3" /&gt;&lt;chordNote time="46.500" string="2" fret="4" leftHand="4" /&gt;&lt;/chord&gt;</t>
  </si>
  <si>
    <t>&lt;chord time="46.750" chordId="2" highDensity="1" &gt;&lt;chordNote time="46.750" string="0" fret="2" leftHand="1" /&gt;&lt;chordNote time="46.750" string="1" fret="4" leftHand="3" /&gt;&lt;chordNote time="46.750" string="2" fret="4" leftHand="4" /&gt;&lt;/chord&gt;</t>
  </si>
  <si>
    <t>&lt;chord time="47.000" chordId="3" &gt;&lt;chordNote time="47.000" string="1" fret="4" leftHand="1" /&gt;&lt;chordNote time="47.000" string="2" fret="6" leftHand="3" /&gt;&lt;chordNote time="47.000" string="3" fret="6" leftHand="4" /&gt;&lt;/chord&gt;</t>
  </si>
  <si>
    <t>&lt;chord time="48.000" chordId="3" highDensity="1" &gt;&lt;chordNote time="48.000" string="1" fret="4" leftHand="1" /&gt;&lt;chordNote time="48.000" string="2" fret="6" leftHand="3" /&gt;&lt;chordNote time="48.000" string="3" fret="6" leftHand="4" /&gt;&lt;/chord&gt;</t>
  </si>
  <si>
    <t>&lt;chord time="48.250" chordId="3" highDensity="1" &gt;&lt;chordNote time="48.250" string="1" fret="4" leftHand="1" /&gt;&lt;chordNote time="48.250" string="2" fret="6" leftHand="3" /&gt;&lt;chordNote time="48.250" string="3" fret="6" leftHand="4" /&gt;&lt;/chord&gt;</t>
  </si>
  <si>
    <t>&lt;chord time="48.500" chordId="4" &gt;&lt;chordNote time="48.500" string="1" fret="2" leftHand="1" /&gt;&lt;chordNote time="48.500" string="2" fret="4" leftHand="3" /&gt;&lt;chordNote time="48.500" string="3" fret="4" leftHand="4" /&gt;&lt;/chord&gt;</t>
  </si>
  <si>
    <t>&lt;chord time="48.750" chordId="4" highDensity="1" &gt;&lt;chordNote time="48.750" string="1" fret="2" leftHand="1" /&gt;&lt;chordNote time="48.750" string="2" fret="4" leftHand="3" /&gt;&lt;chordNote time="48.750" string="3" fret="4" leftHand="4" /&gt;&lt;/chord&gt;</t>
  </si>
  <si>
    <t>&lt;chord time="49.000" chordId="5" &gt;&lt;chordNote time="49.000" string="0" fret="0" /&gt;&lt;chordNote time="49.000" string="1" fret="2" leftHand="2" /&gt;&lt;chordNote time="49.000" string="2" fret="2" leftHand="3" /&gt;&lt;/chord&gt;</t>
  </si>
  <si>
    <t>&lt;chord time="50.000" chordId="5" highDensity="1" &gt;&lt;chordNote time="50.000" string="0" fret="0" /&gt;&lt;chordNote time="50.000" string="1" fret="2" leftHand="2" /&gt;&lt;chordNote time="50.000" string="2" fret="2" leftHand="3" /&gt;&lt;/chord&gt;</t>
  </si>
  <si>
    <t>&lt;chord time="50.250" chordId="5" highDensity="1" &gt;&lt;chordNote time="50.250" string="0" fret="0" /&gt;&lt;chordNote time="50.250" string="1" fret="2" leftHand="2" /&gt;&lt;chordNote time="50.250" string="2" fret="2" leftHand="3" /&gt;&lt;/chord&gt;</t>
  </si>
  <si>
    <t>&lt;chord time="50.500" chordId="2" &gt;&lt;chordNote time="50.500" string="0" fret="2" leftHand="1" /&gt;&lt;chordNote time="50.500" string="1" fret="4" leftHand="3" /&gt;&lt;chordNote time="50.500" string="2" fret="4" leftHand="4" /&gt;&lt;/chord&gt;</t>
  </si>
  <si>
    <t>&lt;chord time="50.750" chordId="2" highDensity="1" &gt;&lt;chordNote time="50.750" string="0" fret="2" leftHand="1" /&gt;&lt;chordNote time="50.750" string="1" fret="4" leftHand="3" /&gt;&lt;chordNote time="50.750" string="2" fret="4" leftHand="4" /&gt;&lt;/chord&gt;</t>
  </si>
  <si>
    <t>&lt;chord time="51.000" chordId="3" &gt;&lt;chordNote time="51.000" string="1" fret="4" leftHand="1" /&gt;&lt;chordNote time="51.000" string="2" fret="6" leftHand="3" /&gt;&lt;chordNote time="51.000" string="3" fret="6" leftHand="4" /&gt;&lt;/chord&gt;</t>
  </si>
  <si>
    <t>&lt;chord time="52.000" chordId="3" highDensity="1" &gt;&lt;chordNote time="52.000" string="1" fret="4" leftHand="1" /&gt;&lt;chordNote time="52.000" string="2" fret="6" leftHand="3" /&gt;&lt;chordNote time="52.000" string="3" fret="6" leftHand="4" /&gt;&lt;/chord&gt;</t>
  </si>
  <si>
    <t>&lt;chord time="52.250" chordId="3" highDensity="1" &gt;&lt;chordNote time="52.250" string="1" fret="4" leftHand="1" /&gt;&lt;chordNote time="52.250" string="2" fret="6" leftHand="3" /&gt;&lt;chordNote time="52.250" string="3" fret="6" leftHand="4" /&gt;&lt;/chord&gt;</t>
  </si>
  <si>
    <t>&lt;chord time="52.500" chordId="4" &gt;&lt;chordNote time="52.500" string="1" fret="2" leftHand="1" /&gt;&lt;chordNote time="52.500" string="2" fret="4" leftHand="3" /&gt;&lt;chordNote time="52.500" string="3" fret="4" leftHand="4" /&gt;&lt;/chord&gt;</t>
  </si>
  <si>
    <t>&lt;chord time="52.750" chordId="4" highDensity="1" &gt;&lt;chordNote time="52.750" string="1" fret="2" leftHand="1" /&gt;&lt;chordNote time="52.750" string="2" fret="4" leftHand="3" /&gt;&lt;chordNote time="52.750" string="3" fret="4" leftHand="4" /&gt;&lt;/chord&gt;</t>
  </si>
  <si>
    <t>&lt;chord time="53.000" chordId="5" &gt;&lt;chordNote time="53.000" string="0" fret="0" /&gt;&lt;chordNote time="53.000" string="1" fret="2" leftHand="2" /&gt;&lt;chordNote time="53.000" string="2" fret="2" leftHand="3" /&gt;&lt;/chord&gt;</t>
  </si>
  <si>
    <t>&lt;chord time="54.000" chordId="5" highDensity="1" &gt;&lt;chordNote time="54.000" string="0" fret="0" /&gt;&lt;chordNote time="54.000" string="1" fret="2" leftHand="2" /&gt;&lt;chordNote time="54.000" string="2" fret="2" leftHand="3" /&gt;&lt;/chord&gt;</t>
  </si>
  <si>
    <t>&lt;chord time="54.250" chordId="5" highDensity="1" &gt;&lt;chordNote time="54.250" string="0" fret="0" /&gt;&lt;chordNote time="54.250" string="1" fret="2" leftHand="2" /&gt;&lt;chordNote time="54.250" string="2" fret="2" leftHand="3" /&gt;&lt;/chord&gt;</t>
  </si>
  <si>
    <t>&lt;chord time="54.500" chordId="2" &gt;&lt;chordNote time="54.500" string="0" fret="2" leftHand="1" /&gt;&lt;chordNote time="54.500" string="1" fret="4" leftHand="3" /&gt;&lt;chordNote time="54.500" string="2" fret="4" leftHand="4" /&gt;&lt;/chord&gt;</t>
  </si>
  <si>
    <t>&lt;chord time="54.750" chordId="2" highDensity="1" &gt;&lt;chordNote time="54.750" string="0" fret="2" leftHand="1" /&gt;&lt;chordNote time="54.750" string="1" fret="4" leftHand="3" /&gt;&lt;chordNote time="54.750" string="2" fret="4" leftHand="4" /&gt;&lt;/chord&gt;</t>
  </si>
  <si>
    <t>&lt;chord time="55.000" chordId="3" &gt;&lt;chordNote time="55.000" string="1" fret="4" leftHand="1" /&gt;&lt;chordNote time="55.000" string="2" fret="6" leftHand="3" /&gt;&lt;chordNote time="55.000" string="3" fret="6" leftHand="4" /&gt;&lt;/chord&gt;</t>
  </si>
  <si>
    <t>&lt;chord time="64.000" chordId="3" &gt;&lt;chordNote time="64.000" string="1" fret="4" leftHand="1" /&gt;&lt;chordNote time="64.000" string="2" fret="6" leftHand="3" /&gt;&lt;chordNote time="64.000" string="3" fret="6" leftHand="4" /&gt;&lt;/chord&gt;</t>
  </si>
  <si>
    <t>&lt;chord time="64.125" chordId="3" highDensity="1" &gt;&lt;chordNote time="64.125" string="1" fret="4" leftHand="1" /&gt;&lt;chordNote time="64.125" string="2" fret="6" leftHand="3" /&gt;&lt;chordNote time="64.125" string="3" fret="6" leftHand="4" /&gt;&lt;/chord&gt;</t>
  </si>
  <si>
    <t>&lt;chord time="64.250" chordId="3" highDensity="1" &gt;&lt;chordNote time="64.250" string="1" fret="4" leftHand="1" /&gt;&lt;chordNote time="64.250" string="2" fret="6" leftHand="3" /&gt;&lt;chordNote time="64.250" string="3" fret="6" leftHand="4" /&gt;&lt;/chord&gt;</t>
  </si>
  <si>
    <t>&lt;chord time="64.375" chordId="3" highDensity="1" &gt;&lt;chordNote time="64.375" string="1" fret="4" leftHand="1" /&gt;&lt;chordNote time="64.375" string="2" fret="6" leftHand="3" /&gt;&lt;chordNote time="64.375" string="3" fret="6" leftHand="4" /&gt;&lt;/chord&gt;</t>
  </si>
  <si>
    <t>&lt;chord time="64.500" chordId="3" highDensity="1" &gt;&lt;chordNote time="64.500" string="1" fret="4" leftHand="1" /&gt;&lt;chordNote time="64.500" string="2" fret="6" leftHand="3" /&gt;&lt;chordNote time="64.500" string="3" fret="6" leftHand="4" /&gt;&lt;/chord&gt;</t>
  </si>
  <si>
    <t>&lt;chord time="64.625" chordId="3" highDensity="1" &gt;&lt;chordNote time="64.625" string="1" fret="4" leftHand="1" /&gt;&lt;chordNote time="64.625" string="2" fret="6" leftHand="3" /&gt;&lt;chordNote time="64.625" string="3" fret="6" leftHand="4" /&gt;&lt;/chord&gt;</t>
  </si>
  <si>
    <t>&lt;chord time="64.750" chordId="3" highDensity="1" &gt;&lt;chordNote time="64.750" string="1" fret="4" leftHand="1" /&gt;&lt;chordNote time="64.750" string="2" fret="6" leftHand="3" /&gt;&lt;chordNote time="64.750" string="3" fret="6" leftHand="4" /&gt;&lt;/chord&gt;</t>
  </si>
  <si>
    <t>&lt;chord time="64.875" chordId="3" highDensity="1" &gt;&lt;chordNote time="64.875" string="1" fret="4" leftHand="1" /&gt;&lt;chordNote time="64.875" string="2" fret="6" leftHand="3" /&gt;&lt;chordNote time="64.875" string="3" fret="6" leftHand="4" /&gt;&lt;/chord&gt;</t>
  </si>
  <si>
    <t>&lt;chord time="65.000" chordId="3" highDensity="1" &gt;&lt;chordNote time="65.000" string="1" fret="4" leftHand="1" /&gt;&lt;chordNote time="65.000" string="2" fret="6" leftHand="3" /&gt;&lt;chordNote time="65.000" string="3" fret="6" leftHand="4" /&gt;&lt;/chord&gt;</t>
  </si>
  <si>
    <t>&lt;chord time="65.125" chordId="3" highDensity="1" &gt;&lt;chordNote time="65.125" string="1" fret="4" leftHand="1" /&gt;&lt;chordNote time="65.125" string="2" fret="6" leftHand="3" /&gt;&lt;chordNote time="65.125" string="3" fret="6" leftHand="4" /&gt;&lt;/chord&gt;</t>
  </si>
  <si>
    <t>&lt;chord time="65.250" chordId="3" highDensity="1" &gt;&lt;chordNote time="65.250" string="1" fret="4" leftHand="1" /&gt;&lt;chordNote time="65.250" string="2" fret="6" leftHand="3" /&gt;&lt;chordNote time="65.250" string="3" fret="6" leftHand="4" /&gt;&lt;/chord&gt;</t>
  </si>
  <si>
    <t>&lt;chord time="65.375" chordId="3" highDensity="1" &gt;&lt;chordNote time="65.375" string="1" fret="4" leftHand="1" /&gt;&lt;chordNote time="65.375" string="2" fret="6" leftHand="3" /&gt;&lt;chordNote time="65.375" string="3" fret="6" leftHand="4" /&gt;&lt;/chord&gt;</t>
  </si>
  <si>
    <t>&lt;chord time="65.500" chordId="3" highDensity="1" &gt;&lt;chordNote time="65.500" string="1" fret="4" leftHand="1" /&gt;&lt;chordNote time="65.500" string="2" fret="6" leftHand="3" /&gt;&lt;chordNote time="65.500" string="3" fret="6" leftHand="4" /&gt;&lt;/chord&gt;</t>
  </si>
  <si>
    <t>&lt;chord time="65.625" chordId="3" highDensity="1" &gt;&lt;chordNote time="65.625" string="1" fret="4" leftHand="1" /&gt;&lt;chordNote time="65.625" string="2" fret="6" leftHand="3" /&gt;&lt;chordNote time="65.625" string="3" fret="6" leftHand="4" /&gt;&lt;/chord&gt;</t>
  </si>
  <si>
    <t>&lt;chord time="65.750" chordId="3" highDensity="1" &gt;&lt;chordNote time="65.750" string="1" fret="4" leftHand="1" /&gt;&lt;chordNote time="65.750" string="2" fret="6" leftHand="3" /&gt;&lt;chordNote time="65.750" string="3" fret="6" leftHand="4" /&gt;&lt;/chord&gt;</t>
  </si>
  <si>
    <t>&lt;chord time="65.875" chordId="3" highDensity="1" &gt;&lt;chordNote time="65.875" string="1" fret="4" leftHand="1" /&gt;&lt;chordNote time="65.875" string="2" fret="6" leftHand="3" /&gt;&lt;chordNote time="65.875" string="3" fret="6" leftHand="4" /&gt;&lt;/chord&gt;</t>
  </si>
  <si>
    <t>&lt;chord time="66.000" chordId="4" &gt;&lt;chordNote time="66.000" string="1" fret="2" leftHand="1" /&gt;&lt;chordNote time="66.000" string="2" fret="4" leftHand="3" /&gt;&lt;chordNote time="66.000" string="3" fret="4" leftHand="4" /&gt;&lt;/chord&gt;</t>
  </si>
  <si>
    <t>&lt;chord time="66.125" chordId="4" highDensity="1" &gt;&lt;chordNote time="66.125" string="1" fret="2" leftHand="1" /&gt;&lt;chordNote time="66.125" string="2" fret="4" leftHand="3" /&gt;&lt;chordNote time="66.125" string="3" fret="4" leftHand="4" /&gt;&lt;/chord&gt;</t>
  </si>
  <si>
    <t>&lt;chord time="66.250" chordId="4" highDensity="1" &gt;&lt;chordNote time="66.250" string="1" fret="2" leftHand="1" /&gt;&lt;chordNote time="66.250" string="2" fret="4" leftHand="3" /&gt;&lt;chordNote time="66.250" string="3" fret="4" leftHand="4" /&gt;&lt;/chord&gt;</t>
  </si>
  <si>
    <t>&lt;chord time="66.375" chordId="4" highDensity="1" &gt;&lt;chordNote time="66.375" string="1" fret="2" leftHand="1" /&gt;&lt;chordNote time="66.375" string="2" fret="4" leftHand="3" /&gt;&lt;chordNote time="66.375" string="3" fret="4" leftHand="4" /&gt;&lt;/chord&gt;</t>
  </si>
  <si>
    <t>&lt;chord time="66.500" chordId="4" highDensity="1" &gt;&lt;chordNote time="66.500" string="1" fret="2" leftHand="1" /&gt;&lt;chordNote time="66.500" string="2" fret="4" leftHand="3" /&gt;&lt;chordNote time="66.500" string="3" fret="4" leftHand="4" /&gt;&lt;/chord&gt;</t>
  </si>
  <si>
    <t>&lt;chord time="66.625" chordId="4" highDensity="1" &gt;&lt;chordNote time="66.625" string="1" fret="2" leftHand="1" /&gt;&lt;chordNote time="66.625" string="2" fret="4" leftHand="3" /&gt;&lt;chordNote time="66.625" string="3" fret="4" leftHand="4" /&gt;&lt;/chord&gt;</t>
  </si>
  <si>
    <t>&lt;chord time="66.750" chordId="4" highDensity="1" &gt;&lt;chordNote time="66.750" string="1" fret="2" leftHand="1" /&gt;&lt;chordNote time="66.750" string="2" fret="4" leftHand="3" /&gt;&lt;chordNote time="66.750" string="3" fret="4" leftHand="4" /&gt;&lt;/chord&gt;</t>
  </si>
  <si>
    <t>&lt;chord time="66.875" chordId="4" highDensity="1" &gt;&lt;chordNote time="66.875" string="1" fret="2" leftHand="1" /&gt;&lt;chordNote time="66.875" string="2" fret="4" leftHand="3" /&gt;&lt;chordNote time="66.875" string="3" fret="4" leftHand="4" /&gt;&lt;/chord&gt;</t>
  </si>
  <si>
    <t>&lt;chord time="67.000" chordId="4" highDensity="1" &gt;&lt;chordNote time="67.000" string="1" fret="2" leftHand="1" /&gt;&lt;chordNote time="67.000" string="2" fret="4" leftHand="3" /&gt;&lt;chordNote time="67.000" string="3" fret="4" leftHand="4" /&gt;&lt;/chord&gt;</t>
  </si>
  <si>
    <t>&lt;chord time="67.125" chordId="4" highDensity="1" &gt;&lt;chordNote time="67.125" string="1" fret="2" leftHand="1" /&gt;&lt;chordNote time="67.125" string="2" fret="4" leftHand="3" /&gt;&lt;chordNote time="67.125" string="3" fret="4" leftHand="4" /&gt;&lt;/chord&gt;</t>
  </si>
  <si>
    <t>&lt;chord time="67.250" chordId="4" highDensity="1" &gt;&lt;chordNote time="67.250" string="1" fret="2" leftHand="1" /&gt;&lt;chordNote time="67.250" string="2" fret="4" leftHand="3" /&gt;&lt;chordNote time="67.250" string="3" fret="4" leftHand="4" /&gt;&lt;/chord&gt;</t>
  </si>
  <si>
    <t>&lt;chord time="67.375" chordId="4" highDensity="1" &gt;&lt;chordNote time="67.375" string="1" fret="2" leftHand="1" /&gt;&lt;chordNote time="67.375" string="2" fret="4" leftHand="3" /&gt;&lt;chordNote time="67.375" string="3" fret="4" leftHand="4" /&gt;&lt;/chord&gt;</t>
  </si>
  <si>
    <t>&lt;chord time="67.500" chordId="4" highDensity="1" &gt;&lt;chordNote time="67.500" string="1" fret="2" leftHand="1" /&gt;&lt;chordNote time="67.500" string="2" fret="4" leftHand="3" /&gt;&lt;chordNote time="67.500" string="3" fret="4" leftHand="4" /&gt;&lt;/chord&gt;</t>
  </si>
  <si>
    <t>&lt;chord time="67.625" chordId="4" highDensity="1" &gt;&lt;chordNote time="67.625" string="1" fret="2" leftHand="1" /&gt;&lt;chordNote time="67.625" string="2" fret="4" leftHand="3" /&gt;&lt;chordNote time="67.625" string="3" fret="4" leftHand="4" /&gt;&lt;/chord&gt;</t>
  </si>
  <si>
    <t>&lt;chord time="67.750" chordId="4" highDensity="1" &gt;&lt;chordNote time="67.750" string="1" fret="2" leftHand="1" /&gt;&lt;chordNote time="67.750" string="2" fret="4" leftHand="3" /&gt;&lt;chordNote time="67.750" string="3" fret="4" leftHand="4" /&gt;&lt;/chord&gt;</t>
  </si>
  <si>
    <t>&lt;chord time="67.875" chordId="4" highDensity="1" &gt;&lt;chordNote time="67.875" string="1" fret="2" leftHand="1" /&gt;&lt;chordNote time="67.875" string="2" fret="4" leftHand="3" /&gt;&lt;chordNote time="67.875" string="3" fret="4" leftHand="4" /&gt;&lt;/chord&gt;</t>
  </si>
  <si>
    <t>&lt;chord time="68.000" chordId="0" &gt;&lt;chordNote time="68.000" string="1" fret="7" leftHand="1" /&gt;&lt;chordNote time="68.000" string="2" fret="9" leftHand="3" /&gt;&lt;chordNote time="68.000" string="3" fret="9" leftHand="4" /&gt;&lt;/chord&gt;</t>
  </si>
  <si>
    <t>&lt;chord time="68.125" chordId="0" highDensity="1" &gt;&lt;chordNote time="68.125" string="1" fret="7" leftHand="1" /&gt;&lt;chordNote time="68.125" string="2" fret="9" leftHand="3" /&gt;&lt;chordNote time="68.125" string="3" fret="9" leftHand="4" /&gt;&lt;/chord&gt;</t>
  </si>
  <si>
    <t>&lt;chord time="68.250" chordId="0" highDensity="1" &gt;&lt;chordNote time="68.250" string="1" fret="7" leftHand="1" /&gt;&lt;chordNote time="68.250" string="2" fret="9" leftHand="3" /&gt;&lt;chordNote time="68.250" string="3" fret="9" leftHand="4" /&gt;&lt;/chord&gt;</t>
  </si>
  <si>
    <t>&lt;chord time="68.375" chordId="0" highDensity="1" &gt;&lt;chordNote time="68.375" string="1" fret="7" leftHand="1" /&gt;&lt;chordNote time="68.375" string="2" fret="9" leftHand="3" /&gt;&lt;chordNote time="68.375" string="3" fret="9" leftHand="4" /&gt;&lt;/chord&gt;</t>
  </si>
  <si>
    <t>&lt;chord time="68.500" chordId="0" highDensity="1" &gt;&lt;chordNote time="68.500" string="1" fret="7" leftHand="1" /&gt;&lt;chordNote time="68.500" string="2" fret="9" leftHand="3" /&gt;&lt;chordNote time="68.500" string="3" fret="9" leftHand="4" /&gt;&lt;/chord&gt;</t>
  </si>
  <si>
    <t>&lt;chord time="68.625" chordId="0" highDensity="1" &gt;&lt;chordNote time="68.625" string="1" fret="7" leftHand="1" /&gt;&lt;chordNote time="68.625" string="2" fret="9" leftHand="3" /&gt;&lt;chordNote time="68.625" string="3" fret="9" leftHand="4" /&gt;&lt;/chord&gt;</t>
  </si>
  <si>
    <t>&lt;chord time="68.750" chordId="0" highDensity="1" &gt;&lt;chordNote time="68.750" string="1" fret="7" leftHand="1" /&gt;&lt;chordNote time="68.750" string="2" fret="9" leftHand="3" /&gt;&lt;chordNote time="68.750" string="3" fret="9" leftHand="4" /&gt;&lt;/chord&gt;</t>
  </si>
  <si>
    <t>&lt;chord time="68.875" chordId="0" highDensity="1" &gt;&lt;chordNote time="68.875" string="1" fret="7" leftHand="1" /&gt;&lt;chordNote time="68.875" string="2" fret="9" leftHand="3" /&gt;&lt;chordNote time="68.875" string="3" fret="9" leftHand="4" /&gt;&lt;/chord&gt;</t>
  </si>
  <si>
    <t>&lt;chord time="69.000" chordId="0" highDensity="1" &gt;&lt;chordNote time="69.000" string="1" fret="7" leftHand="1" /&gt;&lt;chordNote time="69.000" string="2" fret="9" leftHand="3" /&gt;&lt;chordNote time="69.000" string="3" fret="9" leftHand="4" /&gt;&lt;/chord&gt;</t>
  </si>
  <si>
    <t>&lt;chord time="69.125" chordId="0" highDensity="1" &gt;&lt;chordNote time="69.125" string="1" fret="7" leftHand="1" /&gt;&lt;chordNote time="69.125" string="2" fret="9" leftHand="3" /&gt;&lt;chordNote time="69.125" string="3" fret="9" leftHand="4" /&gt;&lt;/chord&gt;</t>
  </si>
  <si>
    <t>&lt;chord time="69.250" chordId="0" highDensity="1" &gt;&lt;chordNote time="69.250" string="1" fret="7" leftHand="1" /&gt;&lt;chordNote time="69.250" string="2" fret="9" leftHand="3" /&gt;&lt;chordNote time="69.250" string="3" fret="9" leftHand="4" /&gt;&lt;/chord&gt;</t>
  </si>
  <si>
    <t>&lt;chord time="69.375" chordId="0" highDensity="1" &gt;&lt;chordNote time="69.375" string="1" fret="7" leftHand="1" /&gt;&lt;chordNote time="69.375" string="2" fret="9" leftHand="3" /&gt;&lt;chordNote time="69.375" string="3" fret="9" leftHand="4" /&gt;&lt;/chord&gt;</t>
  </si>
  <si>
    <t>&lt;chord time="69.500" chordId="0" highDensity="1" &gt;&lt;chordNote time="69.500" string="1" fret="7" leftHand="1" /&gt;&lt;chordNote time="69.500" string="2" fret="9" leftHand="3" /&gt;&lt;chordNote time="69.500" string="3" fret="9" leftHand="4" /&gt;&lt;/chord&gt;</t>
  </si>
  <si>
    <t>&lt;chord time="69.625" chordId="0" highDensity="1" &gt;&lt;chordNote time="69.625" string="1" fret="7" leftHand="1" /&gt;&lt;chordNote time="69.625" string="2" fret="9" leftHand="3" /&gt;&lt;chordNote time="69.625" string="3" fret="9" leftHand="4" /&gt;&lt;/chord&gt;</t>
  </si>
  <si>
    <t>&lt;chord time="69.750" chordId="0" highDensity="1" &gt;&lt;chordNote time="69.750" string="1" fret="7" leftHand="1" /&gt;&lt;chordNote time="69.750" string="2" fret="9" leftHand="3" /&gt;&lt;chordNote time="69.750" string="3" fret="9" leftHand="4" /&gt;&lt;/chord&gt;</t>
  </si>
  <si>
    <t>&lt;chord time="69.875" chordId="0" highDensity="1" &gt;&lt;chordNote time="69.875" string="1" fret="7" leftHand="1" /&gt;&lt;chordNote time="69.875" string="2" fret="9" leftHand="3" /&gt;&lt;chordNote time="69.875" string="3" fret="9" leftHand="4" /&gt;&lt;/chord&gt;</t>
  </si>
  <si>
    <t>&lt;chord time="70.000" chordId="1" &gt;&lt;chordNote time="70.000" string="1" fret="9" leftHand="1" /&gt;&lt;chordNote time="70.000" string="2" fret="11" leftHand="3" /&gt;&lt;chordNote time="70.000" string="3" fret="11" leftHand="4" /&gt;&lt;/chord&gt;</t>
  </si>
  <si>
    <t>&lt;chord time="70.125" chordId="1" highDensity="1" &gt;&lt;chordNote time="70.125" string="1" fret="9" leftHand="1" /&gt;&lt;chordNote time="70.125" string="2" fret="11" leftHand="3" /&gt;&lt;chordNote time="70.125" string="3" fret="11" leftHand="4" /&gt;&lt;/chord&gt;</t>
  </si>
  <si>
    <t>&lt;chord time="70.250" chordId="1" highDensity="1" &gt;&lt;chordNote time="70.250" string="1" fret="9" leftHand="1" /&gt;&lt;chordNote time="70.250" string="2" fret="11" leftHand="3" /&gt;&lt;chordNote time="70.250" string="3" fret="11" leftHand="4" /&gt;&lt;/chord&gt;</t>
  </si>
  <si>
    <t>&lt;chord time="70.375" chordId="1" highDensity="1" &gt;&lt;chordNote time="70.375" string="1" fret="9" leftHand="1" /&gt;&lt;chordNote time="70.375" string="2" fret="11" leftHand="3" /&gt;&lt;chordNote time="70.375" string="3" fret="11" leftHand="4" /&gt;&lt;/chord&gt;</t>
  </si>
  <si>
    <t>&lt;chord time="70.500" chordId="1" highDensity="1" &gt;&lt;chordNote time="70.500" string="1" fret="9" leftHand="1" /&gt;&lt;chordNote time="70.500" string="2" fret="11" leftHand="3" /&gt;&lt;chordNote time="70.500" string="3" fret="11" leftHand="4" /&gt;&lt;/chord&gt;</t>
  </si>
  <si>
    <t>&lt;chord time="70.625" chordId="1" highDensity="1" &gt;&lt;chordNote time="70.625" string="1" fret="9" leftHand="1" /&gt;&lt;chordNote time="70.625" string="2" fret="11" leftHand="3" /&gt;&lt;chordNote time="70.625" string="3" fret="11" leftHand="4" /&gt;&lt;/chord&gt;</t>
  </si>
  <si>
    <t>&lt;chord time="70.750" chordId="1" highDensity="1" &gt;&lt;chordNote time="70.750" string="1" fret="9" leftHand="1" /&gt;&lt;chordNote time="70.750" string="2" fret="11" leftHand="3" /&gt;&lt;chordNote time="70.750" string="3" fret="11" leftHand="4" /&gt;&lt;/chord&gt;</t>
  </si>
  <si>
    <t>&lt;chord time="70.875" chordId="1" highDensity="1" &gt;&lt;chordNote time="70.875" string="1" fret="9" leftHand="1" /&gt;&lt;chordNote time="70.875" string="2" fret="11" leftHand="3" /&gt;&lt;chordNote time="70.875" string="3" fret="11" leftHand="4" /&gt;&lt;/chord&gt;</t>
  </si>
  <si>
    <t>&lt;chord time="71.000" chordId="1" highDensity="1" &gt;&lt;chordNote time="71.000" string="1" fret="9" leftHand="1" /&gt;&lt;chordNote time="71.000" string="2" fret="11" leftHand="3" /&gt;&lt;chordNote time="71.000" string="3" fret="11" leftHand="4" /&gt;&lt;/chord&gt;</t>
  </si>
  <si>
    <t>&lt;chord time="71.125" chordId="1" highDensity="1" &gt;&lt;chordNote time="71.125" string="1" fret="9" leftHand="1" /&gt;&lt;chordNote time="71.125" string="2" fret="11" leftHand="3" /&gt;&lt;chordNote time="71.125" string="3" fret="11" leftHand="4" /&gt;&lt;/chord&gt;</t>
  </si>
  <si>
    <t>&lt;chord time="71.250" chordId="1" highDensity="1" &gt;&lt;chordNote time="71.250" string="1" fret="9" leftHand="1" /&gt;&lt;chordNote time="71.250" string="2" fret="11" leftHand="3" /&gt;&lt;chordNote time="71.250" string="3" fret="11" leftHand="4" /&gt;&lt;/chord&gt;</t>
  </si>
  <si>
    <t>&lt;chord time="71.375" chordId="1" highDensity="1" &gt;&lt;chordNote time="71.375" string="1" fret="9" leftHand="1" /&gt;&lt;chordNote time="71.375" string="2" fret="11" leftHand="3" /&gt;&lt;chordNote time="71.375" string="3" fret="11" leftHand="4" /&gt;&lt;/chord&gt;</t>
  </si>
  <si>
    <t>&lt;chord time="71.500" chordId="1" highDensity="1" &gt;&lt;chordNote time="71.500" string="1" fret="9" leftHand="1" /&gt;&lt;chordNote time="71.500" string="2" fret="11" leftHand="3" /&gt;&lt;chordNote time="71.500" string="3" fret="11" leftHand="4" /&gt;&lt;/chord&gt;</t>
  </si>
  <si>
    <t>&lt;chord time="71.625" chordId="1" highDensity="1" &gt;&lt;chordNote time="71.625" string="1" fret="9" leftHand="1" /&gt;&lt;chordNote time="71.625" string="2" fret="11" leftHand="3" /&gt;&lt;chordNote time="71.625" string="3" fret="11" leftHand="4" /&gt;&lt;/chord&gt;</t>
  </si>
  <si>
    <t>&lt;chord time="71.750" chordId="1" highDensity="1" &gt;&lt;chordNote time="71.750" string="1" fret="9" leftHand="1" /&gt;&lt;chordNote time="71.750" string="2" fret="11" leftHand="3" /&gt;&lt;chordNote time="71.750" string="3" fret="11" leftHand="4" /&gt;&lt;/chord&gt;</t>
  </si>
  <si>
    <t>&lt;chord time="71.875" chordId="1" highDensity="1" &gt;&lt;chordNote time="71.875" string="1" fret="9" leftHand="1" /&gt;&lt;chordNote time="71.875" string="2" fret="11" leftHand="3" /&gt;&lt;chordNote time="71.875" string="3" fret="11" leftHand="4" /&gt;&lt;/chord&gt;</t>
  </si>
  <si>
    <t>&lt;chord time="72.000" chordId="3" &gt;&lt;chordNote time="72.000" string="1" fret="4" leftHand="1" /&gt;&lt;chordNote time="72.000" string="2" fret="6" leftHand="3" /&gt;&lt;chordNote time="72.000" string="3" fret="6" leftHand="4" /&gt;&lt;/chord&gt;</t>
  </si>
  <si>
    <t>&lt;chord time="72.125" chordId="3" highDensity="1" &gt;&lt;chordNote time="72.125" string="1" fret="4" leftHand="1" /&gt;&lt;chordNote time="72.125" string="2" fret="6" leftHand="3" /&gt;&lt;chordNote time="72.125" string="3" fret="6" leftHand="4" /&gt;&lt;/chord&gt;</t>
  </si>
  <si>
    <t>&lt;chord time="72.250" chordId="3" highDensity="1" &gt;&lt;chordNote time="72.250" string="1" fret="4" leftHand="1" /&gt;&lt;chordNote time="72.250" string="2" fret="6" leftHand="3" /&gt;&lt;chordNote time="72.250" string="3" fret="6" leftHand="4" /&gt;&lt;/chord&gt;</t>
  </si>
  <si>
    <t>&lt;chord time="72.375" chordId="3" highDensity="1" &gt;&lt;chordNote time="72.375" string="1" fret="4" leftHand="1" /&gt;&lt;chordNote time="72.375" string="2" fret="6" leftHand="3" /&gt;&lt;chordNote time="72.375" string="3" fret="6" leftHand="4" /&gt;&lt;/chord&gt;</t>
  </si>
  <si>
    <t>&lt;chord time="72.500" chordId="3" highDensity="1" &gt;&lt;chordNote time="72.500" string="1" fret="4" leftHand="1" /&gt;&lt;chordNote time="72.500" string="2" fret="6" leftHand="3" /&gt;&lt;chordNote time="72.500" string="3" fret="6" leftHand="4" /&gt;&lt;/chord&gt;</t>
  </si>
  <si>
    <t>&lt;chord time="72.625" chordId="3" highDensity="1" &gt;&lt;chordNote time="72.625" string="1" fret="4" leftHand="1" /&gt;&lt;chordNote time="72.625" string="2" fret="6" leftHand="3" /&gt;&lt;chordNote time="72.625" string="3" fret="6" leftHand="4" /&gt;&lt;/chord&gt;</t>
  </si>
  <si>
    <t>&lt;chord time="72.750" chordId="3" highDensity="1" &gt;&lt;chordNote time="72.750" string="1" fret="4" leftHand="1" /&gt;&lt;chordNote time="72.750" string="2" fret="6" leftHand="3" /&gt;&lt;chordNote time="72.750" string="3" fret="6" leftHand="4" /&gt;&lt;/chord&gt;</t>
  </si>
  <si>
    <t>&lt;chord time="72.875" chordId="3" highDensity="1" &gt;&lt;chordNote time="72.875" string="1" fret="4" leftHand="1" /&gt;&lt;chordNote time="72.875" string="2" fret="6" leftHand="3" /&gt;&lt;chordNote time="72.875" string="3" fret="6" leftHand="4" /&gt;&lt;/chord&gt;</t>
  </si>
  <si>
    <t>&lt;chord time="73.000" chordId="3" highDensity="1" &gt;&lt;chordNote time="73.000" string="1" fret="4" leftHand="1" /&gt;&lt;chordNote time="73.000" string="2" fret="6" leftHand="3" /&gt;&lt;chordNote time="73.000" string="3" fret="6" leftHand="4" /&gt;&lt;/chord&gt;</t>
  </si>
  <si>
    <t>&lt;chord time="73.125" chordId="3" highDensity="1" &gt;&lt;chordNote time="73.125" string="1" fret="4" leftHand="1" /&gt;&lt;chordNote time="73.125" string="2" fret="6" leftHand="3" /&gt;&lt;chordNote time="73.125" string="3" fret="6" leftHand="4" /&gt;&lt;/chord&gt;</t>
  </si>
  <si>
    <t>&lt;chord time="73.250" chordId="3" highDensity="1" &gt;&lt;chordNote time="73.250" string="1" fret="4" leftHand="1" /&gt;&lt;chordNote time="73.250" string="2" fret="6" leftHand="3" /&gt;&lt;chordNote time="73.250" string="3" fret="6" leftHand="4" /&gt;&lt;/chord&gt;</t>
  </si>
  <si>
    <t>&lt;chord time="73.375" chordId="3" highDensity="1" &gt;&lt;chordNote time="73.375" string="1" fret="4" leftHand="1" /&gt;&lt;chordNote time="73.375" string="2" fret="6" leftHand="3" /&gt;&lt;chordNote time="73.375" string="3" fret="6" leftHand="4" /&gt;&lt;/chord&gt;</t>
  </si>
  <si>
    <t>&lt;chord time="73.500" chordId="3" highDensity="1" &gt;&lt;chordNote time="73.500" string="1" fret="4" leftHand="1" /&gt;&lt;chordNote time="73.500" string="2" fret="6" leftHand="3" /&gt;&lt;chordNote time="73.500" string="3" fret="6" leftHand="4" /&gt;&lt;/chord&gt;</t>
  </si>
  <si>
    <t>&lt;chord time="73.625" chordId="3" highDensity="1" &gt;&lt;chordNote time="73.625" string="1" fret="4" leftHand="1" /&gt;&lt;chordNote time="73.625" string="2" fret="6" leftHand="3" /&gt;&lt;chordNote time="73.625" string="3" fret="6" leftHand="4" /&gt;&lt;/chord&gt;</t>
  </si>
  <si>
    <t>&lt;chord time="73.750" chordId="3" highDensity="1" &gt;&lt;chordNote time="73.750" string="1" fret="4" leftHand="1" /&gt;&lt;chordNote time="73.750" string="2" fret="6" leftHand="3" /&gt;&lt;chordNote time="73.750" string="3" fret="6" leftHand="4" /&gt;&lt;/chord&gt;</t>
  </si>
  <si>
    <t>&lt;chord time="73.875" chordId="3" highDensity="1" &gt;&lt;chordNote time="73.875" string="1" fret="4" leftHand="1" /&gt;&lt;chordNote time="73.875" string="2" fret="6" leftHand="3" /&gt;&lt;chordNote time="73.875" string="3" fret="6" leftHand="4" /&gt;&lt;/chord&gt;</t>
  </si>
  <si>
    <t>&lt;chord time="74.000" chordId="4" &gt;&lt;chordNote time="74.000" string="1" fret="2" leftHand="1" /&gt;&lt;chordNote time="74.000" string="2" fret="4" leftHand="3" /&gt;&lt;chordNote time="74.000" string="3" fret="4" leftHand="4" /&gt;&lt;/chord&gt;</t>
  </si>
  <si>
    <t>&lt;chord time="74.125" chordId="4" highDensity="1" &gt;&lt;chordNote time="74.125" string="1" fret="2" leftHand="1" /&gt;&lt;chordNote time="74.125" string="2" fret="4" leftHand="3" /&gt;&lt;chordNote time="74.125" string="3" fret="4" leftHand="4" /&gt;&lt;/chord&gt;</t>
  </si>
  <si>
    <t>&lt;chord time="74.250" chordId="4" highDensity="1" &gt;&lt;chordNote time="74.250" string="1" fret="2" leftHand="1" /&gt;&lt;chordNote time="74.250" string="2" fret="4" leftHand="3" /&gt;&lt;chordNote time="74.250" string="3" fret="4" leftHand="4" /&gt;&lt;/chord&gt;</t>
  </si>
  <si>
    <t>&lt;chord time="74.375" chordId="4" highDensity="1" &gt;&lt;chordNote time="74.375" string="1" fret="2" leftHand="1" /&gt;&lt;chordNote time="74.375" string="2" fret="4" leftHand="3" /&gt;&lt;chordNote time="74.375" string="3" fret="4" leftHand="4" /&gt;&lt;/chord&gt;</t>
  </si>
  <si>
    <t>&lt;chord time="74.500" chordId="4" highDensity="1" &gt;&lt;chordNote time="74.500" string="1" fret="2" leftHand="1" /&gt;&lt;chordNote time="74.500" string="2" fret="4" leftHand="3" /&gt;&lt;chordNote time="74.500" string="3" fret="4" leftHand="4" /&gt;&lt;/chord&gt;</t>
  </si>
  <si>
    <t>&lt;chord time="74.625" chordId="4" highDensity="1" &gt;&lt;chordNote time="74.625" string="1" fret="2" leftHand="1" /&gt;&lt;chordNote time="74.625" string="2" fret="4" leftHand="3" /&gt;&lt;chordNote time="74.625" string="3" fret="4" leftHand="4" /&gt;&lt;/chord&gt;</t>
  </si>
  <si>
    <t>&lt;chord time="74.750" chordId="4" highDensity="1" &gt;&lt;chordNote time="74.750" string="1" fret="2" leftHand="1" /&gt;&lt;chordNote time="74.750" string="2" fret="4" leftHand="3" /&gt;&lt;chordNote time="74.750" string="3" fret="4" leftHand="4" /&gt;&lt;/chord&gt;</t>
  </si>
  <si>
    <t>&lt;chord time="74.875" chordId="4" highDensity="1" &gt;&lt;chordNote time="74.875" string="1" fret="2" leftHand="1" /&gt;&lt;chordNote time="74.875" string="2" fret="4" leftHand="3" /&gt;&lt;chordNote time="74.875" string="3" fret="4" leftHand="4" /&gt;&lt;/chord&gt;</t>
  </si>
  <si>
    <t>&lt;chord time="75.000" chordId="4" highDensity="1" &gt;&lt;chordNote time="75.000" string="1" fret="2" leftHand="1" /&gt;&lt;chordNote time="75.000" string="2" fret="4" leftHand="3" /&gt;&lt;chordNote time="75.000" string="3" fret="4" leftHand="4" /&gt;&lt;/chord&gt;</t>
  </si>
  <si>
    <t>&lt;chord time="75.125" chordId="4" highDensity="1" &gt;&lt;chordNote time="75.125" string="1" fret="2" leftHand="1" /&gt;&lt;chordNote time="75.125" string="2" fret="4" leftHand="3" /&gt;&lt;chordNote time="75.125" string="3" fret="4" leftHand="4" /&gt;&lt;/chord&gt;</t>
  </si>
  <si>
    <t>&lt;chord time="75.250" chordId="4" highDensity="1" &gt;&lt;chordNote time="75.250" string="1" fret="2" leftHand="1" /&gt;&lt;chordNote time="75.250" string="2" fret="4" leftHand="3" /&gt;&lt;chordNote time="75.250" string="3" fret="4" leftHand="4" /&gt;&lt;/chord&gt;</t>
  </si>
  <si>
    <t>&lt;chord time="75.375" chordId="4" highDensity="1" &gt;&lt;chordNote time="75.375" string="1" fret="2" leftHand="1" /&gt;&lt;chordNote time="75.375" string="2" fret="4" leftHand="3" /&gt;&lt;chordNote time="75.375" string="3" fret="4" leftHand="4" /&gt;&lt;/chord&gt;</t>
  </si>
  <si>
    <t>&lt;chord time="75.500" chordId="4" highDensity="1" &gt;&lt;chordNote time="75.500" string="1" fret="2" leftHand="1" /&gt;&lt;chordNote time="75.500" string="2" fret="4" leftHand="3" /&gt;&lt;chordNote time="75.500" string="3" fret="4" leftHand="4" /&gt;&lt;/chord&gt;</t>
  </si>
  <si>
    <t>&lt;chord time="75.625" chordId="4" highDensity="1" &gt;&lt;chordNote time="75.625" string="1" fret="2" leftHand="1" /&gt;&lt;chordNote time="75.625" string="2" fret="4" leftHand="3" /&gt;&lt;chordNote time="75.625" string="3" fret="4" leftHand="4" /&gt;&lt;/chord&gt;</t>
  </si>
  <si>
    <t>&lt;chord time="75.750" chordId="4" highDensity="1" &gt;&lt;chordNote time="75.750" string="1" fret="2" leftHand="1" /&gt;&lt;chordNote time="75.750" string="2" fret="4" leftHand="3" /&gt;&lt;chordNote time="75.750" string="3" fret="4" leftHand="4" /&gt;&lt;/chord&gt;</t>
  </si>
  <si>
    <t>&lt;chord time="75.875" chordId="4" highDensity="1" &gt;&lt;chordNote time="75.875" string="1" fret="2" leftHand="1" /&gt;&lt;chordNote time="75.875" string="2" fret="4" leftHand="3" /&gt;&lt;chordNote time="75.875" string="3" fret="4" leftHand="4" /&gt;&lt;/chord&gt;</t>
  </si>
  <si>
    <t>&lt;chord time="76.000" chordId="0" &gt;&lt;chordNote time="76.000" string="1" fret="7" leftHand="1" /&gt;&lt;chordNote time="76.000" string="2" fret="9" leftHand="3" /&gt;&lt;chordNote time="76.000" string="3" fret="9" leftHand="4" /&gt;&lt;/chord&gt;</t>
  </si>
  <si>
    <t>&lt;chord time="76.125" chordId="0" highDensity="1" &gt;&lt;chordNote time="76.125" string="1" fret="7" leftHand="1" /&gt;&lt;chordNote time="76.125" string="2" fret="9" leftHand="3" /&gt;&lt;chordNote time="76.125" string="3" fret="9" leftHand="4" /&gt;&lt;/chord&gt;</t>
  </si>
  <si>
    <t>&lt;chord time="76.250" chordId="0" highDensity="1" &gt;&lt;chordNote time="76.250" string="1" fret="7" leftHand="1" /&gt;&lt;chordNote time="76.250" string="2" fret="9" leftHand="3" /&gt;&lt;chordNote time="76.250" string="3" fret="9" leftHand="4" /&gt;&lt;/chord&gt;</t>
  </si>
  <si>
    <t>&lt;chord time="76.375" chordId="0" highDensity="1" &gt;&lt;chordNote time="76.375" string="1" fret="7" leftHand="1" /&gt;&lt;chordNote time="76.375" string="2" fret="9" leftHand="3" /&gt;&lt;chordNote time="76.375" string="3" fret="9" leftHand="4" /&gt;&lt;/chord&gt;</t>
  </si>
  <si>
    <t>&lt;chord time="76.500" chordId="0" highDensity="1" &gt;&lt;chordNote time="76.500" string="1" fret="7" leftHand="1" /&gt;&lt;chordNote time="76.500" string="2" fret="9" leftHand="3" /&gt;&lt;chordNote time="76.500" string="3" fret="9" leftHand="4" /&gt;&lt;/chord&gt;</t>
  </si>
  <si>
    <t>&lt;chord time="76.625" chordId="0" highDensity="1" &gt;&lt;chordNote time="76.625" string="1" fret="7" leftHand="1" /&gt;&lt;chordNote time="76.625" string="2" fret="9" leftHand="3" /&gt;&lt;chordNote time="76.625" string="3" fret="9" leftHand="4" /&gt;&lt;/chord&gt;</t>
  </si>
  <si>
    <t>&lt;chord time="76.750" chordId="0" highDensity="1" &gt;&lt;chordNote time="76.750" string="1" fret="7" leftHand="1" /&gt;&lt;chordNote time="76.750" string="2" fret="9" leftHand="3" /&gt;&lt;chordNote time="76.750" string="3" fret="9" leftHand="4" /&gt;&lt;/chord&gt;</t>
  </si>
  <si>
    <t>&lt;chord time="76.875" chordId="0" highDensity="1" &gt;&lt;chordNote time="76.875" string="1" fret="7" leftHand="1" /&gt;&lt;chordNote time="76.875" string="2" fret="9" leftHand="3" /&gt;&lt;chordNote time="76.875" string="3" fret="9" leftHand="4" /&gt;&lt;/chord&gt;</t>
  </si>
  <si>
    <t>&lt;chord time="77.000" chordId="0" highDensity="1" &gt;&lt;chordNote time="77.000" string="1" fret="7" leftHand="1" /&gt;&lt;chordNote time="77.000" string="2" fret="9" leftHand="3" /&gt;&lt;chordNote time="77.000" string="3" fret="9" leftHand="4" /&gt;&lt;/chord&gt;</t>
  </si>
  <si>
    <t>&lt;chord time="77.125" chordId="0" highDensity="1" &gt;&lt;chordNote time="77.125" string="1" fret="7" leftHand="1" /&gt;&lt;chordNote time="77.125" string="2" fret="9" leftHand="3" /&gt;&lt;chordNote time="77.125" string="3" fret="9" leftHand="4" /&gt;&lt;/chord&gt;</t>
  </si>
  <si>
    <t>&lt;chord time="77.250" chordId="0" highDensity="1" &gt;&lt;chordNote time="77.250" string="1" fret="7" leftHand="1" /&gt;&lt;chordNote time="77.250" string="2" fret="9" leftHand="3" /&gt;&lt;chordNote time="77.250" string="3" fret="9" leftHand="4" /&gt;&lt;/chord&gt;</t>
  </si>
  <si>
    <t>&lt;chord time="77.375" chordId="0" highDensity="1" &gt;&lt;chordNote time="77.375" string="1" fret="7" leftHand="1" /&gt;&lt;chordNote time="77.375" string="2" fret="9" leftHand="3" /&gt;&lt;chordNote time="77.375" string="3" fret="9" leftHand="4" /&gt;&lt;/chord&gt;</t>
  </si>
  <si>
    <t>&lt;chord time="77.500" chordId="0" highDensity="1" &gt;&lt;chordNote time="77.500" string="1" fret="7" leftHand="1" /&gt;&lt;chordNote time="77.500" string="2" fret="9" leftHand="3" /&gt;&lt;chordNote time="77.500" string="3" fret="9" leftHand="4" /&gt;&lt;/chord&gt;</t>
  </si>
  <si>
    <t>&lt;chord time="77.625" chordId="0" highDensity="1" &gt;&lt;chordNote time="77.625" string="1" fret="7" leftHand="1" /&gt;&lt;chordNote time="77.625" string="2" fret="9" leftHand="3" /&gt;&lt;chordNote time="77.625" string="3" fret="9" leftHand="4" /&gt;&lt;/chord&gt;</t>
  </si>
  <si>
    <t>&lt;chord time="77.750" chordId="0" highDensity="1" &gt;&lt;chordNote time="77.750" string="1" fret="7" leftHand="1" /&gt;&lt;chordNote time="77.750" string="2" fret="9" leftHand="3" /&gt;&lt;chordNote time="77.750" string="3" fret="9" leftHand="4" /&gt;&lt;/chord&gt;</t>
  </si>
  <si>
    <t>&lt;chord time="77.875" chordId="0" highDensity="1" &gt;&lt;chordNote time="77.875" string="1" fret="7" leftHand="1" /&gt;&lt;chordNote time="77.875" string="2" fret="9" leftHand="3" /&gt;&lt;chordNote time="77.875" string="3" fret="9" leftHand="4" /&gt;&lt;/chord&gt;</t>
  </si>
  <si>
    <t>&lt;chord time="78.000" chordId="1" &gt;&lt;chordNote time="78.000" string="1" fret="9" leftHand="1" /&gt;&lt;chordNote time="78.000" string="2" fret="11" leftHand="3" /&gt;&lt;chordNote time="78.000" string="3" fret="11" leftHand="4" /&gt;&lt;/chord&gt;</t>
  </si>
  <si>
    <t>&lt;chord time="78.125" chordId="1" highDensity="1" &gt;&lt;chordNote time="78.125" string="1" fret="9" leftHand="1" /&gt;&lt;chordNote time="78.125" string="2" fret="11" leftHand="3" /&gt;&lt;chordNote time="78.125" string="3" fret="11" leftHand="4" /&gt;&lt;/chord&gt;</t>
  </si>
  <si>
    <t>&lt;chord time="78.250" chordId="1" highDensity="1" &gt;&lt;chordNote time="78.250" string="1" fret="9" leftHand="1" /&gt;&lt;chordNote time="78.250" string="2" fret="11" leftHand="3" /&gt;&lt;chordNote time="78.250" string="3" fret="11" leftHand="4" /&gt;&lt;/chord&gt;</t>
  </si>
  <si>
    <t>&lt;chord time="78.375" chordId="1" highDensity="1" &gt;&lt;chordNote time="78.375" string="1" fret="9" leftHand="1" /&gt;&lt;chordNote time="78.375" string="2" fret="11" leftHand="3" /&gt;&lt;chordNote time="78.375" string="3" fret="11" leftHand="4" /&gt;&lt;/chord&gt;</t>
  </si>
  <si>
    <t>&lt;chord time="78.500" chordId="1" highDensity="1" &gt;&lt;chordNote time="78.500" string="1" fret="9" leftHand="1" /&gt;&lt;chordNote time="78.500" string="2" fret="11" leftHand="3" /&gt;&lt;chordNote time="78.500" string="3" fret="11" leftHand="4" /&gt;&lt;/chord&gt;</t>
  </si>
  <si>
    <t>&lt;chord time="78.625" chordId="1" highDensity="1" &gt;&lt;chordNote time="78.625" string="1" fret="9" leftHand="1" /&gt;&lt;chordNote time="78.625" string="2" fret="11" leftHand="3" /&gt;&lt;chordNote time="78.625" string="3" fret="11" leftHand="4" /&gt;&lt;/chord&gt;</t>
  </si>
  <si>
    <t>&lt;chord time="78.750" chordId="1" highDensity="1" &gt;&lt;chordNote time="78.750" string="1" fret="9" leftHand="1" /&gt;&lt;chordNote time="78.750" string="2" fret="11" leftHand="3" /&gt;&lt;chordNote time="78.750" string="3" fret="11" leftHand="4" /&gt;&lt;/chord&gt;</t>
  </si>
  <si>
    <t>&lt;chord time="78.875" chordId="1" highDensity="1" &gt;&lt;chordNote time="78.875" string="1" fret="9" leftHand="1" /&gt;&lt;chordNote time="78.875" string="2" fret="11" leftHand="3" /&gt;&lt;chordNote time="78.875" string="3" fret="11" leftHand="4" /&gt;&lt;/chord&gt;</t>
  </si>
  <si>
    <t>&lt;chord time="79.000" chordId="1" highDensity="1" &gt;&lt;chordNote time="79.000" string="1" fret="9" leftHand="1" /&gt;&lt;chordNote time="79.000" string="2" fret="11" leftHand="3" /&gt;&lt;chordNote time="79.000" string="3" fret="11" leftHand="4" /&gt;&lt;/chord&gt;</t>
  </si>
  <si>
    <t>&lt;chord time="79.125" chordId="1" highDensity="1" &gt;&lt;chordNote time="79.125" string="1" fret="9" leftHand="1" /&gt;&lt;chordNote time="79.125" string="2" fret="11" leftHand="3" /&gt;&lt;chordNote time="79.125" string="3" fret="11" leftHand="4" /&gt;&lt;/chord&gt;</t>
  </si>
  <si>
    <t>&lt;chord time="79.250" chordId="1" highDensity="1" &gt;&lt;chordNote time="79.250" string="1" fret="9" leftHand="1" /&gt;&lt;chordNote time="79.250" string="2" fret="11" leftHand="3" /&gt;&lt;chordNote time="79.250" string="3" fret="11" leftHand="4" /&gt;&lt;/chord&gt;</t>
  </si>
  <si>
    <t>&lt;chord time="79.375" chordId="1" highDensity="1" &gt;&lt;chordNote time="79.375" string="1" fret="9" leftHand="1" /&gt;&lt;chordNote time="79.375" string="2" fret="11" leftHand="3" /&gt;&lt;chordNote time="79.375" string="3" fret="11" leftHand="4" /&gt;&lt;/chord&gt;</t>
  </si>
  <si>
    <t>&lt;chord time="79.500" chordId="1" highDensity="1" &gt;&lt;chordNote time="79.500" string="1" fret="9" leftHand="1" /&gt;&lt;chordNote time="79.500" string="2" fret="11" leftHand="3" /&gt;&lt;chordNote time="79.500" string="3" fret="11" leftHand="4" /&gt;&lt;/chord&gt;</t>
  </si>
  <si>
    <t>&lt;chord time="79.625" chordId="1" highDensity="1" &gt;&lt;chordNote time="79.625" string="1" fret="9" leftHand="1" /&gt;&lt;chordNote time="79.625" string="2" fret="11" leftHand="3" /&gt;&lt;chordNote time="79.625" string="3" fret="11" leftHand="4" /&gt;&lt;/chord&gt;</t>
  </si>
  <si>
    <t>&lt;chord time="79.750" chordId="1" highDensity="1" &gt;&lt;chordNote time="79.750" string="1" fret="9" leftHand="1" /&gt;&lt;chordNote time="79.750" string="2" fret="11" leftHand="3" /&gt;&lt;chordNote time="79.750" string="3" fret="11" leftHand="4" /&gt;&lt;/chord&gt;</t>
  </si>
  <si>
    <t>&lt;chord time="79.875" chordId="1" highDensity="1" &gt;&lt;chordNote time="79.875" string="1" fret="9" leftHand="1" /&gt;&lt;chordNote time="79.875" string="2" fret="11" leftHand="3" /&gt;&lt;chordNote time="79.875" string="3" fret="11" leftHand="4" /&gt;&lt;/chord&gt;</t>
  </si>
  <si>
    <t>&lt;chord time="80.000" chordId="3" &gt;&lt;chordNote time="80.000" string="1" fret="4" leftHand="1" /&gt;&lt;chordNote time="80.000" string="2" fret="6" leftHand="3" /&gt;&lt;chordNote time="80.000" string="3" fret="6" leftHand="4" /&gt;&lt;/chord&gt;</t>
  </si>
  <si>
    <t>&lt;chord time="80.125" chordId="3" highDensity="1" &gt;&lt;chordNote time="80.125" string="1" fret="4" leftHand="1" /&gt;&lt;chordNote time="80.125" string="2" fret="6" leftHand="3" /&gt;&lt;chordNote time="80.125" string="3" fret="6" leftHand="4" /&gt;&lt;/chord&gt;</t>
  </si>
  <si>
    <t>&lt;chord time="80.250" chordId="3" highDensity="1" &gt;&lt;chordNote time="80.250" string="1" fret="4" leftHand="1" /&gt;&lt;chordNote time="80.250" string="2" fret="6" leftHand="3" /&gt;&lt;chordNote time="80.250" string="3" fret="6" leftHand="4" /&gt;&lt;/chord&gt;</t>
  </si>
  <si>
    <t>&lt;chord time="80.375" chordId="3" highDensity="1" &gt;&lt;chordNote time="80.375" string="1" fret="4" leftHand="1" /&gt;&lt;chordNote time="80.375" string="2" fret="6" leftHand="3" /&gt;&lt;chordNote time="80.375" string="3" fret="6" leftHand="4" /&gt;&lt;/chord&gt;</t>
  </si>
  <si>
    <t>&lt;chord time="80.500" chordId="3" highDensity="1" &gt;&lt;chordNote time="80.500" string="1" fret="4" leftHand="1" /&gt;&lt;chordNote time="80.500" string="2" fret="6" leftHand="3" /&gt;&lt;chordNote time="80.500" string="3" fret="6" leftHand="4" /&gt;&lt;/chord&gt;</t>
  </si>
  <si>
    <t>&lt;chord time="80.625" chordId="3" highDensity="1" &gt;&lt;chordNote time="80.625" string="1" fret="4" leftHand="1" /&gt;&lt;chordNote time="80.625" string="2" fret="6" leftHand="3" /&gt;&lt;chordNote time="80.625" string="3" fret="6" leftHand="4" /&gt;&lt;/chord&gt;</t>
  </si>
  <si>
    <t>&lt;chord time="80.750" chordId="3" highDensity="1" &gt;&lt;chordNote time="80.750" string="1" fret="4" leftHand="1" /&gt;&lt;chordNote time="80.750" string="2" fret="6" leftHand="3" /&gt;&lt;chordNote time="80.750" string="3" fret="6" leftHand="4" /&gt;&lt;/chord&gt;</t>
  </si>
  <si>
    <t>&lt;chord time="80.875" chordId="3" highDensity="1" &gt;&lt;chordNote time="80.875" string="1" fret="4" leftHand="1" /&gt;&lt;chordNote time="80.875" string="2" fret="6" leftHand="3" /&gt;&lt;chordNote time="80.875" string="3" fret="6" leftHand="4" /&gt;&lt;/chord&gt;</t>
  </si>
  <si>
    <t>&lt;chord time="81.000" chordId="3" highDensity="1" &gt;&lt;chordNote time="81.000" string="1" fret="4" leftHand="1" /&gt;&lt;chordNote time="81.000" string="2" fret="6" leftHand="3" /&gt;&lt;chordNote time="81.000" string="3" fret="6" leftHand="4" /&gt;&lt;/chord&gt;</t>
  </si>
  <si>
    <t>&lt;chord time="81.125" chordId="3" highDensity="1" &gt;&lt;chordNote time="81.125" string="1" fret="4" leftHand="1" /&gt;&lt;chordNote time="81.125" string="2" fret="6" leftHand="3" /&gt;&lt;chordNote time="81.125" string="3" fret="6" leftHand="4" /&gt;&lt;/chord&gt;</t>
  </si>
  <si>
    <t>&lt;chord time="81.250" chordId="3" highDensity="1" &gt;&lt;chordNote time="81.250" string="1" fret="4" leftHand="1" /&gt;&lt;chordNote time="81.250" string="2" fret="6" leftHand="3" /&gt;&lt;chordNote time="81.250" string="3" fret="6" leftHand="4" /&gt;&lt;/chord&gt;</t>
  </si>
  <si>
    <t>&lt;chord time="81.375" chordId="3" highDensity="1" &gt;&lt;chordNote time="81.375" string="1" fret="4" leftHand="1" /&gt;&lt;chordNote time="81.375" string="2" fret="6" leftHand="3" /&gt;&lt;chordNote time="81.375" string="3" fret="6" leftHand="4" /&gt;&lt;/chord&gt;</t>
  </si>
  <si>
    <t>&lt;chord time="81.500" chordId="3" highDensity="1" &gt;&lt;chordNote time="81.500" string="1" fret="4" leftHand="1" /&gt;&lt;chordNote time="81.500" string="2" fret="6" leftHand="3" /&gt;&lt;chordNote time="81.500" string="3" fret="6" leftHand="4" /&gt;&lt;/chord&gt;</t>
  </si>
  <si>
    <t>&lt;chord time="81.625" chordId="3" highDensity="1" &gt;&lt;chordNote time="81.625" string="1" fret="4" leftHand="1" /&gt;&lt;chordNote time="81.625" string="2" fret="6" leftHand="3" /&gt;&lt;chordNote time="81.625" string="3" fret="6" leftHand="4" /&gt;&lt;/chord&gt;</t>
  </si>
  <si>
    <t>&lt;chord time="81.750" chordId="3" highDensity="1" &gt;&lt;chordNote time="81.750" string="1" fret="4" leftHand="1" /&gt;&lt;chordNote time="81.750" string="2" fret="6" leftHand="3" /&gt;&lt;chordNote time="81.750" string="3" fret="6" leftHand="4" /&gt;&lt;/chord&gt;</t>
  </si>
  <si>
    <t>&lt;chord time="81.875" chordId="3" highDensity="1" &gt;&lt;chordNote time="81.875" string="1" fret="4" leftHand="1" /&gt;&lt;chordNote time="81.875" string="2" fret="6" leftHand="3" /&gt;&lt;chordNote time="81.875" string="3" fret="6" leftHand="4" /&gt;&lt;/chord&gt;</t>
  </si>
  <si>
    <t>&lt;chord time="82.000" chordId="4" &gt;&lt;chordNote time="82.000" string="1" fret="2" leftHand="1" /&gt;&lt;chordNote time="82.000" string="2" fret="4" leftHand="3" /&gt;&lt;chordNote time="82.000" string="3" fret="4" leftHand="4" /&gt;&lt;/chord&gt;</t>
  </si>
  <si>
    <t>&lt;chord time="82.125" chordId="4" highDensity="1" &gt;&lt;chordNote time="82.125" string="1" fret="2" leftHand="1" /&gt;&lt;chordNote time="82.125" string="2" fret="4" leftHand="3" /&gt;&lt;chordNote time="82.125" string="3" fret="4" leftHand="4" /&gt;&lt;/chord&gt;</t>
  </si>
  <si>
    <t>&lt;chord time="82.250" chordId="4" highDensity="1" &gt;&lt;chordNote time="82.250" string="1" fret="2" leftHand="1" /&gt;&lt;chordNote time="82.250" string="2" fret="4" leftHand="3" /&gt;&lt;chordNote time="82.250" string="3" fret="4" leftHand="4" /&gt;&lt;/chord&gt;</t>
  </si>
  <si>
    <t>&lt;chord time="82.375" chordId="4" highDensity="1" &gt;&lt;chordNote time="82.375" string="1" fret="2" leftHand="1" /&gt;&lt;chordNote time="82.375" string="2" fret="4" leftHand="3" /&gt;&lt;chordNote time="82.375" string="3" fret="4" leftHand="4" /&gt;&lt;/chord&gt;</t>
  </si>
  <si>
    <t>&lt;chord time="82.500" chordId="4" highDensity="1" &gt;&lt;chordNote time="82.500" string="1" fret="2" leftHand="1" /&gt;&lt;chordNote time="82.500" string="2" fret="4" leftHand="3" /&gt;&lt;chordNote time="82.500" string="3" fret="4" leftHand="4" /&gt;&lt;/chord&gt;</t>
  </si>
  <si>
    <t>&lt;chord time="82.625" chordId="4" highDensity="1" &gt;&lt;chordNote time="82.625" string="1" fret="2" leftHand="1" /&gt;&lt;chordNote time="82.625" string="2" fret="4" leftHand="3" /&gt;&lt;chordNote time="82.625" string="3" fret="4" leftHand="4" /&gt;&lt;/chord&gt;</t>
  </si>
  <si>
    <t>&lt;chord time="82.750" chordId="4" highDensity="1" &gt;&lt;chordNote time="82.750" string="1" fret="2" leftHand="1" /&gt;&lt;chordNote time="82.750" string="2" fret="4" leftHand="3" /&gt;&lt;chordNote time="82.750" string="3" fret="4" leftHand="4" /&gt;&lt;/chord&gt;</t>
  </si>
  <si>
    <t>&lt;chord time="82.875" chordId="4" highDensity="1" &gt;&lt;chordNote time="82.875" string="1" fret="2" leftHand="1" /&gt;&lt;chordNote time="82.875" string="2" fret="4" leftHand="3" /&gt;&lt;chordNote time="82.875" string="3" fret="4" leftHand="4" /&gt;&lt;/chord&gt;</t>
  </si>
  <si>
    <t>&lt;chord time="83.000" chordId="4" highDensity="1" &gt;&lt;chordNote time="83.000" string="1" fret="2" leftHand="1" /&gt;&lt;chordNote time="83.000" string="2" fret="4" leftHand="3" /&gt;&lt;chordNote time="83.000" string="3" fret="4" leftHand="4" /&gt;&lt;/chord&gt;</t>
  </si>
  <si>
    <t>&lt;chord time="83.125" chordId="4" highDensity="1" &gt;&lt;chordNote time="83.125" string="1" fret="2" leftHand="1" /&gt;&lt;chordNote time="83.125" string="2" fret="4" leftHand="3" /&gt;&lt;chordNote time="83.125" string="3" fret="4" leftHand="4" /&gt;&lt;/chord&gt;</t>
  </si>
  <si>
    <t>&lt;chord time="83.250" chordId="4" highDensity="1" &gt;&lt;chordNote time="83.250" string="1" fret="2" leftHand="1" /&gt;&lt;chordNote time="83.250" string="2" fret="4" leftHand="3" /&gt;&lt;chordNote time="83.250" string="3" fret="4" leftHand="4" /&gt;&lt;/chord&gt;</t>
  </si>
  <si>
    <t>&lt;chord time="83.375" chordId="4" highDensity="1" &gt;&lt;chordNote time="83.375" string="1" fret="2" leftHand="1" /&gt;&lt;chordNote time="83.375" string="2" fret="4" leftHand="3" /&gt;&lt;chordNote time="83.375" string="3" fret="4" leftHand="4" /&gt;&lt;/chord&gt;</t>
  </si>
  <si>
    <t>&lt;chord time="83.500" chordId="4" highDensity="1" &gt;&lt;chordNote time="83.500" string="1" fret="2" leftHand="1" /&gt;&lt;chordNote time="83.500" string="2" fret="4" leftHand="3" /&gt;&lt;chordNote time="83.500" string="3" fret="4" leftHand="4" /&gt;&lt;/chord&gt;</t>
  </si>
  <si>
    <t>&lt;chord time="83.625" chordId="4" highDensity="1" &gt;&lt;chordNote time="83.625" string="1" fret="2" leftHand="1" /&gt;&lt;chordNote time="83.625" string="2" fret="4" leftHand="3" /&gt;&lt;chordNote time="83.625" string="3" fret="4" leftHand="4" /&gt;&lt;/chord&gt;</t>
  </si>
  <si>
    <t>&lt;chord time="83.750" chordId="4" highDensity="1" &gt;&lt;chordNote time="83.750" string="1" fret="2" leftHand="1" /&gt;&lt;chordNote time="83.750" string="2" fret="4" leftHand="3" /&gt;&lt;chordNote time="83.750" string="3" fret="4" leftHand="4" /&gt;&lt;/chord&gt;</t>
  </si>
  <si>
    <t>&lt;chord time="83.875" chordId="4" highDensity="1" &gt;&lt;chordNote time="83.875" string="1" fret="2" leftHand="1" /&gt;&lt;chordNote time="83.875" string="2" fret="4" leftHand="3" /&gt;&lt;chordNote time="83.875" string="3" fret="4" leftHand="4" /&gt;&lt;/chord&gt;</t>
  </si>
  <si>
    <t>&lt;chord time="84.000" chordId="0" &gt;&lt;chordNote time="84.000" string="1" fret="7" leftHand="1" /&gt;&lt;chordNote time="84.000" string="2" fret="9" leftHand="3" /&gt;&lt;chordNote time="84.000" string="3" fret="9" leftHand="4" /&gt;&lt;/chord&gt;</t>
  </si>
  <si>
    <t>&lt;chord time="84.125" chordId="0" highDensity="1" &gt;&lt;chordNote time="84.125" string="1" fret="7" leftHand="1" /&gt;&lt;chordNote time="84.125" string="2" fret="9" leftHand="3" /&gt;&lt;chordNote time="84.125" string="3" fret="9" leftHand="4" /&gt;&lt;/chord&gt;</t>
  </si>
  <si>
    <t>&lt;chord time="84.250" chordId="0" highDensity="1" &gt;&lt;chordNote time="84.250" string="1" fret="7" leftHand="1" /&gt;&lt;chordNote time="84.250" string="2" fret="9" leftHand="3" /&gt;&lt;chordNote time="84.250" string="3" fret="9" leftHand="4" /&gt;&lt;/chord&gt;</t>
  </si>
  <si>
    <t>&lt;chord time="84.375" chordId="0" highDensity="1" &gt;&lt;chordNote time="84.375" string="1" fret="7" leftHand="1" /&gt;&lt;chordNote time="84.375" string="2" fret="9" leftHand="3" /&gt;&lt;chordNote time="84.375" string="3" fret="9" leftHand="4" /&gt;&lt;/chord&gt;</t>
  </si>
  <si>
    <t>&lt;chord time="84.500" chordId="0" highDensity="1" &gt;&lt;chordNote time="84.500" string="1" fret="7" leftHand="1" /&gt;&lt;chordNote time="84.500" string="2" fret="9" leftHand="3" /&gt;&lt;chordNote time="84.500" string="3" fret="9" leftHand="4" /&gt;&lt;/chord&gt;</t>
  </si>
  <si>
    <t>&lt;chord time="84.625" chordId="0" highDensity="1" &gt;&lt;chordNote time="84.625" string="1" fret="7" leftHand="1" /&gt;&lt;chordNote time="84.625" string="2" fret="9" leftHand="3" /&gt;&lt;chordNote time="84.625" string="3" fret="9" leftHand="4" /&gt;&lt;/chord&gt;</t>
  </si>
  <si>
    <t>&lt;chord time="84.750" chordId="0" highDensity="1" &gt;&lt;chordNote time="84.750" string="1" fret="7" leftHand="1" /&gt;&lt;chordNote time="84.750" string="2" fret="9" leftHand="3" /&gt;&lt;chordNote time="84.750" string="3" fret="9" leftHand="4" /&gt;&lt;/chord&gt;</t>
  </si>
  <si>
    <t>&lt;chord time="84.875" chordId="0" highDensity="1" &gt;&lt;chordNote time="84.875" string="1" fret="7" leftHand="1" /&gt;&lt;chordNote time="84.875" string="2" fret="9" leftHand="3" /&gt;&lt;chordNote time="84.875" string="3" fret="9" leftHand="4" /&gt;&lt;/chord&gt;</t>
  </si>
  <si>
    <t>&lt;chord time="85.000" chordId="0" highDensity="1" &gt;&lt;chordNote time="85.000" string="1" fret="7" leftHand="1" /&gt;&lt;chordNote time="85.000" string="2" fret="9" leftHand="3" /&gt;&lt;chordNote time="85.000" string="3" fret="9" leftHand="4" /&gt;&lt;/chord&gt;</t>
  </si>
  <si>
    <t>&lt;chord time="85.125" chordId="0" highDensity="1" &gt;&lt;chordNote time="85.125" string="1" fret="7" leftHand="1" /&gt;&lt;chordNote time="85.125" string="2" fret="9" leftHand="3" /&gt;&lt;chordNote time="85.125" string="3" fret="9" leftHand="4" /&gt;&lt;/chord&gt;</t>
  </si>
  <si>
    <t>&lt;chord time="85.250" chordId="0" highDensity="1" &gt;&lt;chordNote time="85.250" string="1" fret="7" leftHand="1" /&gt;&lt;chordNote time="85.250" string="2" fret="9" leftHand="3" /&gt;&lt;chordNote time="85.250" string="3" fret="9" leftHand="4" /&gt;&lt;/chord&gt;</t>
  </si>
  <si>
    <t>&lt;chord time="85.375" chordId="0" highDensity="1" &gt;&lt;chordNote time="85.375" string="1" fret="7" leftHand="1" /&gt;&lt;chordNote time="85.375" string="2" fret="9" leftHand="3" /&gt;&lt;chordNote time="85.375" string="3" fret="9" leftHand="4" /&gt;&lt;/chord&gt;</t>
  </si>
  <si>
    <t>&lt;chord time="85.500" chordId="0" highDensity="1" &gt;&lt;chordNote time="85.500" string="1" fret="7" leftHand="1" /&gt;&lt;chordNote time="85.500" string="2" fret="9" leftHand="3" /&gt;&lt;chordNote time="85.500" string="3" fret="9" leftHand="4" /&gt;&lt;/chord&gt;</t>
  </si>
  <si>
    <t>&lt;chord time="85.625" chordId="0" highDensity="1" &gt;&lt;chordNote time="85.625" string="1" fret="7" leftHand="1" /&gt;&lt;chordNote time="85.625" string="2" fret="9" leftHand="3" /&gt;&lt;chordNote time="85.625" string="3" fret="9" leftHand="4" /&gt;&lt;/chord&gt;</t>
  </si>
  <si>
    <t>&lt;chord time="85.750" chordId="0" highDensity="1" &gt;&lt;chordNote time="85.750" string="1" fret="7" leftHand="1" /&gt;&lt;chordNote time="85.750" string="2" fret="9" leftHand="3" /&gt;&lt;chordNote time="85.750" string="3" fret="9" leftHand="4" /&gt;&lt;/chord&gt;</t>
  </si>
  <si>
    <t>&lt;chord time="85.875" chordId="0" highDensity="1" &gt;&lt;chordNote time="85.875" string="1" fret="7" leftHand="1" /&gt;&lt;chordNote time="85.875" string="2" fret="9" leftHand="3" /&gt;&lt;chordNote time="85.875" string="3" fret="9" leftHand="4" /&gt;&lt;/chord&gt;</t>
  </si>
  <si>
    <t>&lt;chord time="86.000" chordId="1" &gt;&lt;chordNote time="86.000" string="1" fret="9" leftHand="1" /&gt;&lt;chordNote time="86.000" string="2" fret="11" leftHand="3" /&gt;&lt;chordNote time="86.000" string="3" fret="11" leftHand="4" /&gt;&lt;/chord&gt;</t>
  </si>
  <si>
    <t>&lt;chord time="86.125" chordId="1" highDensity="1" &gt;&lt;chordNote time="86.125" string="1" fret="9" leftHand="1" /&gt;&lt;chordNote time="86.125" string="2" fret="11" leftHand="3" /&gt;&lt;chordNote time="86.125" string="3" fret="11" leftHand="4" /&gt;&lt;/chord&gt;</t>
  </si>
  <si>
    <t>&lt;chord time="86.250" chordId="1" highDensity="1" &gt;&lt;chordNote time="86.250" string="1" fret="9" leftHand="1" /&gt;&lt;chordNote time="86.250" string="2" fret="11" leftHand="3" /&gt;&lt;chordNote time="86.250" string="3" fret="11" leftHand="4" /&gt;&lt;/chord&gt;</t>
  </si>
  <si>
    <t>&lt;chord time="86.375" chordId="1" highDensity="1" &gt;&lt;chordNote time="86.375" string="1" fret="9" leftHand="1" /&gt;&lt;chordNote time="86.375" string="2" fret="11" leftHand="3" /&gt;&lt;chordNote time="86.375" string="3" fret="11" leftHand="4" /&gt;&lt;/chord&gt;</t>
  </si>
  <si>
    <t>&lt;chord time="86.500" chordId="1" highDensity="1" &gt;&lt;chordNote time="86.500" string="1" fret="9" leftHand="1" /&gt;&lt;chordNote time="86.500" string="2" fret="11" leftHand="3" /&gt;&lt;chordNote time="86.500" string="3" fret="11" leftHand="4" /&gt;&lt;/chord&gt;</t>
  </si>
  <si>
    <t>&lt;chord time="86.625" chordId="1" highDensity="1" &gt;&lt;chordNote time="86.625" string="1" fret="9" leftHand="1" /&gt;&lt;chordNote time="86.625" string="2" fret="11" leftHand="3" /&gt;&lt;chordNote time="86.625" string="3" fret="11" leftHand="4" /&gt;&lt;/chord&gt;</t>
  </si>
  <si>
    <t>&lt;chord time="86.750" chordId="1" highDensity="1" &gt;&lt;chordNote time="86.750" string="1" fret="9" leftHand="1" /&gt;&lt;chordNote time="86.750" string="2" fret="11" leftHand="3" /&gt;&lt;chordNote time="86.750" string="3" fret="11" leftHand="4" /&gt;&lt;/chord&gt;</t>
  </si>
  <si>
    <t>&lt;chord time="86.875" chordId="1" highDensity="1" &gt;&lt;chordNote time="86.875" string="1" fret="9" leftHand="1" /&gt;&lt;chordNote time="86.875" string="2" fret="11" leftHand="3" /&gt;&lt;chordNote time="86.875" string="3" fret="11" leftHand="4" /&gt;&lt;/chord&gt;</t>
  </si>
  <si>
    <t>&lt;chord time="87.000" chordId="1" highDensity="1" &gt;&lt;chordNote time="87.000" string="1" fret="9" leftHand="1" /&gt;&lt;chordNote time="87.000" string="2" fret="11" leftHand="3" /&gt;&lt;chordNote time="87.000" string="3" fret="11" leftHand="4" /&gt;&lt;/chord&gt;</t>
  </si>
  <si>
    <t>&lt;chord time="87.125" chordId="1" highDensity="1" &gt;&lt;chordNote time="87.125" string="1" fret="9" leftHand="1" /&gt;&lt;chordNote time="87.125" string="2" fret="11" leftHand="3" /&gt;&lt;chordNote time="87.125" string="3" fret="11" leftHand="4" /&gt;&lt;/chord&gt;</t>
  </si>
  <si>
    <t>&lt;chord time="87.250" chordId="1" highDensity="1" &gt;&lt;chordNote time="87.250" string="1" fret="9" leftHand="1" /&gt;&lt;chordNote time="87.250" string="2" fret="11" leftHand="3" /&gt;&lt;chordNote time="87.250" string="3" fret="11" leftHand="4" /&gt;&lt;/chord&gt;</t>
  </si>
  <si>
    <t>&lt;chord time="87.375" chordId="1" highDensity="1" &gt;&lt;chordNote time="87.375" string="1" fret="9" leftHand="1" /&gt;&lt;chordNote time="87.375" string="2" fret="11" leftHand="3" /&gt;&lt;chordNote time="87.375" string="3" fret="11" leftHand="4" /&gt;&lt;/chord&gt;</t>
  </si>
  <si>
    <t>&lt;chord time="87.500" chordId="1" highDensity="1" &gt;&lt;chordNote time="87.500" string="1" fret="9" leftHand="1" /&gt;&lt;chordNote time="87.500" string="2" fret="11" leftHand="3" /&gt;&lt;chordNote time="87.500" string="3" fret="11" leftHand="4" /&gt;&lt;/chord&gt;</t>
  </si>
  <si>
    <t>&lt;chord time="87.625" chordId="1" highDensity="1" &gt;&lt;chordNote time="87.625" string="1" fret="9" leftHand="1" /&gt;&lt;chordNote time="87.625" string="2" fret="11" leftHand="3" /&gt;&lt;chordNote time="87.625" string="3" fret="11" leftHand="4" /&gt;&lt;/chord&gt;</t>
  </si>
  <si>
    <t>&lt;chord time="87.750" chordId="1" highDensity="1" &gt;&lt;chordNote time="87.750" string="1" fret="9" leftHand="1" /&gt;&lt;chordNote time="87.750" string="2" fret="11" leftHand="3" /&gt;&lt;chordNote time="87.750" string="3" fret="11" leftHand="4" /&gt;&lt;/chord&gt;</t>
  </si>
  <si>
    <t>&lt;chord time="87.875" chordId="1" highDensity="1" &gt;&lt;chordNote time="87.875" string="1" fret="9" leftHand="1" /&gt;&lt;chordNote time="87.875" string="2" fret="11" leftHand="3" /&gt;&lt;chordNote time="87.875" string="3" fret="11" leftHand="4" /&gt;&lt;/chord&gt;</t>
  </si>
  <si>
    <t>&lt;chord time="88.000" chordId="3" &gt;&lt;chordNote time="88.000" string="1" fret="4" leftHand="1" /&gt;&lt;chordNote time="88.000" string="2" fret="6" leftHand="3" /&gt;&lt;chordNote time="88.000" string="3" fret="6" leftHand="4" /&gt;&lt;/chord&gt;</t>
  </si>
  <si>
    <t>&lt;chord time="88.125" chordId="3" highDensity="1" &gt;&lt;chordNote time="88.125" string="1" fret="4" leftHand="1" /&gt;&lt;chordNote time="88.125" string="2" fret="6" leftHand="3" /&gt;&lt;chordNote time="88.125" string="3" fret="6" leftHand="4" /&gt;&lt;/chord&gt;</t>
  </si>
  <si>
    <t>&lt;chord time="88.250" chordId="3" highDensity="1" &gt;&lt;chordNote time="88.250" string="1" fret="4" leftHand="1" /&gt;&lt;chordNote time="88.250" string="2" fret="6" leftHand="3" /&gt;&lt;chordNote time="88.250" string="3" fret="6" leftHand="4" /&gt;&lt;/chord&gt;</t>
  </si>
  <si>
    <t>&lt;chord time="88.375" chordId="3" highDensity="1" &gt;&lt;chordNote time="88.375" string="1" fret="4" leftHand="1" /&gt;&lt;chordNote time="88.375" string="2" fret="6" leftHand="3" /&gt;&lt;chordNote time="88.375" string="3" fret="6" leftHand="4" /&gt;&lt;/chord&gt;</t>
  </si>
  <si>
    <t>&lt;chord time="88.500" chordId="3" highDensity="1" &gt;&lt;chordNote time="88.500" string="1" fret="4" leftHand="1" /&gt;&lt;chordNote time="88.500" string="2" fret="6" leftHand="3" /&gt;&lt;chordNote time="88.500" string="3" fret="6" leftHand="4" /&gt;&lt;/chord&gt;</t>
  </si>
  <si>
    <t>&lt;chord time="88.625" chordId="3" highDensity="1" &gt;&lt;chordNote time="88.625" string="1" fret="4" leftHand="1" /&gt;&lt;chordNote time="88.625" string="2" fret="6" leftHand="3" /&gt;&lt;chordNote time="88.625" string="3" fret="6" leftHand="4" /&gt;&lt;/chord&gt;</t>
  </si>
  <si>
    <t>&lt;chord time="88.750" chordId="3" highDensity="1" &gt;&lt;chordNote time="88.750" string="1" fret="4" leftHand="1" /&gt;&lt;chordNote time="88.750" string="2" fret="6" leftHand="3" /&gt;&lt;chordNote time="88.750" string="3" fret="6" leftHand="4" /&gt;&lt;/chord&gt;</t>
  </si>
  <si>
    <t>&lt;chord time="88.875" chordId="3" highDensity="1" &gt;&lt;chordNote time="88.875" string="1" fret="4" leftHand="1" /&gt;&lt;chordNote time="88.875" string="2" fret="6" leftHand="3" /&gt;&lt;chordNote time="88.875" string="3" fret="6" leftHand="4" /&gt;&lt;/chord&gt;</t>
  </si>
  <si>
    <t>&lt;chord time="89.000" chordId="3" highDensity="1" &gt;&lt;chordNote time="89.000" string="1" fret="4" leftHand="1" /&gt;&lt;chordNote time="89.000" string="2" fret="6" leftHand="3" /&gt;&lt;chordNote time="89.000" string="3" fret="6" leftHand="4" /&gt;&lt;/chord&gt;</t>
  </si>
  <si>
    <t>&lt;chord time="89.125" chordId="3" highDensity="1" &gt;&lt;chordNote time="89.125" string="1" fret="4" leftHand="1" /&gt;&lt;chordNote time="89.125" string="2" fret="6" leftHand="3" /&gt;&lt;chordNote time="89.125" string="3" fret="6" leftHand="4" /&gt;&lt;/chord&gt;</t>
  </si>
  <si>
    <t>&lt;chord time="89.250" chordId="3" highDensity="1" &gt;&lt;chordNote time="89.250" string="1" fret="4" leftHand="1" /&gt;&lt;chordNote time="89.250" string="2" fret="6" leftHand="3" /&gt;&lt;chordNote time="89.250" string="3" fret="6" leftHand="4" /&gt;&lt;/chord&gt;</t>
  </si>
  <si>
    <t>&lt;chord time="89.375" chordId="3" highDensity="1" &gt;&lt;chordNote time="89.375" string="1" fret="4" leftHand="1" /&gt;&lt;chordNote time="89.375" string="2" fret="6" leftHand="3" /&gt;&lt;chordNote time="89.375" string="3" fret="6" leftHand="4" /&gt;&lt;/chord&gt;</t>
  </si>
  <si>
    <t>&lt;chord time="89.500" chordId="3" highDensity="1" &gt;&lt;chordNote time="89.500" string="1" fret="4" leftHand="1" /&gt;&lt;chordNote time="89.500" string="2" fret="6" leftHand="3" /&gt;&lt;chordNote time="89.500" string="3" fret="6" leftHand="4" /&gt;&lt;/chord&gt;</t>
  </si>
  <si>
    <t>&lt;chord time="89.625" chordId="3" highDensity="1" &gt;&lt;chordNote time="89.625" string="1" fret="4" leftHand="1" /&gt;&lt;chordNote time="89.625" string="2" fret="6" leftHand="3" /&gt;&lt;chordNote time="89.625" string="3" fret="6" leftHand="4" /&gt;&lt;/chord&gt;</t>
  </si>
  <si>
    <t>&lt;chord time="89.750" chordId="3" highDensity="1" &gt;&lt;chordNote time="89.750" string="1" fret="4" leftHand="1" /&gt;&lt;chordNote time="89.750" string="2" fret="6" leftHand="3" /&gt;&lt;chordNote time="89.750" string="3" fret="6" leftHand="4" /&gt;&lt;/chord&gt;</t>
  </si>
  <si>
    <t>&lt;chord time="89.875" chordId="3" highDensity="1" &gt;&lt;chordNote time="89.875" string="1" fret="4" leftHand="1" /&gt;&lt;chordNote time="89.875" string="2" fret="6" leftHand="3" /&gt;&lt;chordNote time="89.875" string="3" fret="6" leftHand="4" /&gt;&lt;/chord&gt;</t>
  </si>
  <si>
    <t>&lt;chord time="90.000" chordId="4" &gt;&lt;chordNote time="90.000" string="1" fret="2" leftHand="1" /&gt;&lt;chordNote time="90.000" string="2" fret="4" leftHand="3" /&gt;&lt;chordNote time="90.000" string="3" fret="4" leftHand="4" /&gt;&lt;/chord&gt;</t>
  </si>
  <si>
    <t>&lt;chord time="90.125" chordId="4" highDensity="1" &gt;&lt;chordNote time="90.125" string="1" fret="2" leftHand="1" /&gt;&lt;chordNote time="90.125" string="2" fret="4" leftHand="3" /&gt;&lt;chordNote time="90.125" string="3" fret="4" leftHand="4" /&gt;&lt;/chord&gt;</t>
  </si>
  <si>
    <t>&lt;chord time="90.250" chordId="4" highDensity="1" &gt;&lt;chordNote time="90.250" string="1" fret="2" leftHand="1" /&gt;&lt;chordNote time="90.250" string="2" fret="4" leftHand="3" /&gt;&lt;chordNote time="90.250" string="3" fret="4" leftHand="4" /&gt;&lt;/chord&gt;</t>
  </si>
  <si>
    <t>&lt;chord time="90.375" chordId="4" highDensity="1" &gt;&lt;chordNote time="90.375" string="1" fret="2" leftHand="1" /&gt;&lt;chordNote time="90.375" string="2" fret="4" leftHand="3" /&gt;&lt;chordNote time="90.375" string="3" fret="4" leftHand="4" /&gt;&lt;/chord&gt;</t>
  </si>
  <si>
    <t>&lt;chord time="90.500" chordId="4" highDensity="1" &gt;&lt;chordNote time="90.500" string="1" fret="2" leftHand="1" /&gt;&lt;chordNote time="90.500" string="2" fret="4" leftHand="3" /&gt;&lt;chordNote time="90.500" string="3" fret="4" leftHand="4" /&gt;&lt;/chord&gt;</t>
  </si>
  <si>
    <t>&lt;chord time="90.625" chordId="4" highDensity="1" &gt;&lt;chordNote time="90.625" string="1" fret="2" leftHand="1" /&gt;&lt;chordNote time="90.625" string="2" fret="4" leftHand="3" /&gt;&lt;chordNote time="90.625" string="3" fret="4" leftHand="4" /&gt;&lt;/chord&gt;</t>
  </si>
  <si>
    <t>&lt;chord time="90.750" chordId="4" highDensity="1" &gt;&lt;chordNote time="90.750" string="1" fret="2" leftHand="1" /&gt;&lt;chordNote time="90.750" string="2" fret="4" leftHand="3" /&gt;&lt;chordNote time="90.750" string="3" fret="4" leftHand="4" /&gt;&lt;/chord&gt;</t>
  </si>
  <si>
    <t>&lt;chord time="90.875" chordId="4" highDensity="1" &gt;&lt;chordNote time="90.875" string="1" fret="2" leftHand="1" /&gt;&lt;chordNote time="90.875" string="2" fret="4" leftHand="3" /&gt;&lt;chordNote time="90.875" string="3" fret="4" leftHand="4" /&gt;&lt;/chord&gt;</t>
  </si>
  <si>
    <t>&lt;chord time="91.000" chordId="4" highDensity="1" &gt;&lt;chordNote time="91.000" string="1" fret="2" leftHand="1" /&gt;&lt;chordNote time="91.000" string="2" fret="4" leftHand="3" /&gt;&lt;chordNote time="91.000" string="3" fret="4" leftHand="4" /&gt;&lt;/chord&gt;</t>
  </si>
  <si>
    <t>&lt;chord time="91.125" chordId="4" highDensity="1" &gt;&lt;chordNote time="91.125" string="1" fret="2" leftHand="1" /&gt;&lt;chordNote time="91.125" string="2" fret="4" leftHand="3" /&gt;&lt;chordNote time="91.125" string="3" fret="4" leftHand="4" /&gt;&lt;/chord&gt;</t>
  </si>
  <si>
    <t>&lt;chord time="91.250" chordId="4" highDensity="1" &gt;&lt;chordNote time="91.250" string="1" fret="2" leftHand="1" /&gt;&lt;chordNote time="91.250" string="2" fret="4" leftHand="3" /&gt;&lt;chordNote time="91.250" string="3" fret="4" leftHand="4" /&gt;&lt;/chord&gt;</t>
  </si>
  <si>
    <t>&lt;chord time="91.375" chordId="4" highDensity="1" &gt;&lt;chordNote time="91.375" string="1" fret="2" leftHand="1" /&gt;&lt;chordNote time="91.375" string="2" fret="4" leftHand="3" /&gt;&lt;chordNote time="91.375" string="3" fret="4" leftHand="4" /&gt;&lt;/chord&gt;</t>
  </si>
  <si>
    <t>&lt;chord time="91.500" chordId="4" highDensity="1" &gt;&lt;chordNote time="91.500" string="1" fret="2" leftHand="1" /&gt;&lt;chordNote time="91.500" string="2" fret="4" leftHand="3" /&gt;&lt;chordNote time="91.500" string="3" fret="4" leftHand="4" /&gt;&lt;/chord&gt;</t>
  </si>
  <si>
    <t>&lt;chord time="91.625" chordId="4" highDensity="1" &gt;&lt;chordNote time="91.625" string="1" fret="2" leftHand="1" /&gt;&lt;chordNote time="91.625" string="2" fret="4" leftHand="3" /&gt;&lt;chordNote time="91.625" string="3" fret="4" leftHand="4" /&gt;&lt;/chord&gt;</t>
  </si>
  <si>
    <t>&lt;chord time="91.750" chordId="4" highDensity="1" &gt;&lt;chordNote time="91.750" string="1" fret="2" leftHand="1" /&gt;&lt;chordNote time="91.750" string="2" fret="4" leftHand="3" /&gt;&lt;chordNote time="91.750" string="3" fret="4" leftHand="4" /&gt;&lt;/chord&gt;</t>
  </si>
  <si>
    <t>&lt;chord time="91.875" chordId="4" highDensity="1" &gt;&lt;chordNote time="91.875" string="1" fret="2" leftHand="1" /&gt;&lt;chordNote time="91.875" string="2" fret="4" leftHand="3" /&gt;&lt;chordNote time="91.875" string="3" fret="4" leftHand="4" /&gt;&lt;/chord&gt;</t>
  </si>
  <si>
    <t>&lt;chord time="92.000" chordId="0" &gt;&lt;chordNote time="92.000" string="1" fret="7" leftHand="1" /&gt;&lt;chordNote time="92.000" string="2" fret="9" leftHand="3" /&gt;&lt;chordNote time="92.000" string="3" fret="9" leftHand="4" /&gt;&lt;/chord&gt;</t>
  </si>
  <si>
    <t>&lt;chord time="92.125" chordId="0" highDensity="1" &gt;&lt;chordNote time="92.125" string="1" fret="7" leftHand="1" /&gt;&lt;chordNote time="92.125" string="2" fret="9" leftHand="3" /&gt;&lt;chordNote time="92.125" string="3" fret="9" leftHand="4" /&gt;&lt;/chord&gt;</t>
  </si>
  <si>
    <t>&lt;chord time="92.250" chordId="0" highDensity="1" &gt;&lt;chordNote time="92.250" string="1" fret="7" leftHand="1" /&gt;&lt;chordNote time="92.250" string="2" fret="9" leftHand="3" /&gt;&lt;chordNote time="92.250" string="3" fret="9" leftHand="4" /&gt;&lt;/chord&gt;</t>
  </si>
  <si>
    <t>&lt;chord time="92.375" chordId="0" highDensity="1" &gt;&lt;chordNote time="92.375" string="1" fret="7" leftHand="1" /&gt;&lt;chordNote time="92.375" string="2" fret="9" leftHand="3" /&gt;&lt;chordNote time="92.375" string="3" fret="9" leftHand="4" /&gt;&lt;/chord&gt;</t>
  </si>
  <si>
    <t>&lt;chord time="92.500" chordId="0" highDensity="1" &gt;&lt;chordNote time="92.500" string="1" fret="7" leftHand="1" /&gt;&lt;chordNote time="92.500" string="2" fret="9" leftHand="3" /&gt;&lt;chordNote time="92.500" string="3" fret="9" leftHand="4" /&gt;&lt;/chord&gt;</t>
  </si>
  <si>
    <t>&lt;chord time="92.625" chordId="0" highDensity="1" &gt;&lt;chordNote time="92.625" string="1" fret="7" leftHand="1" /&gt;&lt;chordNote time="92.625" string="2" fret="9" leftHand="3" /&gt;&lt;chordNote time="92.625" string="3" fret="9" leftHand="4" /&gt;&lt;/chord&gt;</t>
  </si>
  <si>
    <t>&lt;chord time="92.750" chordId="0" highDensity="1" &gt;&lt;chordNote time="92.750" string="1" fret="7" leftHand="1" /&gt;&lt;chordNote time="92.750" string="2" fret="9" leftHand="3" /&gt;&lt;chordNote time="92.750" string="3" fret="9" leftHand="4" /&gt;&lt;/chord&gt;</t>
  </si>
  <si>
    <t>&lt;chord time="92.875" chordId="0" highDensity="1" &gt;&lt;chordNote time="92.875" string="1" fret="7" leftHand="1" /&gt;&lt;chordNote time="92.875" string="2" fret="9" leftHand="3" /&gt;&lt;chordNote time="92.875" string="3" fret="9" leftHand="4" /&gt;&lt;/chord&gt;</t>
  </si>
  <si>
    <t>&lt;chord time="93.000" chordId="0" highDensity="1" &gt;&lt;chordNote time="93.000" string="1" fret="7" leftHand="1" /&gt;&lt;chordNote time="93.000" string="2" fret="9" leftHand="3" /&gt;&lt;chordNote time="93.000" string="3" fret="9" leftHand="4" /&gt;&lt;/chord&gt;</t>
  </si>
  <si>
    <t>&lt;chord time="93.125" chordId="0" highDensity="1" &gt;&lt;chordNote time="93.125" string="1" fret="7" leftHand="1" /&gt;&lt;chordNote time="93.125" string="2" fret="9" leftHand="3" /&gt;&lt;chordNote time="93.125" string="3" fret="9" leftHand="4" /&gt;&lt;/chord&gt;</t>
  </si>
  <si>
    <t>&lt;chord time="93.250" chordId="0" highDensity="1" &gt;&lt;chordNote time="93.250" string="1" fret="7" leftHand="1" /&gt;&lt;chordNote time="93.250" string="2" fret="9" leftHand="3" /&gt;&lt;chordNote time="93.250" string="3" fret="9" leftHand="4" /&gt;&lt;/chord&gt;</t>
  </si>
  <si>
    <t>&lt;chord time="93.375" chordId="0" highDensity="1" &gt;&lt;chordNote time="93.375" string="1" fret="7" leftHand="1" /&gt;&lt;chordNote time="93.375" string="2" fret="9" leftHand="3" /&gt;&lt;chordNote time="93.375" string="3" fret="9" leftHand="4" /&gt;&lt;/chord&gt;</t>
  </si>
  <si>
    <t>&lt;chord time="93.500" chordId="0" highDensity="1" &gt;&lt;chordNote time="93.500" string="1" fret="7" leftHand="1" /&gt;&lt;chordNote time="93.500" string="2" fret="9" leftHand="3" /&gt;&lt;chordNote time="93.500" string="3" fret="9" leftHand="4" /&gt;&lt;/chord&gt;</t>
  </si>
  <si>
    <t>&lt;chord time="93.625" chordId="0" highDensity="1" &gt;&lt;chordNote time="93.625" string="1" fret="7" leftHand="1" /&gt;&lt;chordNote time="93.625" string="2" fret="9" leftHand="3" /&gt;&lt;chordNote time="93.625" string="3" fret="9" leftHand="4" /&gt;&lt;/chord&gt;</t>
  </si>
  <si>
    <t>&lt;chord time="93.750" chordId="0" highDensity="1" &gt;&lt;chordNote time="93.750" string="1" fret="7" leftHand="1" /&gt;&lt;chordNote time="93.750" string="2" fret="9" leftHand="3" /&gt;&lt;chordNote time="93.750" string="3" fret="9" leftHand="4" /&gt;&lt;/chord&gt;</t>
  </si>
  <si>
    <t>&lt;chord time="93.875" chordId="0" highDensity="1" &gt;&lt;chordNote time="93.875" string="1" fret="7" leftHand="1" /&gt;&lt;chordNote time="93.875" string="2" fret="9" leftHand="3" /&gt;&lt;chordNote time="93.875" string="3" fret="9" leftHand="4" /&gt;&lt;/chord&gt;</t>
  </si>
  <si>
    <t>&lt;chord time="94.000" chordId="1" &gt;&lt;chordNote time="94.000" string="1" fret="9" leftHand="1" /&gt;&lt;chordNote time="94.000" string="2" fret="11" leftHand="3" /&gt;&lt;chordNote time="94.000" string="3" fret="11" leftHand="4" /&gt;&lt;/chord&gt;</t>
  </si>
  <si>
    <t>&lt;chord time="94.125" chordId="1" highDensity="1" &gt;&lt;chordNote time="94.125" string="1" fret="9" leftHand="1" /&gt;&lt;chordNote time="94.125" string="2" fret="11" leftHand="3" /&gt;&lt;chordNote time="94.125" string="3" fret="11" leftHand="4" /&gt;&lt;/chord&gt;</t>
  </si>
  <si>
    <t>&lt;chord time="94.250" chordId="1" highDensity="1" &gt;&lt;chordNote time="94.250" string="1" fret="9" leftHand="1" /&gt;&lt;chordNote time="94.250" string="2" fret="11" leftHand="3" /&gt;&lt;chordNote time="94.250" string="3" fret="11" leftHand="4" /&gt;&lt;/chord&gt;</t>
  </si>
  <si>
    <t>&lt;chord time="94.375" chordId="1" highDensity="1" &gt;&lt;chordNote time="94.375" string="1" fret="9" leftHand="1" /&gt;&lt;chordNote time="94.375" string="2" fret="11" leftHand="3" /&gt;&lt;chordNote time="94.375" string="3" fret="11" leftHand="4" /&gt;&lt;/chord&gt;</t>
  </si>
  <si>
    <t>&lt;chord time="94.500" chordId="1" highDensity="1" &gt;&lt;chordNote time="94.500" string="1" fret="9" leftHand="1" /&gt;&lt;chordNote time="94.500" string="2" fret="11" leftHand="3" /&gt;&lt;chordNote time="94.500" string="3" fret="11" leftHand="4" /&gt;&lt;/chord&gt;</t>
  </si>
  <si>
    <t>&lt;chord time="94.625" chordId="1" highDensity="1" &gt;&lt;chordNote time="94.625" string="1" fret="9" leftHand="1" /&gt;&lt;chordNote time="94.625" string="2" fret="11" leftHand="3" /&gt;&lt;chordNote time="94.625" string="3" fret="11" leftHand="4" /&gt;&lt;/chord&gt;</t>
  </si>
  <si>
    <t>&lt;chord time="94.750" chordId="1" highDensity="1" &gt;&lt;chordNote time="94.750" string="1" fret="9" leftHand="1" /&gt;&lt;chordNote time="94.750" string="2" fret="11" leftHand="3" /&gt;&lt;chordNote time="94.750" string="3" fret="11" leftHand="4" /&gt;&lt;/chord&gt;</t>
  </si>
  <si>
    <t>&lt;chord time="94.875" chordId="1" highDensity="1" &gt;&lt;chordNote time="94.875" string="1" fret="9" leftHand="1" /&gt;&lt;chordNote time="94.875" string="2" fret="11" leftHand="3" /&gt;&lt;chordNote time="94.875" string="3" fret="11" leftHand="4" /&gt;&lt;/chord&gt;</t>
  </si>
  <si>
    <t>&lt;chord time="95.000" chordId="1" highDensity="1" &gt;&lt;chordNote time="95.000" string="1" fret="9" leftHand="1" /&gt;&lt;chordNote time="95.000" string="2" fret="11" leftHand="3" /&gt;&lt;chordNote time="95.000" string="3" fret="11" leftHand="4" /&gt;&lt;/chord&gt;</t>
  </si>
  <si>
    <t>&lt;chord time="95.125" chordId="1" highDensity="1" &gt;&lt;chordNote time="95.125" string="1" fret="9" leftHand="1" /&gt;&lt;chordNote time="95.125" string="2" fret="11" leftHand="3" /&gt;&lt;chordNote time="95.125" string="3" fret="11" leftHand="4" /&gt;&lt;/chord&gt;</t>
  </si>
  <si>
    <t>&lt;chord time="95.250" chordId="1" highDensity="1" &gt;&lt;chordNote time="95.250" string="1" fret="9" leftHand="1" /&gt;&lt;chordNote time="95.250" string="2" fret="11" leftHand="3" /&gt;&lt;chordNote time="95.250" string="3" fret="11" leftHand="4" /&gt;&lt;/chord&gt;</t>
  </si>
  <si>
    <t>&lt;chord time="95.375" chordId="1" highDensity="1" &gt;&lt;chordNote time="95.375" string="1" fret="9" leftHand="1" /&gt;&lt;chordNote time="95.375" string="2" fret="11" leftHand="3" /&gt;&lt;chordNote time="95.375" string="3" fret="11" leftHand="4" /&gt;&lt;/chord&gt;</t>
  </si>
  <si>
    <t>&lt;chord time="95.500" chordId="1" highDensity="1" &gt;&lt;chordNote time="95.500" string="1" fret="9" leftHand="1" /&gt;&lt;chordNote time="95.500" string="2" fret="11" leftHand="3" /&gt;&lt;chordNote time="95.500" string="3" fret="11" leftHand="4" /&gt;&lt;/chord&gt;</t>
  </si>
  <si>
    <t>&lt;chord time="95.625" chordId="1" highDensity="1" &gt;&lt;chordNote time="95.625" string="1" fret="9" leftHand="1" /&gt;&lt;chordNote time="95.625" string="2" fret="11" leftHand="3" /&gt;&lt;chordNote time="95.625" string="3" fret="11" leftHand="4" /&gt;&lt;/chord&gt;</t>
  </si>
  <si>
    <t>&lt;chord time="95.750" chordId="1" highDensity="1" &gt;&lt;chordNote time="95.750" string="1" fret="9" leftHand="1" /&gt;&lt;chordNote time="95.750" string="2" fret="11" leftHand="3" /&gt;&lt;chordNote time="95.750" string="3" fret="11" leftHand="4" /&gt;&lt;/chord&gt;</t>
  </si>
  <si>
    <t>&lt;chord time="95.875" chordId="1" highDensity="1" &gt;&lt;chordNote time="95.875" string="1" fret="9" leftHand="1" /&gt;&lt;chordNote time="95.875" string="2" fret="11" leftHand="3" /&gt;&lt;chordNote time="95.875" string="3" fret="11" leftHand="4" /&gt;&lt;/chord&gt;</t>
  </si>
  <si>
    <t>&lt;chord time="96.000" chordId="3" &gt;&lt;chordNote time="96.000" string="1" fret="4" leftHand="1" /&gt;&lt;chordNote time="96.000" string="2" fret="6" leftHand="3" /&gt;&lt;chordNote time="96.000" string="3" fret="6" leftHand="4" /&gt;&lt;/chord&gt;</t>
  </si>
  <si>
    <t>&lt;chord time="96.250" chordId="3" highDensity="1" &gt;&lt;chordNote time="96.250" string="1" fret="4" leftHand="1" /&gt;&lt;chordNote time="96.250" string="2" fret="6" leftHand="3" /&gt;&lt;chordNote time="96.250" string="3" fret="6" leftHand="4" /&gt;&lt;/chord&gt;</t>
  </si>
  <si>
    <t>&lt;chord time="96.500" chordId="4" &gt;&lt;chordNote time="96.500" string="1" fret="2" leftHand="1" /&gt;&lt;chordNote time="96.500" string="2" fret="4" leftHand="3" /&gt;&lt;chordNote time="96.500" string="3" fret="4" leftHand="4" /&gt;&lt;/chord&gt;</t>
  </si>
  <si>
    <t>&lt;chord time="96.750" chordId="4" highDensity="1" &gt;&lt;chordNote time="96.750" string="1" fret="2" leftHand="1" /&gt;&lt;chordNote time="96.750" string="2" fret="4" leftHand="3" /&gt;&lt;chordNote time="96.750" string="3" fret="4" leftHand="4" /&gt;&lt;/chord&gt;</t>
  </si>
  <si>
    <t>&lt;chord time="97.000" chordId="5" &gt;&lt;chordNote time="97.000" string="0" fret="0" /&gt;&lt;chordNote time="97.000" string="1" fret="2" leftHand="2" /&gt;&lt;chordNote time="97.000" string="2" fret="2" leftHand="3" /&gt;&lt;/chord&gt;</t>
  </si>
  <si>
    <t>&lt;chord time="98.000" chordId="5" highDensity="1" &gt;&lt;chordNote time="98.000" string="0" fret="0" /&gt;&lt;chordNote time="98.000" string="1" fret="2" leftHand="2" /&gt;&lt;chordNote time="98.000" string="2" fret="2" leftHand="3" /&gt;&lt;/chord&gt;</t>
  </si>
  <si>
    <t>&lt;chord time="98.250" chordId="5" highDensity="1" &gt;&lt;chordNote time="98.250" string="0" fret="0" /&gt;&lt;chordNote time="98.250" string="1" fret="2" leftHand="2" /&gt;&lt;chordNote time="98.250" string="2" fret="2" leftHand="3" /&gt;&lt;/chord&gt;</t>
  </si>
  <si>
    <t>&lt;chord time="98.500" chordId="2" &gt;&lt;chordNote time="98.500" string="0" fret="2" leftHand="1" /&gt;&lt;chordNote time="98.500" string="1" fret="4" leftHand="3" /&gt;&lt;chordNote time="98.500" string="2" fret="4" leftHand="4" /&gt;&lt;/chord&gt;</t>
  </si>
  <si>
    <t>&lt;chord time="98.750" chordId="2" highDensity="1" &gt;&lt;chordNote time="98.750" string="0" fret="2" leftHand="1" /&gt;&lt;chordNote time="98.750" string="1" fret="4" leftHand="3" /&gt;&lt;chordNote time="98.750" string="2" fret="4" leftHand="4" /&gt;&lt;/chord&gt;</t>
  </si>
  <si>
    <t>&lt;chord time="99.000" chordId="3" &gt;&lt;chordNote time="99.000" string="1" fret="4" leftHand="1" /&gt;&lt;chordNote time="99.000" string="2" fret="6" leftHand="3" /&gt;&lt;chordNote time="99.000" string="3" fret="6" leftHand="4" /&gt;&lt;/chord&gt;</t>
  </si>
  <si>
    <t>&lt;chord time="100.000" chordId="3" highDensity="1" &gt;&lt;chordNote time="100.000" string="1" fret="4" leftHand="1" /&gt;&lt;chordNote time="100.000" string="2" fret="6" leftHand="3" /&gt;&lt;chordNote time="100.000" string="3" fret="6" leftHand="4" /&gt;&lt;/chord&gt;</t>
  </si>
  <si>
    <t>&lt;chord time="100.250" chordId="3" highDensity="1" &gt;&lt;chordNote time="100.250" string="1" fret="4" leftHand="1" /&gt;&lt;chordNote time="100.250" string="2" fret="6" leftHand="3" /&gt;&lt;chordNote time="100.250" string="3" fret="6" leftHand="4" /&gt;&lt;/chord&gt;</t>
  </si>
  <si>
    <t>&lt;chord time="100.500" chordId="4" &gt;&lt;chordNote time="100.500" string="1" fret="2" leftHand="1" /&gt;&lt;chordNote time="100.500" string="2" fret="4" leftHand="3" /&gt;&lt;chordNote time="100.500" string="3" fret="4" leftHand="4" /&gt;&lt;/chord&gt;</t>
  </si>
  <si>
    <t>&lt;chord time="100.750" chordId="4" highDensity="1" &gt;&lt;chordNote time="100.750" string="1" fret="2" leftHand="1" /&gt;&lt;chordNote time="100.750" string="2" fret="4" leftHand="3" /&gt;&lt;chordNote time="100.750" string="3" fret="4" leftHand="4" /&gt;&lt;/chord&gt;</t>
  </si>
  <si>
    <t>&lt;chord time="101.000" chordId="5" &gt;&lt;chordNote time="101.000" string="0" fret="0" /&gt;&lt;chordNote time="101.000" string="1" fret="2" leftHand="2" /&gt;&lt;chordNote time="101.000" string="2" fret="2" leftHand="3" /&gt;&lt;/chord&gt;</t>
  </si>
  <si>
    <t>&lt;chord time="102.000" chordId="5" highDensity="1" &gt;&lt;chordNote time="102.000" string="0" fret="0" /&gt;&lt;chordNote time="102.000" string="1" fret="2" leftHand="2" /&gt;&lt;chordNote time="102.000" string="2" fret="2" leftHand="3" /&gt;&lt;/chord&gt;</t>
  </si>
  <si>
    <t>&lt;chord time="102.250" chordId="5" highDensity="1" &gt;&lt;chordNote time="102.250" string="0" fret="0" /&gt;&lt;chordNote time="102.250" string="1" fret="2" leftHand="2" /&gt;&lt;chordNote time="102.250" string="2" fret="2" leftHand="3" /&gt;&lt;/chord&gt;</t>
  </si>
  <si>
    <t>&lt;chord time="102.500" chordId="2" &gt;&lt;chordNote time="102.500" string="0" fret="2" leftHand="1" /&gt;&lt;chordNote time="102.500" string="1" fret="4" leftHand="3" /&gt;&lt;chordNote time="102.500" string="2" fret="4" leftHand="4" /&gt;&lt;/chord&gt;</t>
  </si>
  <si>
    <t>&lt;chord time="102.750" chordId="2" highDensity="1" &gt;&lt;chordNote time="102.750" string="0" fret="2" leftHand="1" /&gt;&lt;chordNote time="102.750" string="1" fret="4" leftHand="3" /&gt;&lt;chordNote time="102.750" string="2" fret="4" leftHand="4" /&gt;&lt;/chord&gt;</t>
  </si>
  <si>
    <t>&lt;chord time="103.000" chordId="3" &gt;&lt;chordNote time="103.000" string="1" fret="4" leftHand="1" /&gt;&lt;chordNote time="103.000" string="2" fret="6" leftHand="3" /&gt;&lt;chordNote time="103.000" string="3" fret="6" leftHand="4" /&gt;&lt;/chord&gt;</t>
  </si>
  <si>
    <t>&lt;chord time="104.000" chordId="3" highDensity="1" &gt;&lt;chordNote time="104.000" string="1" fret="4" leftHand="1" /&gt;&lt;chordNote time="104.000" string="2" fret="6" leftHand="3" /&gt;&lt;chordNote time="104.000" string="3" fret="6" leftHand="4" /&gt;&lt;/chord&gt;</t>
  </si>
  <si>
    <t>&lt;chord time="104.250" chordId="3" highDensity="1" &gt;&lt;chordNote time="104.250" string="1" fret="4" leftHand="1" /&gt;&lt;chordNote time="104.250" string="2" fret="6" leftHand="3" /&gt;&lt;chordNote time="104.250" string="3" fret="6" leftHand="4" /&gt;&lt;/chord&gt;</t>
  </si>
  <si>
    <t>&lt;chord time="104.500" chordId="4" &gt;&lt;chordNote time="104.500" string="1" fret="2" leftHand="1" /&gt;&lt;chordNote time="104.500" string="2" fret="4" leftHand="3" /&gt;&lt;chordNote time="104.500" string="3" fret="4" leftHand="4" /&gt;&lt;/chord&gt;</t>
  </si>
  <si>
    <t>&lt;chord time="104.750" chordId="4" highDensity="1" &gt;&lt;chordNote time="104.750" string="1" fret="2" leftHand="1" /&gt;&lt;chordNote time="104.750" string="2" fret="4" leftHand="3" /&gt;&lt;chordNote time="104.750" string="3" fret="4" leftHand="4" /&gt;&lt;/chord&gt;</t>
  </si>
  <si>
    <t>&lt;chord time="105.000" chordId="5" &gt;&lt;chordNote time="105.000" string="0" fret="0" /&gt;&lt;chordNote time="105.000" string="1" fret="2" leftHand="2" /&gt;&lt;chordNote time="105.000" string="2" fret="2" leftHand="3" /&gt;&lt;/chord&gt;</t>
  </si>
  <si>
    <t>&lt;chord time="106.000" chordId="5" highDensity="1" &gt;&lt;chordNote time="106.000" string="0" fret="0" /&gt;&lt;chordNote time="106.000" string="1" fret="2" leftHand="2" /&gt;&lt;chordNote time="106.000" string="2" fret="2" leftHand="3" /&gt;&lt;/chord&gt;</t>
  </si>
  <si>
    <t>&lt;chord time="106.250" chordId="5" highDensity="1" &gt;&lt;chordNote time="106.250" string="0" fret="0" /&gt;&lt;chordNote time="106.250" string="1" fret="2" leftHand="2" /&gt;&lt;chordNote time="106.250" string="2" fret="2" leftHand="3" /&gt;&lt;/chord&gt;</t>
  </si>
  <si>
    <t>&lt;chord time="106.500" chordId="2" &gt;&lt;chordNote time="106.500" string="0" fret="2" leftHand="1" /&gt;&lt;chordNote time="106.500" string="1" fret="4" leftHand="3" /&gt;&lt;chordNote time="106.500" string="2" fret="4" leftHand="4" /&gt;&lt;/chord&gt;</t>
  </si>
  <si>
    <t>&lt;chord time="106.750" chordId="2" highDensity="1" &gt;&lt;chordNote time="106.750" string="0" fret="2" leftHand="1" /&gt;&lt;chordNote time="106.750" string="1" fret="4" leftHand="3" /&gt;&lt;chordNote time="106.750" string="2" fret="4" leftHand="4" /&gt;&lt;/chord&gt;</t>
  </si>
  <si>
    <t>&lt;chord time="107.000" chordId="3" &gt;&lt;chordNote time="107.000" string="1" fret="4" leftHand="1" /&gt;&lt;chordNote time="107.000" string="2" fret="6" leftHand="3" /&gt;&lt;chordNote time="107.000" string="3" fret="6" leftHand="4" /&gt;&lt;/chord&gt;</t>
  </si>
  <si>
    <t>&lt;chord time="108.000" chordId="3" highDensity="1" &gt;&lt;chordNote time="108.000" string="1" fret="4" leftHand="1" /&gt;&lt;chordNote time="108.000" string="2" fret="6" leftHand="3" /&gt;&lt;chordNote time="108.000" string="3" fret="6" leftHand="4" /&gt;&lt;/chord&gt;</t>
  </si>
  <si>
    <t>&lt;chord time="108.250" chordId="3" highDensity="1" &gt;&lt;chordNote time="108.250" string="1" fret="4" leftHand="1" /&gt;&lt;chordNote time="108.250" string="2" fret="6" leftHand="3" /&gt;&lt;chordNote time="108.250" string="3" fret="6" leftHand="4" /&gt;&lt;/chord&gt;</t>
  </si>
  <si>
    <t>&lt;chord time="108.500" chordId="4" &gt;&lt;chordNote time="108.500" string="1" fret="2" leftHand="1" /&gt;&lt;chordNote time="108.500" string="2" fret="4" leftHand="3" /&gt;&lt;chordNote time="108.500" string="3" fret="4" leftHand="4" /&gt;&lt;/chord&gt;</t>
  </si>
  <si>
    <t>&lt;chord time="108.750" chordId="4" highDensity="1" &gt;&lt;chordNote time="108.750" string="1" fret="2" leftHand="1" /&gt;&lt;chordNote time="108.750" string="2" fret="4" leftHand="3" /&gt;&lt;chordNote time="108.750" string="3" fret="4" leftHand="4" /&gt;&lt;/chord&gt;</t>
  </si>
  <si>
    <t>&lt;chord time="109.000" chordId="5" &gt;&lt;chordNote time="109.000" string="0" fret="0" /&gt;&lt;chordNote time="109.000" string="1" fret="2" leftHand="2" /&gt;&lt;chordNote time="109.000" string="2" fret="2" leftHand="3" /&gt;&lt;/chord&gt;</t>
  </si>
  <si>
    <t>&lt;chord time="110.000" chordId="5" highDensity="1" &gt;&lt;chordNote time="110.000" string="0" fret="0" /&gt;&lt;chordNote time="110.000" string="1" fret="2" leftHand="2" /&gt;&lt;chordNote time="110.000" string="2" fret="2" leftHand="3" /&gt;&lt;/chord&gt;</t>
  </si>
  <si>
    <t>&lt;chord time="110.250" chordId="5" highDensity="1" &gt;&lt;chordNote time="110.250" string="0" fret="0" /&gt;&lt;chordNote time="110.250" string="1" fret="2" leftHand="2" /&gt;&lt;chordNote time="110.250" string="2" fret="2" leftHand="3" /&gt;&lt;/chord&gt;</t>
  </si>
  <si>
    <t>&lt;chord time="110.500" chordId="2" &gt;&lt;chordNote time="110.500" string="0" fret="2" leftHand="1" /&gt;&lt;chordNote time="110.500" string="1" fret="4" leftHand="3" /&gt;&lt;chordNote time="110.500" string="2" fret="4" leftHand="4" /&gt;&lt;/chord&gt;</t>
  </si>
  <si>
    <t>&lt;chord time="110.750" chordId="2" highDensity="1" &gt;&lt;chordNote time="110.750" string="0" fret="2" leftHand="1" /&gt;&lt;chordNote time="110.750" string="1" fret="4" leftHand="3" /&gt;&lt;chordNote time="110.750" string="2" fret="4" leftHand="4" /&gt;&lt;/chord&gt;</t>
  </si>
  <si>
    <t>&lt;chord time="111.000" chordId="3" &gt;&lt;chordNote time="111.000" string="1" fret="4" leftHand="1" /&gt;&lt;chordNote time="111.000" string="2" fret="6" leftHand="3" /&gt;&lt;chordNote time="111.000" string="3" fret="6" leftHand="4" /&gt;&lt;/chord&gt;</t>
  </si>
  <si>
    <t>&lt;chord time="143.000" chordId="3" &gt;&lt;chordNote time="143.000" string="1" fret="4" leftHand="1" /&gt;&lt;chordNote time="143.000" string="2" fret="6" leftHand="3" /&gt;&lt;chordNote time="143.000" string="3" fret="6" leftHand="4" /&gt;&lt;/chord&gt;</t>
  </si>
  <si>
    <t>&lt;chord time="143.250" chordId="3" highDensity="1" &gt;&lt;chordNote time="143.250" string="1" fret="4" leftHand="1" /&gt;&lt;chordNote time="143.250" string="2" fret="6" leftHand="3" /&gt;&lt;chordNote time="143.250" string="3" fret="6" leftHand="4" /&gt;&lt;/chord&gt;</t>
  </si>
  <si>
    <t>&lt;chord time="143.500" chordId="4" &gt;&lt;chordNote time="143.500" string="1" fret="2" leftHand="1" /&gt;&lt;chordNote time="143.500" string="2" fret="4" leftHand="3" /&gt;&lt;chordNote time="143.500" string="3" fret="4" leftHand="4" /&gt;&lt;/chord&gt;</t>
  </si>
  <si>
    <t>&lt;chord time="143.750" chordId="4" highDensity="1" &gt;&lt;chordNote time="143.750" string="1" fret="2" leftHand="1" /&gt;&lt;chordNote time="143.750" string="2" fret="4" leftHand="3" /&gt;&lt;chordNote time="143.750" string="3" fret="4" leftHand="4" /&gt;&lt;/chord&gt;</t>
  </si>
  <si>
    <t>&lt;chord time="144.000" chordId="5" &gt;&lt;chordNote time="144.000" string="0" fret="0" /&gt;&lt;chordNote time="144.000" string="1" fret="2" leftHand="2" /&gt;&lt;chordNote time="144.000" string="2" fret="2" leftHand="3" /&gt;&lt;/chord&gt;</t>
  </si>
  <si>
    <t>&lt;chord time="145.000" chordId="5" highDensity="1" &gt;&lt;chordNote time="145.000" string="0" fret="0" /&gt;&lt;chordNote time="145.000" string="1" fret="2" leftHand="2" /&gt;&lt;chordNote time="145.000" string="2" fret="2" leftHand="3" /&gt;&lt;/chord&gt;</t>
  </si>
  <si>
    <t>&lt;chord time="145.250" chordId="5" highDensity="1" &gt;&lt;chordNote time="145.250" string="0" fret="0" /&gt;&lt;chordNote time="145.250" string="1" fret="2" leftHand="2" /&gt;&lt;chordNote time="145.250" string="2" fret="2" leftHand="3" /&gt;&lt;/chord&gt;</t>
  </si>
  <si>
    <t>&lt;chord time="145.500" chordId="2" &gt;&lt;chordNote time="145.500" string="0" fret="2" leftHand="1" /&gt;&lt;chordNote time="145.500" string="1" fret="4" leftHand="3" /&gt;&lt;chordNote time="145.500" string="2" fret="4" leftHand="4" /&gt;&lt;/chord&gt;</t>
  </si>
  <si>
    <t>&lt;chord time="145.750" chordId="2" highDensity="1" &gt;&lt;chordNote time="145.750" string="0" fret="2" leftHand="1" /&gt;&lt;chordNote time="145.750" string="1" fret="4" leftHand="3" /&gt;&lt;chordNote time="145.750" string="2" fret="4" leftHand="4" /&gt;&lt;/chord&gt;</t>
  </si>
  <si>
    <t>&lt;chord time="146.000" chordId="3" &gt;&lt;chordNote time="146.000" string="1" fret="4" leftHand="1" /&gt;&lt;chordNote time="146.000" string="2" fret="6" leftHand="3" /&gt;&lt;chordNote time="146.000" string="3" fret="6" leftHand="4" /&gt;&lt;/chord&gt;</t>
  </si>
  <si>
    <t>&lt;chord time="147.000" chordId="3" highDensity="1" &gt;&lt;chordNote time="147.000" string="1" fret="4" leftHand="1" /&gt;&lt;chordNote time="147.000" string="2" fret="6" leftHand="3" /&gt;&lt;chordNote time="147.000" string="3" fret="6" leftHand="4" /&gt;&lt;/chord&gt;</t>
  </si>
  <si>
    <t>&lt;chord time="147.250" chordId="3" highDensity="1" &gt;&lt;chordNote time="147.250" string="1" fret="4" leftHand="1" /&gt;&lt;chordNote time="147.250" string="2" fret="6" leftHand="3" /&gt;&lt;chordNote time="147.250" string="3" fret="6" leftHand="4" /&gt;&lt;/chord&gt;</t>
  </si>
  <si>
    <t>&lt;chord time="147.500" chordId="4" &gt;&lt;chordNote time="147.500" string="1" fret="2" leftHand="1" /&gt;&lt;chordNote time="147.500" string="2" fret="4" leftHand="3" /&gt;&lt;chordNote time="147.500" string="3" fret="4" leftHand="4" /&gt;&lt;/chord&gt;</t>
  </si>
  <si>
    <t>&lt;chord time="147.750" chordId="4" highDensity="1" &gt;&lt;chordNote time="147.750" string="1" fret="2" leftHand="1" /&gt;&lt;chordNote time="147.750" string="2" fret="4" leftHand="3" /&gt;&lt;chordNote time="147.750" string="3" fret="4" leftHand="4" /&gt;&lt;/chord&gt;</t>
  </si>
  <si>
    <t>&lt;chord time="148.000" chordId="5" &gt;&lt;chordNote time="148.000" string="0" fret="0" /&gt;&lt;chordNote time="148.000" string="1" fret="2" leftHand="2" /&gt;&lt;chordNote time="148.000" string="2" fret="2" leftHand="3" /&gt;&lt;/chord&gt;</t>
  </si>
  <si>
    <t>&lt;chord time="149.000" chordId="5" highDensity="1" &gt;&lt;chordNote time="149.000" string="0" fret="0" /&gt;&lt;chordNote time="149.000" string="1" fret="2" leftHand="2" /&gt;&lt;chordNote time="149.000" string="2" fret="2" leftHand="3" /&gt;&lt;/chord&gt;</t>
  </si>
  <si>
    <t>&lt;chord time="149.250" chordId="5" highDensity="1" &gt;&lt;chordNote time="149.250" string="0" fret="0" /&gt;&lt;chordNote time="149.250" string="1" fret="2" leftHand="2" /&gt;&lt;chordNote time="149.250" string="2" fret="2" leftHand="3" /&gt;&lt;/chord&gt;</t>
  </si>
  <si>
    <t>&lt;chord time="149.500" chordId="2" &gt;&lt;chordNote time="149.500" string="0" fret="2" leftHand="1" /&gt;&lt;chordNote time="149.500" string="1" fret="4" leftHand="3" /&gt;&lt;chordNote time="149.500" string="2" fret="4" leftHand="4" /&gt;&lt;/chord&gt;</t>
  </si>
  <si>
    <t>&lt;chord time="149.750" chordId="2" highDensity="1" &gt;&lt;chordNote time="149.750" string="0" fret="2" leftHand="1" /&gt;&lt;chordNote time="149.750" string="1" fret="4" leftHand="3" /&gt;&lt;chordNote time="149.750" string="2" fret="4" leftHand="4" /&gt;&lt;/chord&gt;</t>
  </si>
  <si>
    <t>&lt;chord time="150.000" chordId="3" &gt;&lt;chordNote time="150.000" string="1" fret="4" leftHand="1" /&gt;&lt;chordNote time="150.000" string="2" fret="6" leftHand="3" /&gt;&lt;chordNote time="150.000" string="3" fret="6" leftHand="4" /&gt;&lt;/chord&gt;</t>
  </si>
  <si>
    <t>&lt;chord time="151.000" chordId="3" highDensity="1" &gt;&lt;chordNote time="151.000" string="1" fret="4" leftHand="1" /&gt;&lt;chordNote time="151.000" string="2" fret="6" leftHand="3" /&gt;&lt;chordNote time="151.000" string="3" fret="6" leftHand="4" /&gt;&lt;/chord&gt;</t>
  </si>
  <si>
    <t>&lt;chord time="151.250" chordId="3" highDensity="1" &gt;&lt;chordNote time="151.250" string="1" fret="4" leftHand="1" /&gt;&lt;chordNote time="151.250" string="2" fret="6" leftHand="3" /&gt;&lt;chordNote time="151.250" string="3" fret="6" leftHand="4" /&gt;&lt;/chord&gt;</t>
  </si>
  <si>
    <t>&lt;chord time="151.500" chordId="4" &gt;&lt;chordNote time="151.500" string="1" fret="2" leftHand="1" /&gt;&lt;chordNote time="151.500" string="2" fret="4" leftHand="3" /&gt;&lt;chordNote time="151.500" string="3" fret="4" leftHand="4" /&gt;&lt;/chord&gt;</t>
  </si>
  <si>
    <t>&lt;chord time="151.750" chordId="4" highDensity="1" &gt;&lt;chordNote time="151.750" string="1" fret="2" leftHand="1" /&gt;&lt;chordNote time="151.750" string="2" fret="4" leftHand="3" /&gt;&lt;chordNote time="151.750" string="3" fret="4" leftHand="4" /&gt;&lt;/chord&gt;</t>
  </si>
  <si>
    <t>&lt;chord time="152.000" chordId="5" &gt;&lt;chordNote time="152.000" string="0" fret="0" /&gt;&lt;chordNote time="152.000" string="1" fret="2" leftHand="2" /&gt;&lt;chordNote time="152.000" string="2" fret="2" leftHand="3" /&gt;&lt;/chord&gt;</t>
  </si>
  <si>
    <t>&lt;chord time="153.000" chordId="5" highDensity="1" &gt;&lt;chordNote time="153.000" string="0" fret="0" /&gt;&lt;chordNote time="153.000" string="1" fret="2" leftHand="2" /&gt;&lt;chordNote time="153.000" string="2" fret="2" leftHand="3" /&gt;&lt;/chord&gt;</t>
  </si>
  <si>
    <t>&lt;chord time="153.250" chordId="5" highDensity="1" &gt;&lt;chordNote time="153.250" string="0" fret="0" /&gt;&lt;chordNote time="153.250" string="1" fret="2" leftHand="2" /&gt;&lt;chordNote time="153.250" string="2" fret="2" leftHand="3" /&gt;&lt;/chord&gt;</t>
  </si>
  <si>
    <t>&lt;chord time="153.500" chordId="2" &gt;&lt;chordNote time="153.500" string="0" fret="2" leftHand="1" /&gt;&lt;chordNote time="153.500" string="1" fret="4" leftHand="3" /&gt;&lt;chordNote time="153.500" string="2" fret="4" leftHand="4" /&gt;&lt;/chord&gt;</t>
  </si>
  <si>
    <t>&lt;chord time="153.750" chordId="2" highDensity="1" &gt;&lt;chordNote time="153.750" string="0" fret="2" leftHand="1" /&gt;&lt;chordNote time="153.750" string="1" fret="4" leftHand="3" /&gt;&lt;chordNote time="153.750" string="2" fret="4" leftHand="4" /&gt;&lt;/chord&gt;</t>
  </si>
  <si>
    <t>&lt;chord time="154.000" chordId="3" &gt;&lt;chordNote time="154.000" string="1" fret="4" leftHand="1" /&gt;&lt;chordNote time="154.000" string="2" fret="6" leftHand="3" /&gt;&lt;chordNote time="154.000" string="3" fret="6" leftHand="4" /&gt;&lt;/chord&gt;</t>
  </si>
  <si>
    <t>&lt;chord time="155.000" chordId="3" highDensity="1" &gt;&lt;chordNote time="155.000" string="1" fret="4" leftHand="1" /&gt;&lt;chordNote time="155.000" string="2" fret="6" leftHand="3" /&gt;&lt;chordNote time="155.000" string="3" fret="6" leftHand="4" /&gt;&lt;/chord&gt;</t>
  </si>
  <si>
    <t>&lt;chord time="155.250" chordId="3" highDensity="1" &gt;&lt;chordNote time="155.250" string="1" fret="4" leftHand="1" /&gt;&lt;chordNote time="155.250" string="2" fret="6" leftHand="3" /&gt;&lt;chordNote time="155.250" string="3" fret="6" leftHand="4" /&gt;&lt;/chord&gt;</t>
  </si>
  <si>
    <t>&lt;chord time="155.500" chordId="4" &gt;&lt;chordNote time="155.500" string="1" fret="2" leftHand="1" /&gt;&lt;chordNote time="155.500" string="2" fret="4" leftHand="3" /&gt;&lt;chordNote time="155.500" string="3" fret="4" leftHand="4" /&gt;&lt;/chord&gt;</t>
  </si>
  <si>
    <t>&lt;chord time="155.750" chordId="4" highDensity="1" &gt;&lt;chordNote time="155.750" string="1" fret="2" leftHand="1" /&gt;&lt;chordNote time="155.750" string="2" fret="4" leftHand="3" /&gt;&lt;chordNote time="155.750" string="3" fret="4" leftHand="4" /&gt;&lt;/chord&gt;</t>
  </si>
  <si>
    <t>&lt;chord time="156.000" chordId="5" &gt;&lt;chordNote time="156.000" string="0" fret="0" /&gt;&lt;chordNote time="156.000" string="1" fret="2" leftHand="2" /&gt;&lt;chordNote time="156.000" string="2" fret="2" leftHand="3" /&gt;&lt;/chord&gt;</t>
  </si>
  <si>
    <t>&lt;chord time="157.000" chordId="5" highDensity="1" &gt;&lt;chordNote time="157.000" string="0" fret="0" /&gt;&lt;chordNote time="157.000" string="1" fret="2" leftHand="2" /&gt;&lt;chordNote time="157.000" string="2" fret="2" leftHand="3" /&gt;&lt;/chord&gt;</t>
  </si>
  <si>
    <t>&lt;chord time="157.250" chordId="5" highDensity="1" &gt;&lt;chordNote time="157.250" string="0" fret="0" /&gt;&lt;chordNote time="157.250" string="1" fret="2" leftHand="2" /&gt;&lt;chordNote time="157.250" string="2" fret="2" leftHand="3" /&gt;&lt;/chord&gt;</t>
  </si>
  <si>
    <t>&lt;chord time="157.500" chordId="2" &gt;&lt;chordNote time="157.500" string="0" fret="2" leftHand="1" /&gt;&lt;chordNote time="157.500" string="1" fret="4" leftHand="3" /&gt;&lt;chordNote time="157.500" string="2" fret="4" leftHand="4" /&gt;&lt;/chord&gt;</t>
  </si>
  <si>
    <t>&lt;chord time="157.750" chordId="2" highDensity="1" &gt;&lt;chordNote time="157.750" string="0" fret="2" leftHand="1" /&gt;&lt;chordNote time="157.750" string="1" fret="4" leftHand="3" /&gt;&lt;chordNote time="157.750" string="2" fret="4" leftHand="4" /&gt;&lt;/chord&gt;</t>
  </si>
  <si>
    <t>&lt;chord time="158.000" chordId="3" &gt;&lt;chordNote time="158.000" string="1" fret="4" leftHand="1" /&gt;&lt;chordNote time="158.000" string="2" fret="6" leftHand="3" /&gt;&lt;chordNote time="158.000" string="3" fret="6" leftHand="4" /&gt;&lt;/chord&gt;</t>
  </si>
  <si>
    <t>&lt;chord time="175.000" chordId="3" &gt;&lt;chordNote time="175.000" string="1" fret="4" leftHand="1" /&gt;&lt;chordNote time="175.000" string="2" fret="6" leftHand="3" /&gt;&lt;chordNote time="175.000" string="3" fret="6" leftHand="4" /&gt;&lt;/chord&gt;</t>
  </si>
  <si>
    <t>&lt;chord time="175.250" chordId="3" highDensity="1" &gt;&lt;chordNote time="175.250" string="1" fret="4" leftHand="1" /&gt;&lt;chordNote time="175.250" string="2" fret="6" leftHand="3" /&gt;&lt;chordNote time="175.250" string="3" fret="6" leftHand="4" /&gt;&lt;/chord&gt;</t>
  </si>
  <si>
    <t>&lt;chord time="175.500" chordId="4" &gt;&lt;chordNote time="175.500" string="1" fret="2" leftHand="1" /&gt;&lt;chordNote time="175.500" string="2" fret="4" leftHand="3" /&gt;&lt;chordNote time="175.500" string="3" fret="4" leftHand="4" /&gt;&lt;/chord&gt;</t>
  </si>
  <si>
    <t>&lt;chord time="175.750" chordId="4" highDensity="1" &gt;&lt;chordNote time="175.750" string="1" fret="2" leftHand="1" /&gt;&lt;chordNote time="175.750" string="2" fret="4" leftHand="3" /&gt;&lt;chordNote time="175.750" string="3" fret="4" leftHand="4" /&gt;&lt;/chord&gt;</t>
  </si>
  <si>
    <t>&lt;chord time="176.000" chordId="5" &gt;&lt;chordNote time="176.000" string="0" fret="0" /&gt;&lt;chordNote time="176.000" string="1" fret="2" leftHand="2" /&gt;&lt;chordNote time="176.000" string="2" fret="2" leftHand="3" /&gt;&lt;/chord&gt;</t>
  </si>
  <si>
    <t>first note</t>
  </si>
  <si>
    <t>last note</t>
  </si>
  <si>
    <t>&lt;chord time="8.000" chordId="3" &gt;&lt;chordNote time="8.000" string="1" fret="4" leftHand="1" /&gt;&lt;chordNote time="8.000" string="2" fret="6" leftHand="3" /&gt;&lt;chordNote time="8.000" string="3" fret="6" leftHand="4" /&gt;&lt;/chord&gt;</t>
  </si>
  <si>
    <t>&lt;note time="0.000" string="1" fret="4" /&gt;</t>
  </si>
  <si>
    <t>&lt;note time="0.125" string="1" fret="4" /&gt;</t>
  </si>
  <si>
    <t>&lt;note time="0.250" string="1" fret="4" /&gt;</t>
  </si>
  <si>
    <t>&lt;note time="0.375" string="1" fret="4" /&gt;</t>
  </si>
  <si>
    <t>&lt;note time="0.500" string="1" fret="4" /&gt;</t>
  </si>
  <si>
    <t>&lt;note time="0.625" string="1" fret="4" /&gt;</t>
  </si>
  <si>
    <t>&lt;note time="0.750" string="1" fret="4" /&gt;</t>
  </si>
  <si>
    <t>&lt;note time="0.875" string="1" fret="4" /&gt;</t>
  </si>
  <si>
    <t>&lt;note time="1.000" string="1" fret="4" /&gt;</t>
  </si>
  <si>
    <t>&lt;note time="1.125" string="1" fret="4" /&gt;</t>
  </si>
  <si>
    <t>&lt;note time="1.250" string="1" fret="4" /&gt;</t>
  </si>
  <si>
    <t>&lt;note time="1.375" string="1" fret="4" /&gt;</t>
  </si>
  <si>
    <t>&lt;note time="1.500" string="1" fret="4" /&gt;</t>
  </si>
  <si>
    <t>&lt;note time="1.625" string="0" fret="4" /&gt;</t>
  </si>
  <si>
    <t>&lt;note time="1.750" string="0" fret="7" /&gt;</t>
  </si>
  <si>
    <t>&lt;note time="1.875" string="1" fret="4" /&gt;</t>
  </si>
  <si>
    <t>&lt;note time="2.000" string="1" fret="4" /&gt;</t>
  </si>
  <si>
    <t>&lt;note time="2.125" string="1" fret="4" /&gt;</t>
  </si>
  <si>
    <t>&lt;note time="2.250" string="1" fret="4" /&gt;</t>
  </si>
  <si>
    <t>&lt;note time="2.375" string="1" fret="4" /&gt;</t>
  </si>
  <si>
    <t>&lt;note time="2.500" string="1" fret="4" /&gt;</t>
  </si>
  <si>
    <t>&lt;note time="2.625" string="1" fret="4" /&gt;</t>
  </si>
  <si>
    <t>&lt;note time="2.750" string="1" fret="4" /&gt;</t>
  </si>
  <si>
    <t>&lt;note time="2.875" string="1" fret="4" /&gt;</t>
  </si>
  <si>
    <t>&lt;note time="3.000" string="1" fret="4" /&gt;</t>
  </si>
  <si>
    <t>&lt;note time="3.125" string="1" fret="4" /&gt;</t>
  </si>
  <si>
    <t>&lt;note time="3.250" string="1" fret="4" /&gt;</t>
  </si>
  <si>
    <t>&lt;note time="3.375" string="1" fret="4" /&gt;</t>
  </si>
  <si>
    <t>&lt;note time="3.500" string="1" fret="4" /&gt;</t>
  </si>
  <si>
    <t>&lt;note time="3.625" string="0" fret="4" /&gt;</t>
  </si>
  <si>
    <t>&lt;note time="3.750" string="0" fret="7" /&gt;</t>
  </si>
  <si>
    <t>&lt;note time="3.875" string="1" fret="4" /&gt;</t>
  </si>
  <si>
    <t>&lt;note time="4.000" string="1" fret="4" /&gt;</t>
  </si>
  <si>
    <t>&lt;note time="4.125" string="1" fret="4" /&gt;</t>
  </si>
  <si>
    <t>&lt;note time="4.250" string="1" fret="4" /&gt;</t>
  </si>
  <si>
    <t>&lt;note time="4.375" string="1" fret="4" /&gt;</t>
  </si>
  <si>
    <t>&lt;note time="4.500" string="1" fret="4" /&gt;</t>
  </si>
  <si>
    <t>&lt;note time="4.625" string="1" fret="4" /&gt;</t>
  </si>
  <si>
    <t>&lt;note time="4.750" string="1" fret="4" /&gt;</t>
  </si>
  <si>
    <t>&lt;note time="4.875" string="1" fret="4" /&gt;</t>
  </si>
  <si>
    <t>&lt;note time="5.000" string="1" fret="4" /&gt;</t>
  </si>
  <si>
    <t>&lt;note time="5.125" string="1" fret="4" /&gt;</t>
  </si>
  <si>
    <t>&lt;note time="5.250" string="1" fret="4" /&gt;</t>
  </si>
  <si>
    <t>&lt;note time="5.375" string="1" fret="4" /&gt;</t>
  </si>
  <si>
    <t>&lt;note time="5.500" string="1" fret="4" /&gt;</t>
  </si>
  <si>
    <t>&lt;note time="5.625" string="0" fret="4" /&gt;</t>
  </si>
  <si>
    <t>&lt;note time="5.750" string="0" fret="7" /&gt;</t>
  </si>
  <si>
    <t>&lt;note time="5.875" string="1" fret="4" /&gt;</t>
  </si>
  <si>
    <t>&lt;note time="6.000" string="1" fret="4" /&gt;</t>
  </si>
  <si>
    <t>&lt;note time="6.125" string="1" fret="4" /&gt;</t>
  </si>
  <si>
    <t>&lt;note time="6.250" string="1" fret="4" /&gt;</t>
  </si>
  <si>
    <t>&lt;note time="6.375" string="1" fret="4" /&gt;</t>
  </si>
  <si>
    <t>&lt;note time="6.500" string="1" fret="4" /&gt;</t>
  </si>
  <si>
    <t>&lt;note time="6.625" string="1" fret="4" /&gt;</t>
  </si>
  <si>
    <t>&lt;note time="6.750" string="1" fret="4" /&gt;</t>
  </si>
  <si>
    <t>&lt;note time="6.875" string="0" fret="4" /&gt;</t>
  </si>
  <si>
    <t>&lt;note time="7.000" string="0" fret="7" /&gt;</t>
  </si>
  <si>
    <t>&lt;note time="7.125" string="1" fret="4" /&gt;</t>
  </si>
  <si>
    <t>&lt;note time="7.250" string="1" fret="7" /&gt;</t>
  </si>
  <si>
    <t>&lt;note time="7.375" string="1" fret="4" /&gt;</t>
  </si>
  <si>
    <t>&lt;note time="7.500" string="2" fret="4" /&gt;</t>
  </si>
  <si>
    <t>&lt;note time="7.625" string="1" fret="7" /&gt;</t>
  </si>
  <si>
    <t>&lt;note time="7.750" string="1" fret="4" /&gt;</t>
  </si>
  <si>
    <t>&lt;note time="7.875" string="0" fret="7" /&gt;</t>
  </si>
  <si>
    <t>&lt;note time="8.000" string="1" fret="4" /&gt;</t>
  </si>
  <si>
    <t>&lt;note time="8.125" string="1" fret="4" /&gt;</t>
  </si>
  <si>
    <t>&lt;note time="8.250" string="1" fret="4" /&gt;</t>
  </si>
  <si>
    <t>&lt;note time="8.375" string="1" fret="4" /&gt;</t>
  </si>
  <si>
    <t>&lt;note time="8.500" string="1" fret="4" /&gt;</t>
  </si>
  <si>
    <t>&lt;note time="8.625" string="1" fret="4" /&gt;</t>
  </si>
  <si>
    <t>&lt;note time="8.750" string="1" fret="4" /&gt;</t>
  </si>
  <si>
    <t>&lt;note time="8.875" string="1" fret="4" /&gt;</t>
  </si>
  <si>
    <t>&lt;note time="9.000" string="1" fret="4" /&gt;</t>
  </si>
  <si>
    <t>&lt;note time="9.125" string="1" fret="4" /&gt;</t>
  </si>
  <si>
    <t>&lt;note time="9.250" string="1" fret="4" /&gt;</t>
  </si>
  <si>
    <t>&lt;note time="9.375" string="1" fret="4" /&gt;</t>
  </si>
  <si>
    <t>&lt;note time="9.500" string="1" fret="4" /&gt;</t>
  </si>
  <si>
    <t>&lt;note time="9.625" string="1" fret="4" /&gt;</t>
  </si>
  <si>
    <t>&lt;note time="9.750" string="1" fret="4" /&gt;</t>
  </si>
  <si>
    <t>&lt;note time="9.875" string="1" fret="4" /&gt;</t>
  </si>
  <si>
    <t>&lt;note time="10.000" string="1" fret="2" /&gt;</t>
  </si>
  <si>
    <t>&lt;note time="10.125" string="1" fret="2" /&gt;</t>
  </si>
  <si>
    <t>&lt;note time="10.250" string="1" fret="2" /&gt;</t>
  </si>
  <si>
    <t>&lt;note time="10.375" string="1" fret="2" /&gt;</t>
  </si>
  <si>
    <t>&lt;note time="10.500" string="1" fret="2" /&gt;</t>
  </si>
  <si>
    <t>&lt;note time="10.625" string="1" fret="2" /&gt;</t>
  </si>
  <si>
    <t>&lt;note time="10.750" string="1" fret="2" /&gt;</t>
  </si>
  <si>
    <t>&lt;note time="10.875" string="1" fret="2" /&gt;</t>
  </si>
  <si>
    <t>&lt;note time="11.000" string="1" fret="2" /&gt;</t>
  </si>
  <si>
    <t>&lt;note time="11.125" string="1" fret="2" /&gt;</t>
  </si>
  <si>
    <t>&lt;note time="11.250" string="1" fret="2" /&gt;</t>
  </si>
  <si>
    <t>&lt;note time="11.375" string="1" fret="2" /&gt;</t>
  </si>
  <si>
    <t>&lt;note time="11.500" string="1" fret="2" /&gt;</t>
  </si>
  <si>
    <t>&lt;note time="11.625" string="1" fret="2" /&gt;</t>
  </si>
  <si>
    <t>&lt;note time="11.750" string="1" fret="2" /&gt;</t>
  </si>
  <si>
    <t>&lt;note time="11.875" string="1" fret="2" /&gt;</t>
  </si>
  <si>
    <t>&lt;note time="12.000" string="1" fret="7" /&gt;</t>
  </si>
  <si>
    <t>&lt;note time="12.125" string="1" fret="7" /&gt;</t>
  </si>
  <si>
    <t>&lt;note time="12.250" string="1" fret="7" /&gt;</t>
  </si>
  <si>
    <t>&lt;note time="12.375" string="1" fret="7" /&gt;</t>
  </si>
  <si>
    <t>&lt;note time="12.500" string="1" fret="7" /&gt;</t>
  </si>
  <si>
    <t>&lt;note time="12.625" string="1" fret="7" /&gt;</t>
  </si>
  <si>
    <t>&lt;note time="12.750" string="1" fret="7" /&gt;</t>
  </si>
  <si>
    <t>&lt;note time="12.875" string="1" fret="7" /&gt;</t>
  </si>
  <si>
    <t>&lt;note time="13.000" string="1" fret="7" /&gt;</t>
  </si>
  <si>
    <t>&lt;note time="13.125" string="1" fret="7" /&gt;</t>
  </si>
  <si>
    <t>&lt;note time="13.250" string="1" fret="7" /&gt;</t>
  </si>
  <si>
    <t>&lt;note time="13.375" string="1" fret="7" /&gt;</t>
  </si>
  <si>
    <t>&lt;note time="13.500" string="1" fret="7" /&gt;</t>
  </si>
  <si>
    <t>&lt;note time="13.625" string="1" fret="7" /&gt;</t>
  </si>
  <si>
    <t>&lt;note time="13.750" string="1" fret="7" /&gt;</t>
  </si>
  <si>
    <t>&lt;note time="13.875" string="1" fret="7" /&gt;</t>
  </si>
  <si>
    <t>&lt;note time="14.000" string="1" fret="9" /&gt;</t>
  </si>
  <si>
    <t>&lt;note time="14.125" string="1" fret="9" /&gt;</t>
  </si>
  <si>
    <t>&lt;note time="14.250" string="1" fret="9" /&gt;</t>
  </si>
  <si>
    <t>&lt;note time="14.375" string="1" fret="9" /&gt;</t>
  </si>
  <si>
    <t>&lt;note time="14.500" string="1" fret="9" /&gt;</t>
  </si>
  <si>
    <t>&lt;note time="14.625" string="1" fret="9" /&gt;</t>
  </si>
  <si>
    <t>&lt;note time="14.750" string="1" fret="9" /&gt;</t>
  </si>
  <si>
    <t>&lt;note time="14.875" string="1" fret="9" /&gt;</t>
  </si>
  <si>
    <t>&lt;note time="15.000" string="1" fret="9" /&gt;</t>
  </si>
  <si>
    <t>&lt;note time="15.125" string="1" fret="9" /&gt;</t>
  </si>
  <si>
    <t>&lt;note time="15.250" string="1" fret="9" /&gt;</t>
  </si>
  <si>
    <t>&lt;note time="15.375" string="1" fret="9" /&gt;</t>
  </si>
  <si>
    <t>&lt;note time="15.500" string="1" fret="9" /&gt;</t>
  </si>
  <si>
    <t>&lt;note time="15.625" string="1" fret="9" /&gt;</t>
  </si>
  <si>
    <t>&lt;note time="15.750" string="1" fret="9" /&gt;</t>
  </si>
  <si>
    <t>&lt;note time="15.875" string="1" fret="9" /&gt;</t>
  </si>
  <si>
    <t>&lt;note time="16.000" string="1" fret="4" /&gt;</t>
  </si>
  <si>
    <t>&lt;note time="16.125" string="1" fret="4" /&gt;</t>
  </si>
  <si>
    <t>&lt;note time="16.250" string="1" fret="4" /&gt;</t>
  </si>
  <si>
    <t>&lt;note time="16.375" string="1" fret="4" /&gt;</t>
  </si>
  <si>
    <t>&lt;note time="16.500" string="1" fret="4" /&gt;</t>
  </si>
  <si>
    <t>&lt;note time="16.625" string="1" fret="4" /&gt;</t>
  </si>
  <si>
    <t>&lt;note time="16.750" string="1" fret="4" /&gt;</t>
  </si>
  <si>
    <t>&lt;note time="16.875" string="1" fret="4" /&gt;</t>
  </si>
  <si>
    <t>&lt;note time="17.000" string="1" fret="4" /&gt;</t>
  </si>
  <si>
    <t>&lt;note time="17.125" string="1" fret="4" /&gt;</t>
  </si>
  <si>
    <t>&lt;note time="17.250" string="1" fret="4" /&gt;</t>
  </si>
  <si>
    <t>&lt;note time="17.375" string="1" fret="4" /&gt;</t>
  </si>
  <si>
    <t>&lt;note time="17.500" string="1" fret="4" /&gt;</t>
  </si>
  <si>
    <t>&lt;note time="17.625" string="1" fret="4" /&gt;</t>
  </si>
  <si>
    <t>&lt;note time="17.750" string="1" fret="4" /&gt;</t>
  </si>
  <si>
    <t>&lt;note time="17.875" string="1" fret="4" /&gt;</t>
  </si>
  <si>
    <t>&lt;note time="18.000" string="1" fret="2" /&gt;</t>
  </si>
  <si>
    <t>&lt;note time="18.125" string="1" fret="2" /&gt;</t>
  </si>
  <si>
    <t>&lt;note time="18.250" string="1" fret="2" /&gt;</t>
  </si>
  <si>
    <t>&lt;note time="18.375" string="1" fret="2" /&gt;</t>
  </si>
  <si>
    <t>&lt;note time="18.500" string="1" fret="2" /&gt;</t>
  </si>
  <si>
    <t>&lt;note time="18.625" string="1" fret="2" /&gt;</t>
  </si>
  <si>
    <t>&lt;note time="18.750" string="1" fret="2" /&gt;</t>
  </si>
  <si>
    <t>&lt;note time="18.875" string="1" fret="2" /&gt;</t>
  </si>
  <si>
    <t>&lt;note time="19.000" string="1" fret="2" /&gt;</t>
  </si>
  <si>
    <t>&lt;note time="19.125" string="1" fret="2" /&gt;</t>
  </si>
  <si>
    <t>&lt;note time="19.250" string="1" fret="2" /&gt;</t>
  </si>
  <si>
    <t>&lt;note time="19.375" string="1" fret="2" /&gt;</t>
  </si>
  <si>
    <t>&lt;note time="19.500" string="1" fret="2" /&gt;</t>
  </si>
  <si>
    <t>&lt;note time="19.625" string="1" fret="2" /&gt;</t>
  </si>
  <si>
    <t>&lt;note time="19.750" string="1" fret="2" /&gt;</t>
  </si>
  <si>
    <t>&lt;note time="19.875" string="1" fret="2" /&gt;</t>
  </si>
  <si>
    <t>&lt;note time="20.000" string="1" fret="7" /&gt;</t>
  </si>
  <si>
    <t>&lt;note time="20.125" string="1" fret="7" /&gt;</t>
  </si>
  <si>
    <t>&lt;note time="20.250" string="1" fret="7" /&gt;</t>
  </si>
  <si>
    <t>&lt;note time="20.375" string="1" fret="7" /&gt;</t>
  </si>
  <si>
    <t>&lt;note time="20.500" string="1" fret="7" /&gt;</t>
  </si>
  <si>
    <t>&lt;note time="20.625" string="1" fret="7" /&gt;</t>
  </si>
  <si>
    <t>&lt;note time="20.750" string="1" fret="7" /&gt;</t>
  </si>
  <si>
    <t>&lt;note time="20.875" string="1" fret="7" /&gt;</t>
  </si>
  <si>
    <t>&lt;note time="21.000" string="1" fret="7" /&gt;</t>
  </si>
  <si>
    <t>&lt;note time="21.125" string="1" fret="7" /&gt;</t>
  </si>
  <si>
    <t>&lt;note time="21.250" string="1" fret="7" /&gt;</t>
  </si>
  <si>
    <t>&lt;note time="21.375" string="1" fret="7" /&gt;</t>
  </si>
  <si>
    <t>&lt;note time="21.500" string="1" fret="7" /&gt;</t>
  </si>
  <si>
    <t>&lt;note time="21.625" string="1" fret="7" /&gt;</t>
  </si>
  <si>
    <t>&lt;note time="21.750" string="1" fret="7" /&gt;</t>
  </si>
  <si>
    <t>&lt;note time="21.875" string="1" fret="7" /&gt;</t>
  </si>
  <si>
    <t>&lt;note time="22.000" string="1" fret="9" /&gt;</t>
  </si>
  <si>
    <t>&lt;note time="22.125" string="1" fret="9" /&gt;</t>
  </si>
  <si>
    <t>&lt;note time="22.250" string="1" fret="9" /&gt;</t>
  </si>
  <si>
    <t>&lt;note time="22.375" string="1" fret="9" /&gt;</t>
  </si>
  <si>
    <t>&lt;note time="22.500" string="1" fret="9" /&gt;</t>
  </si>
  <si>
    <t>&lt;note time="22.625" string="1" fret="9" /&gt;</t>
  </si>
  <si>
    <t>&lt;note time="22.750" string="1" fret="9" /&gt;</t>
  </si>
  <si>
    <t>&lt;note time="22.875" string="1" fret="9" /&gt;</t>
  </si>
  <si>
    <t>&lt;note time="23.000" string="1" fret="9" /&gt;</t>
  </si>
  <si>
    <t>&lt;note time="23.125" string="1" fret="9" /&gt;</t>
  </si>
  <si>
    <t>&lt;note time="23.250" string="1" fret="9" /&gt;</t>
  </si>
  <si>
    <t>&lt;note time="23.375" string="1" fret="9" /&gt;</t>
  </si>
  <si>
    <t>&lt;note time="23.500" string="1" fret="9" /&gt;</t>
  </si>
  <si>
    <t>&lt;note time="23.625" string="1" fret="9" /&gt;</t>
  </si>
  <si>
    <t>&lt;note time="23.750" string="1" fret="9" /&gt;</t>
  </si>
  <si>
    <t>&lt;note time="23.875" string="1" fret="9" /&gt;</t>
  </si>
  <si>
    <t>&lt;note time="24.000" string="1" fret="4" /&gt;</t>
  </si>
  <si>
    <t>&lt;note time="24.125" string="1" fret="4" /&gt;</t>
  </si>
  <si>
    <t>&lt;note time="24.250" string="1" fret="4" /&gt;</t>
  </si>
  <si>
    <t>&lt;note time="24.375" string="1" fret="4" /&gt;</t>
  </si>
  <si>
    <t>&lt;note time="24.500" string="1" fret="4" /&gt;</t>
  </si>
  <si>
    <t>&lt;note time="24.625" string="1" fret="4" /&gt;</t>
  </si>
  <si>
    <t>&lt;note time="24.750" string="1" fret="4" /&gt;</t>
  </si>
  <si>
    <t>&lt;note time="24.875" string="1" fret="4" /&gt;</t>
  </si>
  <si>
    <t>&lt;note time="25.000" string="1" fret="4" /&gt;</t>
  </si>
  <si>
    <t>&lt;note time="25.125" string="1" fret="4" /&gt;</t>
  </si>
  <si>
    <t>&lt;note time="25.250" string="1" fret="4" /&gt;</t>
  </si>
  <si>
    <t>&lt;note time="25.375" string="1" fret="4" /&gt;</t>
  </si>
  <si>
    <t>&lt;note time="25.500" string="1" fret="4" /&gt;</t>
  </si>
  <si>
    <t>&lt;note time="25.625" string="1" fret="4" /&gt;</t>
  </si>
  <si>
    <t>&lt;note time="25.750" string="1" fret="4" /&gt;</t>
  </si>
  <si>
    <t>&lt;note time="25.875" string="1" fret="4" /&gt;</t>
  </si>
  <si>
    <t>&lt;note time="26.000" string="1" fret="2" /&gt;</t>
  </si>
  <si>
    <t>&lt;note time="26.125" string="1" fret="2" /&gt;</t>
  </si>
  <si>
    <t>&lt;note time="26.250" string="1" fret="2" /&gt;</t>
  </si>
  <si>
    <t>&lt;note time="26.375" string="1" fret="2" /&gt;</t>
  </si>
  <si>
    <t>&lt;note time="26.500" string="1" fret="2" /&gt;</t>
  </si>
  <si>
    <t>&lt;note time="26.625" string="1" fret="2" /&gt;</t>
  </si>
  <si>
    <t>&lt;note time="26.750" string="1" fret="2" /&gt;</t>
  </si>
  <si>
    <t>&lt;note time="26.875" string="1" fret="2" /&gt;</t>
  </si>
  <si>
    <t>&lt;note time="27.000" string="1" fret="2" /&gt;</t>
  </si>
  <si>
    <t>&lt;note time="27.125" string="1" fret="2" /&gt;</t>
  </si>
  <si>
    <t>&lt;note time="27.250" string="1" fret="2" /&gt;</t>
  </si>
  <si>
    <t>&lt;note time="27.375" string="1" fret="2" /&gt;</t>
  </si>
  <si>
    <t>&lt;note time="27.500" string="1" fret="2" /&gt;</t>
  </si>
  <si>
    <t>&lt;note time="27.625" string="1" fret="2" /&gt;</t>
  </si>
  <si>
    <t>&lt;note time="27.750" string="1" fret="2" /&gt;</t>
  </si>
  <si>
    <t>&lt;note time="27.875" string="1" fret="2" /&gt;</t>
  </si>
  <si>
    <t>&lt;note time="28.000" string="1" fret="7" /&gt;</t>
  </si>
  <si>
    <t>&lt;note time="28.125" string="1" fret="7" /&gt;</t>
  </si>
  <si>
    <t>&lt;note time="28.250" string="1" fret="7" /&gt;</t>
  </si>
  <si>
    <t>&lt;note time="28.375" string="1" fret="7" /&gt;</t>
  </si>
  <si>
    <t>&lt;note time="28.500" string="1" fret="7" /&gt;</t>
  </si>
  <si>
    <t>&lt;note time="28.625" string="1" fret="7" /&gt;</t>
  </si>
  <si>
    <t>&lt;note time="28.750" string="1" fret="7" /&gt;</t>
  </si>
  <si>
    <t>&lt;note time="28.875" string="1" fret="7" /&gt;</t>
  </si>
  <si>
    <t>&lt;note time="29.000" string="1" fret="7" /&gt;</t>
  </si>
  <si>
    <t>&lt;note time="29.125" string="1" fret="7" /&gt;</t>
  </si>
  <si>
    <t>&lt;note time="29.250" string="1" fret="7" /&gt;</t>
  </si>
  <si>
    <t>&lt;note time="29.375" string="1" fret="7" /&gt;</t>
  </si>
  <si>
    <t>&lt;note time="29.500" string="1" fret="7" /&gt;</t>
  </si>
  <si>
    <t>&lt;note time="29.625" string="1" fret="7" /&gt;</t>
  </si>
  <si>
    <t>&lt;note time="29.750" string="1" fret="7" /&gt;</t>
  </si>
  <si>
    <t>&lt;note time="29.875" string="1" fret="7" /&gt;</t>
  </si>
  <si>
    <t>&lt;note time="30.000" string="1" fret="9" /&gt;</t>
  </si>
  <si>
    <t>&lt;note time="30.125" string="1" fret="9" /&gt;</t>
  </si>
  <si>
    <t>&lt;note time="30.250" string="1" fret="9" /&gt;</t>
  </si>
  <si>
    <t>&lt;note time="30.375" string="1" fret="9" /&gt;</t>
  </si>
  <si>
    <t>&lt;note time="30.500" string="1" fret="9" /&gt;</t>
  </si>
  <si>
    <t>&lt;note time="30.625" string="1" fret="9" /&gt;</t>
  </si>
  <si>
    <t>&lt;note time="30.750" string="1" fret="9" /&gt;</t>
  </si>
  <si>
    <t>&lt;note time="30.875" string="1" fret="9" /&gt;</t>
  </si>
  <si>
    <t>&lt;note time="31.000" string="1" fret="9" /&gt;</t>
  </si>
  <si>
    <t>&lt;note time="31.125" string="1" fret="9" /&gt;</t>
  </si>
  <si>
    <t>&lt;note time="31.250" string="1" fret="9" /&gt;</t>
  </si>
  <si>
    <t>&lt;note time="31.375" string="1" fret="9" /&gt;</t>
  </si>
  <si>
    <t>&lt;note time="31.500" string="1" fret="9" /&gt;</t>
  </si>
  <si>
    <t>&lt;note time="31.625" string="1" fret="9" /&gt;</t>
  </si>
  <si>
    <t>&lt;note time="31.750" string="1" fret="9" /&gt;</t>
  </si>
  <si>
    <t>&lt;note time="31.875" string="1" fret="9" /&gt;</t>
  </si>
  <si>
    <t>&lt;note time="32.000" string="1" fret="4" /&gt;</t>
  </si>
  <si>
    <t>&lt;note time="32.125" string="1" fret="4" /&gt;</t>
  </si>
  <si>
    <t>&lt;note time="32.250" string="1" fret="4" /&gt;</t>
  </si>
  <si>
    <t>&lt;note time="32.375" string="1" fret="4" /&gt;</t>
  </si>
  <si>
    <t>&lt;note time="32.500" string="1" fret="4" /&gt;</t>
  </si>
  <si>
    <t>&lt;note time="32.625" string="1" fret="4" /&gt;</t>
  </si>
  <si>
    <t>&lt;note time="32.750" string="1" fret="4" /&gt;</t>
  </si>
  <si>
    <t>&lt;note time="32.875" string="1" fret="4" /&gt;</t>
  </si>
  <si>
    <t>&lt;note time="33.000" string="1" fret="4" /&gt;</t>
  </si>
  <si>
    <t>&lt;note time="33.125" string="1" fret="4" /&gt;</t>
  </si>
  <si>
    <t>&lt;note time="33.250" string="1" fret="4" /&gt;</t>
  </si>
  <si>
    <t>&lt;note time="33.375" string="1" fret="4" /&gt;</t>
  </si>
  <si>
    <t>&lt;note time="33.500" string="1" fret="4" /&gt;</t>
  </si>
  <si>
    <t>&lt;note time="33.625" string="1" fret="4" /&gt;</t>
  </si>
  <si>
    <t>&lt;note time="33.750" string="1" fret="4" /&gt;</t>
  </si>
  <si>
    <t>&lt;note time="33.875" string="1" fret="4" /&gt;</t>
  </si>
  <si>
    <t>&lt;note time="34.000" string="1" fret="2" /&gt;</t>
  </si>
  <si>
    <t>&lt;note time="34.125" string="1" fret="2" /&gt;</t>
  </si>
  <si>
    <t>&lt;note time="34.250" string="1" fret="2" /&gt;</t>
  </si>
  <si>
    <t>&lt;note time="34.375" string="1" fret="2" /&gt;</t>
  </si>
  <si>
    <t>&lt;note time="34.500" string="1" fret="2" /&gt;</t>
  </si>
  <si>
    <t>&lt;note time="34.625" string="1" fret="2" /&gt;</t>
  </si>
  <si>
    <t>&lt;note time="34.750" string="1" fret="2" /&gt;</t>
  </si>
  <si>
    <t>&lt;note time="34.875" string="1" fret="2" /&gt;</t>
  </si>
  <si>
    <t>&lt;note time="35.000" string="1" fret="2" /&gt;</t>
  </si>
  <si>
    <t>&lt;note time="35.125" string="1" fret="2" /&gt;</t>
  </si>
  <si>
    <t>&lt;note time="35.250" string="1" fret="2" /&gt;</t>
  </si>
  <si>
    <t>&lt;note time="35.375" string="1" fret="2" /&gt;</t>
  </si>
  <si>
    <t>&lt;note time="35.500" string="1" fret="2" /&gt;</t>
  </si>
  <si>
    <t>&lt;note time="35.625" string="1" fret="2" /&gt;</t>
  </si>
  <si>
    <t>&lt;note time="35.750" string="1" fret="2" /&gt;</t>
  </si>
  <si>
    <t>&lt;note time="35.875" string="1" fret="2" /&gt;</t>
  </si>
  <si>
    <t>&lt;note time="36.000" string="1" fret="7" /&gt;</t>
  </si>
  <si>
    <t>&lt;note time="36.125" string="1" fret="7" /&gt;</t>
  </si>
  <si>
    <t>&lt;note time="36.250" string="1" fret="7" /&gt;</t>
  </si>
  <si>
    <t>&lt;note time="36.375" string="1" fret="7" /&gt;</t>
  </si>
  <si>
    <t>&lt;note time="36.500" string="1" fret="7" /&gt;</t>
  </si>
  <si>
    <t>&lt;note time="36.625" string="1" fret="7" /&gt;</t>
  </si>
  <si>
    <t>&lt;note time="36.750" string="1" fret="7" /&gt;</t>
  </si>
  <si>
    <t>&lt;note time="36.875" string="1" fret="7" /&gt;</t>
  </si>
  <si>
    <t>&lt;note time="37.000" string="1" fret="7" /&gt;</t>
  </si>
  <si>
    <t>&lt;note time="37.125" string="1" fret="7" /&gt;</t>
  </si>
  <si>
    <t>&lt;note time="37.250" string="1" fret="7" /&gt;</t>
  </si>
  <si>
    <t>&lt;note time="37.375" string="1" fret="7" /&gt;</t>
  </si>
  <si>
    <t>&lt;note time="37.500" string="1" fret="7" /&gt;</t>
  </si>
  <si>
    <t>&lt;note time="37.625" string="1" fret="7" /&gt;</t>
  </si>
  <si>
    <t>&lt;note time="37.750" string="1" fret="7" /&gt;</t>
  </si>
  <si>
    <t>&lt;note time="37.875" string="1" fret="7" /&gt;</t>
  </si>
  <si>
    <t>&lt;note time="38.000" string="1" fret="9" /&gt;</t>
  </si>
  <si>
    <t>&lt;note time="38.125" string="1" fret="9" /&gt;</t>
  </si>
  <si>
    <t>&lt;note time="38.250" string="1" fret="9" /&gt;</t>
  </si>
  <si>
    <t>&lt;note time="38.375" string="1" fret="9" /&gt;</t>
  </si>
  <si>
    <t>&lt;note time="38.500" string="1" fret="9" /&gt;</t>
  </si>
  <si>
    <t>&lt;note time="38.625" string="1" fret="9" /&gt;</t>
  </si>
  <si>
    <t>&lt;note time="38.750" string="1" fret="9" /&gt;</t>
  </si>
  <si>
    <t>&lt;note time="38.875" string="1" fret="9" /&gt;</t>
  </si>
  <si>
    <t>&lt;note time="39.000" string="1" fret="9" /&gt;</t>
  </si>
  <si>
    <t>&lt;note time="39.125" string="1" fret="9" /&gt;</t>
  </si>
  <si>
    <t>&lt;note time="39.250" string="1" fret="9" /&gt;</t>
  </si>
  <si>
    <t>&lt;note time="39.375" string="1" fret="9" /&gt;</t>
  </si>
  <si>
    <t>&lt;note time="39.500" string="1" fret="9" /&gt;</t>
  </si>
  <si>
    <t>&lt;note time="39.625" string="1" fret="9" /&gt;</t>
  </si>
  <si>
    <t>&lt;note time="39.750" string="1" fret="9" /&gt;</t>
  </si>
  <si>
    <t>&lt;note time="39.875" string="1" fret="9" /&gt;</t>
  </si>
  <si>
    <t>&lt;note time="40.000" string="1" fret="4" /&gt;</t>
  </si>
  <si>
    <t>&lt;note time="40.250" string="1" fret="4" /&gt;</t>
  </si>
  <si>
    <t>&lt;note time="40.500" string="1" fret="2" /&gt;</t>
  </si>
  <si>
    <t>&lt;note time="40.750" string="1" fret="2" /&gt;</t>
  </si>
  <si>
    <t>&lt;note time="41.000" string="0" fret="0" sustain="0.500" /&gt;</t>
  </si>
  <si>
    <t>&lt;note time="42.000" string="0" fret="0" /&gt;</t>
  </si>
  <si>
    <t>&lt;note time="42.250" string="0" fret="0" /&gt;</t>
  </si>
  <si>
    <t>&lt;note time="42.500" string="0" fret="2" /&gt;</t>
  </si>
  <si>
    <t>&lt;note time="42.750" string="0" fret="2" /&gt;</t>
  </si>
  <si>
    <t>&lt;note time="43.000" string="1" fret="4" sustain="0.500" /&gt;</t>
  </si>
  <si>
    <t>&lt;note time="44.000" string="1" fret="4" /&gt;</t>
  </si>
  <si>
    <t>&lt;note time="44.250" string="1" fret="4" /&gt;</t>
  </si>
  <si>
    <t>&lt;note time="44.500" string="1" fret="2" /&gt;</t>
  </si>
  <si>
    <t>&lt;note time="44.750" string="1" fret="2" /&gt;</t>
  </si>
  <si>
    <t>&lt;note time="45.000" string="0" fret="0" sustain="0.500" /&gt;</t>
  </si>
  <si>
    <t>&lt;note time="46.000" string="0" fret="0" /&gt;</t>
  </si>
  <si>
    <t>&lt;note time="46.250" string="0" fret="0" /&gt;</t>
  </si>
  <si>
    <t>&lt;note time="46.500" string="0" fret="2" /&gt;</t>
  </si>
  <si>
    <t>&lt;note time="46.750" string="0" fret="2" /&gt;</t>
  </si>
  <si>
    <t>&lt;note time="47.000" string="1" fret="4" sustain="0.500" /&gt;</t>
  </si>
  <si>
    <t>&lt;note time="48.000" string="1" fret="4" /&gt;</t>
  </si>
  <si>
    <t>&lt;note time="48.250" string="1" fret="4" /&gt;</t>
  </si>
  <si>
    <t>&lt;note time="48.500" string="1" fret="2" /&gt;</t>
  </si>
  <si>
    <t>&lt;note time="48.750" string="1" fret="2" /&gt;</t>
  </si>
  <si>
    <t>&lt;note time="49.000" string="0" fret="0" sustain="0.500" /&gt;</t>
  </si>
  <si>
    <t>&lt;note time="50.000" string="0" fret="0" /&gt;</t>
  </si>
  <si>
    <t>&lt;note time="50.250" string="0" fret="0" /&gt;</t>
  </si>
  <si>
    <t>&lt;note time="50.500" string="0" fret="2" /&gt;</t>
  </si>
  <si>
    <t>&lt;note time="50.750" string="0" fret="2" /&gt;</t>
  </si>
  <si>
    <t>&lt;note time="51.000" string="1" fret="4" sustain="0.500" /&gt;</t>
  </si>
  <si>
    <t>&lt;note time="52.000" string="1" fret="4" /&gt;</t>
  </si>
  <si>
    <t>&lt;note time="52.250" string="1" fret="4" /&gt;</t>
  </si>
  <si>
    <t>&lt;note time="52.500" string="1" fret="2" /&gt;</t>
  </si>
  <si>
    <t>&lt;note time="52.750" string="1" fret="2" /&gt;</t>
  </si>
  <si>
    <t>&lt;note time="53.000" string="0" fret="0" sustain="0.500" /&gt;</t>
  </si>
  <si>
    <t>&lt;note time="54.000" string="0" fret="0" /&gt;</t>
  </si>
  <si>
    <t>&lt;note time="54.250" string="0" fret="0" /&gt;</t>
  </si>
  <si>
    <t>&lt;note time="54.500" string="0" fret="2" /&gt;</t>
  </si>
  <si>
    <t>&lt;note time="54.750" string="0" fret="2" /&gt;</t>
  </si>
  <si>
    <t>&lt;note time="55.000" string="1" fret="4" sustain="0.500" /&gt;</t>
  </si>
  <si>
    <t>&lt;note time="56.000" string="1" fret="4" /&gt;</t>
  </si>
  <si>
    <t>&lt;note time="56.125" string="1" fret="4" /&gt;</t>
  </si>
  <si>
    <t>&lt;note time="56.250" string="1" fret="4" /&gt;</t>
  </si>
  <si>
    <t>&lt;note time="56.375" string="1" fret="4" /&gt;</t>
  </si>
  <si>
    <t>&lt;note time="56.500" string="1" fret="4" /&gt;</t>
  </si>
  <si>
    <t>&lt;note time="56.625" string="1" fret="4" /&gt;</t>
  </si>
  <si>
    <t>&lt;note time="56.750" string="1" fret="4" /&gt;</t>
  </si>
  <si>
    <t>&lt;note time="56.875" string="1" fret="4" /&gt;</t>
  </si>
  <si>
    <t>&lt;note time="57.000" string="1" fret="4" /&gt;</t>
  </si>
  <si>
    <t>&lt;note time="57.125" string="1" fret="4" /&gt;</t>
  </si>
  <si>
    <t>&lt;note time="57.250" string="1" fret="4" /&gt;</t>
  </si>
  <si>
    <t>&lt;note time="57.375" string="1" fret="4" /&gt;</t>
  </si>
  <si>
    <t>&lt;note time="57.500" string="1" fret="4" /&gt;</t>
  </si>
  <si>
    <t>&lt;note time="57.625" string="0" fret="4" /&gt;</t>
  </si>
  <si>
    <t>&lt;note time="57.750" string="0" fret="7" /&gt;</t>
  </si>
  <si>
    <t>&lt;note time="57.875" string="1" fret="4" /&gt;</t>
  </si>
  <si>
    <t>&lt;note time="58.000" string="1" fret="4" /&gt;</t>
  </si>
  <si>
    <t>&lt;note time="58.125" string="1" fret="4" /&gt;</t>
  </si>
  <si>
    <t>&lt;note time="58.250" string="1" fret="4" /&gt;</t>
  </si>
  <si>
    <t>&lt;note time="58.375" string="1" fret="4" /&gt;</t>
  </si>
  <si>
    <t>&lt;note time="58.500" string="1" fret="4" /&gt;</t>
  </si>
  <si>
    <t>&lt;note time="58.625" string="1" fret="4" /&gt;</t>
  </si>
  <si>
    <t>&lt;note time="58.750" string="1" fret="4" /&gt;</t>
  </si>
  <si>
    <t>&lt;note time="58.875" string="1" fret="4" /&gt;</t>
  </si>
  <si>
    <t>&lt;note time="59.000" string="1" fret="4" /&gt;</t>
  </si>
  <si>
    <t>&lt;note time="59.125" string="1" fret="4" /&gt;</t>
  </si>
  <si>
    <t>&lt;note time="59.250" string="1" fret="4" /&gt;</t>
  </si>
  <si>
    <t>&lt;note time="59.375" string="1" fret="4" /&gt;</t>
  </si>
  <si>
    <t>&lt;note time="59.500" string="1" fret="4" /&gt;</t>
  </si>
  <si>
    <t>&lt;note time="59.625" string="0" fret="4" /&gt;</t>
  </si>
  <si>
    <t>&lt;note time="59.750" string="0" fret="7" /&gt;</t>
  </si>
  <si>
    <t>&lt;note time="59.875" string="1" fret="4" /&gt;</t>
  </si>
  <si>
    <t>&lt;note time="60.000" string="1" fret="4" /&gt;</t>
  </si>
  <si>
    <t>&lt;note time="60.125" string="1" fret="4" /&gt;</t>
  </si>
  <si>
    <t>&lt;note time="60.250" string="1" fret="4" /&gt;</t>
  </si>
  <si>
    <t>&lt;note time="60.375" string="1" fret="4" /&gt;</t>
  </si>
  <si>
    <t>&lt;note time="60.500" string="1" fret="4" /&gt;</t>
  </si>
  <si>
    <t>&lt;note time="60.625" string="1" fret="4" /&gt;</t>
  </si>
  <si>
    <t>&lt;note time="60.750" string="1" fret="4" /&gt;</t>
  </si>
  <si>
    <t>&lt;note time="60.875" string="1" fret="4" /&gt;</t>
  </si>
  <si>
    <t>&lt;note time="61.000" string="1" fret="4" /&gt;</t>
  </si>
  <si>
    <t>&lt;note time="61.125" string="1" fret="4" /&gt;</t>
  </si>
  <si>
    <t>&lt;note time="61.250" string="1" fret="4" /&gt;</t>
  </si>
  <si>
    <t>&lt;note time="61.375" string="1" fret="4" /&gt;</t>
  </si>
  <si>
    <t>&lt;note time="61.500" string="1" fret="4" /&gt;</t>
  </si>
  <si>
    <t>&lt;note time="61.625" string="0" fret="4" /&gt;</t>
  </si>
  <si>
    <t>&lt;note time="61.750" string="0" fret="7" /&gt;</t>
  </si>
  <si>
    <t>&lt;note time="61.875" string="1" fret="4" /&gt;</t>
  </si>
  <si>
    <t>&lt;note time="62.000" string="1" fret="4" /&gt;</t>
  </si>
  <si>
    <t>&lt;note time="62.125" string="1" fret="4" /&gt;</t>
  </si>
  <si>
    <t>&lt;note time="62.250" string="1" fret="4" /&gt;</t>
  </si>
  <si>
    <t>&lt;note time="62.375" string="1" fret="4" /&gt;</t>
  </si>
  <si>
    <t>&lt;note time="62.500" string="1" fret="4" /&gt;</t>
  </si>
  <si>
    <t>&lt;note time="62.625" string="1" fret="4" /&gt;</t>
  </si>
  <si>
    <t>&lt;note time="62.750" string="1" fret="4" /&gt;</t>
  </si>
  <si>
    <t>&lt;note time="62.875" string="0" fret="4" /&gt;</t>
  </si>
  <si>
    <t>&lt;note time="63.000" string="0" fret="7" /&gt;</t>
  </si>
  <si>
    <t>&lt;note time="63.125" string="1" fret="4" /&gt;</t>
  </si>
  <si>
    <t>&lt;note time="63.250" string="1" fret="7" /&gt;</t>
  </si>
  <si>
    <t>&lt;note time="63.375" string="1" fret="4" /&gt;</t>
  </si>
  <si>
    <t>&lt;note time="63.500" string="2" fret="4" /&gt;</t>
  </si>
  <si>
    <t>&lt;note time="63.625" string="1" fret="7" /&gt;</t>
  </si>
  <si>
    <t>&lt;note time="63.750" string="1" fret="4" /&gt;</t>
  </si>
  <si>
    <t>&lt;note time="63.875" string="0" fret="7" /&gt;</t>
  </si>
  <si>
    <t>&lt;note time="64.000" string="1" fret="4" /&gt;</t>
  </si>
  <si>
    <t>&lt;note time="64.125" string="1" fret="4" /&gt;</t>
  </si>
  <si>
    <t>&lt;note time="64.250" string="1" fret="4" /&gt;</t>
  </si>
  <si>
    <t>&lt;note time="64.375" string="1" fret="4" /&gt;</t>
  </si>
  <si>
    <t>&lt;note time="64.500" string="1" fret="4" /&gt;</t>
  </si>
  <si>
    <t>&lt;note time="64.625" string="1" fret="4" /&gt;</t>
  </si>
  <si>
    <t>&lt;note time="64.750" string="1" fret="4" /&gt;</t>
  </si>
  <si>
    <t>&lt;note time="64.875" string="1" fret="4" /&gt;</t>
  </si>
  <si>
    <t>&lt;note time="65.000" string="1" fret="4" /&gt;</t>
  </si>
  <si>
    <t>&lt;note time="65.125" string="1" fret="4" /&gt;</t>
  </si>
  <si>
    <t>&lt;note time="65.250" string="1" fret="4" /&gt;</t>
  </si>
  <si>
    <t>&lt;note time="65.375" string="1" fret="4" /&gt;</t>
  </si>
  <si>
    <t>&lt;note time="65.500" string="1" fret="4" /&gt;</t>
  </si>
  <si>
    <t>&lt;note time="65.625" string="1" fret="4" /&gt;</t>
  </si>
  <si>
    <t>&lt;note time="65.750" string="1" fret="4" /&gt;</t>
  </si>
  <si>
    <t>&lt;note time="65.875" string="1" fret="4" /&gt;</t>
  </si>
  <si>
    <t>&lt;note time="66.000" string="1" fret="2" /&gt;</t>
  </si>
  <si>
    <t>&lt;note time="66.125" string="1" fret="2" /&gt;</t>
  </si>
  <si>
    <t>&lt;note time="66.250" string="1" fret="2" /&gt;</t>
  </si>
  <si>
    <t>&lt;note time="66.375" string="1" fret="2" /&gt;</t>
  </si>
  <si>
    <t>&lt;note time="66.500" string="1" fret="2" /&gt;</t>
  </si>
  <si>
    <t>&lt;note time="66.625" string="1" fret="2" /&gt;</t>
  </si>
  <si>
    <t>&lt;note time="66.750" string="1" fret="2" /&gt;</t>
  </si>
  <si>
    <t>&lt;note time="66.875" string="1" fret="2" /&gt;</t>
  </si>
  <si>
    <t>&lt;note time="67.000" string="1" fret="2" /&gt;</t>
  </si>
  <si>
    <t>&lt;note time="67.125" string="1" fret="2" /&gt;</t>
  </si>
  <si>
    <t>&lt;note time="67.250" string="1" fret="2" /&gt;</t>
  </si>
  <si>
    <t>&lt;note time="67.375" string="1" fret="2" /&gt;</t>
  </si>
  <si>
    <t>&lt;note time="67.500" string="1" fret="2" /&gt;</t>
  </si>
  <si>
    <t>&lt;note time="67.625" string="1" fret="2" /&gt;</t>
  </si>
  <si>
    <t>&lt;note time="67.750" string="1" fret="2" /&gt;</t>
  </si>
  <si>
    <t>&lt;note time="67.875" string="1" fret="2" /&gt;</t>
  </si>
  <si>
    <t>&lt;note time="68.000" string="1" fret="7" /&gt;</t>
  </si>
  <si>
    <t>&lt;note time="68.125" string="1" fret="7" /&gt;</t>
  </si>
  <si>
    <t>&lt;note time="68.250" string="1" fret="7" /&gt;</t>
  </si>
  <si>
    <t>&lt;note time="68.375" string="1" fret="7" /&gt;</t>
  </si>
  <si>
    <t>&lt;note time="68.500" string="1" fret="7" /&gt;</t>
  </si>
  <si>
    <t>&lt;note time="68.625" string="1" fret="7" /&gt;</t>
  </si>
  <si>
    <t>&lt;note time="68.750" string="1" fret="7" /&gt;</t>
  </si>
  <si>
    <t>&lt;note time="68.875" string="1" fret="7" /&gt;</t>
  </si>
  <si>
    <t>&lt;note time="69.000" string="1" fret="7" /&gt;</t>
  </si>
  <si>
    <t>&lt;note time="69.125" string="1" fret="7" /&gt;</t>
  </si>
  <si>
    <t>&lt;note time="69.250" string="1" fret="7" /&gt;</t>
  </si>
  <si>
    <t>&lt;note time="69.375" string="1" fret="7" /&gt;</t>
  </si>
  <si>
    <t>&lt;note time="69.500" string="1" fret="7" /&gt;</t>
  </si>
  <si>
    <t>&lt;note time="69.625" string="1" fret="7" /&gt;</t>
  </si>
  <si>
    <t>&lt;note time="69.750" string="1" fret="7" /&gt;</t>
  </si>
  <si>
    <t>&lt;note time="69.875" string="1" fret="7" /&gt;</t>
  </si>
  <si>
    <t>&lt;note time="70.000" string="1" fret="9" /&gt;</t>
  </si>
  <si>
    <t>&lt;note time="70.125" string="1" fret="9" /&gt;</t>
  </si>
  <si>
    <t>&lt;note time="70.250" string="1" fret="9" /&gt;</t>
  </si>
  <si>
    <t>&lt;note time="70.375" string="1" fret="9" /&gt;</t>
  </si>
  <si>
    <t>&lt;note time="70.500" string="1" fret="9" /&gt;</t>
  </si>
  <si>
    <t>&lt;note time="70.625" string="1" fret="9" /&gt;</t>
  </si>
  <si>
    <t>&lt;note time="70.750" string="1" fret="9" /&gt;</t>
  </si>
  <si>
    <t>&lt;note time="70.875" string="1" fret="9" /&gt;</t>
  </si>
  <si>
    <t>&lt;note time="71.000" string="1" fret="9" /&gt;</t>
  </si>
  <si>
    <t>&lt;note time="71.125" string="1" fret="9" /&gt;</t>
  </si>
  <si>
    <t>&lt;note time="71.250" string="1" fret="9" /&gt;</t>
  </si>
  <si>
    <t>&lt;note time="71.375" string="1" fret="9" /&gt;</t>
  </si>
  <si>
    <t>&lt;note time="71.500" string="1" fret="9" /&gt;</t>
  </si>
  <si>
    <t>&lt;note time="71.625" string="1" fret="9" /&gt;</t>
  </si>
  <si>
    <t>&lt;note time="71.750" string="1" fret="9" /&gt;</t>
  </si>
  <si>
    <t>&lt;note time="71.875" string="1" fret="9" /&gt;</t>
  </si>
  <si>
    <t>&lt;note time="72.000" string="1" fret="4" /&gt;</t>
  </si>
  <si>
    <t>&lt;note time="72.125" string="1" fret="4" /&gt;</t>
  </si>
  <si>
    <t>&lt;note time="72.250" string="1" fret="4" /&gt;</t>
  </si>
  <si>
    <t>&lt;note time="72.375" string="1" fret="4" /&gt;</t>
  </si>
  <si>
    <t>&lt;note time="72.500" string="1" fret="4" /&gt;</t>
  </si>
  <si>
    <t>&lt;note time="72.625" string="1" fret="4" /&gt;</t>
  </si>
  <si>
    <t>&lt;note time="72.750" string="1" fret="4" /&gt;</t>
  </si>
  <si>
    <t>&lt;note time="72.875" string="1" fret="4" /&gt;</t>
  </si>
  <si>
    <t>&lt;note time="73.000" string="1" fret="4" /&gt;</t>
  </si>
  <si>
    <t>&lt;note time="73.125" string="1" fret="4" /&gt;</t>
  </si>
  <si>
    <t>&lt;note time="73.250" string="1" fret="4" /&gt;</t>
  </si>
  <si>
    <t>&lt;note time="73.375" string="1" fret="4" /&gt;</t>
  </si>
  <si>
    <t>&lt;note time="73.500" string="1" fret="4" /&gt;</t>
  </si>
  <si>
    <t>&lt;note time="73.625" string="1" fret="4" /&gt;</t>
  </si>
  <si>
    <t>&lt;note time="73.750" string="1" fret="4" /&gt;</t>
  </si>
  <si>
    <t>&lt;note time="73.875" string="1" fret="4" /&gt;</t>
  </si>
  <si>
    <t>&lt;note time="74.000" string="1" fret="2" /&gt;</t>
  </si>
  <si>
    <t>&lt;note time="74.125" string="1" fret="2" /&gt;</t>
  </si>
  <si>
    <t>&lt;note time="74.250" string="1" fret="2" /&gt;</t>
  </si>
  <si>
    <t>&lt;note time="74.375" string="1" fret="2" /&gt;</t>
  </si>
  <si>
    <t>&lt;note time="74.500" string="1" fret="2" /&gt;</t>
  </si>
  <si>
    <t>&lt;note time="74.625" string="1" fret="2" /&gt;</t>
  </si>
  <si>
    <t>&lt;note time="74.750" string="1" fret="2" /&gt;</t>
  </si>
  <si>
    <t>&lt;note time="74.875" string="1" fret="2" /&gt;</t>
  </si>
  <si>
    <t>&lt;note time="75.000" string="1" fret="2" /&gt;</t>
  </si>
  <si>
    <t>&lt;note time="75.125" string="1" fret="2" /&gt;</t>
  </si>
  <si>
    <t>&lt;note time="75.250" string="1" fret="2" /&gt;</t>
  </si>
  <si>
    <t>&lt;note time="75.375" string="1" fret="2" /&gt;</t>
  </si>
  <si>
    <t>&lt;note time="75.500" string="1" fret="2" /&gt;</t>
  </si>
  <si>
    <t>&lt;note time="75.625" string="1" fret="2" /&gt;</t>
  </si>
  <si>
    <t>&lt;note time="75.750" string="1" fret="2" /&gt;</t>
  </si>
  <si>
    <t>&lt;note time="75.875" string="1" fret="2" /&gt;</t>
  </si>
  <si>
    <t>&lt;note time="76.000" string="1" fret="7" /&gt;</t>
  </si>
  <si>
    <t>&lt;note time="76.125" string="1" fret="7" /&gt;</t>
  </si>
  <si>
    <t>&lt;note time="76.250" string="1" fret="7" /&gt;</t>
  </si>
  <si>
    <t>&lt;note time="76.375" string="1" fret="7" /&gt;</t>
  </si>
  <si>
    <t>&lt;note time="76.500" string="1" fret="7" /&gt;</t>
  </si>
  <si>
    <t>&lt;note time="76.625" string="1" fret="7" /&gt;</t>
  </si>
  <si>
    <t>&lt;note time="76.750" string="1" fret="7" /&gt;</t>
  </si>
  <si>
    <t>&lt;note time="76.875" string="1" fret="7" /&gt;</t>
  </si>
  <si>
    <t>&lt;note time="77.000" string="1" fret="7" /&gt;</t>
  </si>
  <si>
    <t>&lt;note time="77.125" string="1" fret="7" /&gt;</t>
  </si>
  <si>
    <t>&lt;note time="77.250" string="1" fret="7" /&gt;</t>
  </si>
  <si>
    <t>&lt;note time="77.375" string="1" fret="7" /&gt;</t>
  </si>
  <si>
    <t>&lt;note time="77.500" string="1" fret="7" /&gt;</t>
  </si>
  <si>
    <t>&lt;note time="77.625" string="1" fret="7" /&gt;</t>
  </si>
  <si>
    <t>&lt;note time="77.750" string="1" fret="7" /&gt;</t>
  </si>
  <si>
    <t>&lt;note time="77.875" string="1" fret="7" /&gt;</t>
  </si>
  <si>
    <t>&lt;note time="78.000" string="1" fret="9" /&gt;</t>
  </si>
  <si>
    <t>&lt;note time="78.125" string="1" fret="9" /&gt;</t>
  </si>
  <si>
    <t>&lt;note time="78.250" string="1" fret="9" /&gt;</t>
  </si>
  <si>
    <t>&lt;note time="78.375" string="1" fret="9" /&gt;</t>
  </si>
  <si>
    <t>&lt;note time="78.500" string="1" fret="9" /&gt;</t>
  </si>
  <si>
    <t>&lt;note time="78.625" string="1" fret="9" /&gt;</t>
  </si>
  <si>
    <t>&lt;note time="78.750" string="1" fret="9" /&gt;</t>
  </si>
  <si>
    <t>&lt;note time="78.875" string="1" fret="9" /&gt;</t>
  </si>
  <si>
    <t>&lt;note time="79.000" string="1" fret="9" /&gt;</t>
  </si>
  <si>
    <t>&lt;note time="79.125" string="1" fret="9" /&gt;</t>
  </si>
  <si>
    <t>&lt;note time="79.250" string="1" fret="9" /&gt;</t>
  </si>
  <si>
    <t>&lt;note time="79.375" string="1" fret="9" /&gt;</t>
  </si>
  <si>
    <t>&lt;note time="79.500" string="1" fret="9" /&gt;</t>
  </si>
  <si>
    <t>&lt;note time="79.625" string="1" fret="9" /&gt;</t>
  </si>
  <si>
    <t>&lt;note time="79.750" string="1" fret="9" /&gt;</t>
  </si>
  <si>
    <t>&lt;note time="79.875" string="1" fret="9" /&gt;</t>
  </si>
  <si>
    <t>&lt;note time="80.000" string="1" fret="4" /&gt;</t>
  </si>
  <si>
    <t>&lt;note time="80.125" string="1" fret="4" /&gt;</t>
  </si>
  <si>
    <t>&lt;note time="80.250" string="1" fret="4" /&gt;</t>
  </si>
  <si>
    <t>&lt;note time="80.375" string="1" fret="4" /&gt;</t>
  </si>
  <si>
    <t>&lt;note time="80.500" string="1" fret="4" /&gt;</t>
  </si>
  <si>
    <t>&lt;note time="80.625" string="1" fret="4" /&gt;</t>
  </si>
  <si>
    <t>&lt;note time="80.750" string="1" fret="4" /&gt;</t>
  </si>
  <si>
    <t>&lt;note time="80.875" string="1" fret="4" /&gt;</t>
  </si>
  <si>
    <t>&lt;note time="81.000" string="1" fret="4" /&gt;</t>
  </si>
  <si>
    <t>&lt;note time="81.125" string="1" fret="4" /&gt;</t>
  </si>
  <si>
    <t>&lt;note time="81.250" string="1" fret="4" /&gt;</t>
  </si>
  <si>
    <t>&lt;note time="81.375" string="1" fret="4" /&gt;</t>
  </si>
  <si>
    <t>&lt;note time="81.500" string="1" fret="4" /&gt;</t>
  </si>
  <si>
    <t>&lt;note time="81.625" string="1" fret="4" /&gt;</t>
  </si>
  <si>
    <t>&lt;note time="81.750" string="1" fret="4" /&gt;</t>
  </si>
  <si>
    <t>&lt;note time="81.875" string="1" fret="4" /&gt;</t>
  </si>
  <si>
    <t>&lt;note time="82.000" string="1" fret="2" /&gt;</t>
  </si>
  <si>
    <t>&lt;note time="82.125" string="1" fret="2" /&gt;</t>
  </si>
  <si>
    <t>&lt;note time="82.250" string="1" fret="2" /&gt;</t>
  </si>
  <si>
    <t>&lt;note time="82.375" string="1" fret="2" /&gt;</t>
  </si>
  <si>
    <t>&lt;note time="82.500" string="1" fret="2" /&gt;</t>
  </si>
  <si>
    <t>&lt;note time="82.625" string="1" fret="2" /&gt;</t>
  </si>
  <si>
    <t>&lt;note time="82.750" string="1" fret="2" /&gt;</t>
  </si>
  <si>
    <t>&lt;note time="82.875" string="1" fret="2" /&gt;</t>
  </si>
  <si>
    <t>&lt;note time="83.000" string="1" fret="2" /&gt;</t>
  </si>
  <si>
    <t>&lt;note time="83.125" string="1" fret="2" /&gt;</t>
  </si>
  <si>
    <t>&lt;note time="83.250" string="1" fret="2" /&gt;</t>
  </si>
  <si>
    <t>&lt;note time="83.375" string="1" fret="2" /&gt;</t>
  </si>
  <si>
    <t>&lt;note time="83.500" string="1" fret="2" /&gt;</t>
  </si>
  <si>
    <t>&lt;note time="83.625" string="1" fret="2" /&gt;</t>
  </si>
  <si>
    <t>&lt;note time="83.750" string="1" fret="2" /&gt;</t>
  </si>
  <si>
    <t>&lt;note time="83.875" string="1" fret="2" /&gt;</t>
  </si>
  <si>
    <t>&lt;note time="84.000" string="1" fret="7" /&gt;</t>
  </si>
  <si>
    <t>&lt;note time="84.125" string="1" fret="7" /&gt;</t>
  </si>
  <si>
    <t>&lt;note time="84.250" string="1" fret="7" /&gt;</t>
  </si>
  <si>
    <t>&lt;note time="84.375" string="1" fret="7" /&gt;</t>
  </si>
  <si>
    <t>&lt;note time="84.500" string="1" fret="7" /&gt;</t>
  </si>
  <si>
    <t>&lt;note time="84.625" string="1" fret="7" /&gt;</t>
  </si>
  <si>
    <t>&lt;note time="84.750" string="1" fret="7" /&gt;</t>
  </si>
  <si>
    <t>&lt;note time="84.875" string="1" fret="7" /&gt;</t>
  </si>
  <si>
    <t>&lt;note time="85.000" string="1" fret="7" /&gt;</t>
  </si>
  <si>
    <t>&lt;note time="85.125" string="1" fret="7" /&gt;</t>
  </si>
  <si>
    <t>&lt;note time="85.250" string="1" fret="7" /&gt;</t>
  </si>
  <si>
    <t>&lt;note time="85.375" string="1" fret="7" /&gt;</t>
  </si>
  <si>
    <t>&lt;note time="85.500" string="1" fret="7" /&gt;</t>
  </si>
  <si>
    <t>&lt;note time="85.625" string="1" fret="7" /&gt;</t>
  </si>
  <si>
    <t>&lt;note time="85.750" string="1" fret="7" /&gt;</t>
  </si>
  <si>
    <t>&lt;note time="85.875" string="1" fret="7" /&gt;</t>
  </si>
  <si>
    <t>&lt;note time="86.000" string="1" fret="9" /&gt;</t>
  </si>
  <si>
    <t>&lt;note time="86.125" string="1" fret="9" /&gt;</t>
  </si>
  <si>
    <t>&lt;note time="86.250" string="1" fret="9" /&gt;</t>
  </si>
  <si>
    <t>&lt;note time="86.375" string="1" fret="9" /&gt;</t>
  </si>
  <si>
    <t>&lt;note time="86.500" string="1" fret="9" /&gt;</t>
  </si>
  <si>
    <t>&lt;note time="86.625" string="1" fret="9" /&gt;</t>
  </si>
  <si>
    <t>&lt;note time="86.750" string="1" fret="9" /&gt;</t>
  </si>
  <si>
    <t>&lt;note time="86.875" string="1" fret="9" /&gt;</t>
  </si>
  <si>
    <t>&lt;note time="87.000" string="1" fret="9" /&gt;</t>
  </si>
  <si>
    <t>&lt;note time="87.125" string="1" fret="9" /&gt;</t>
  </si>
  <si>
    <t>&lt;note time="87.250" string="1" fret="9" /&gt;</t>
  </si>
  <si>
    <t>&lt;note time="87.375" string="1" fret="9" /&gt;</t>
  </si>
  <si>
    <t>&lt;note time="87.500" string="1" fret="9" /&gt;</t>
  </si>
  <si>
    <t>&lt;note time="87.625" string="1" fret="9" /&gt;</t>
  </si>
  <si>
    <t>&lt;note time="87.750" string="1" fret="9" /&gt;</t>
  </si>
  <si>
    <t>&lt;note time="87.875" string="1" fret="9" /&gt;</t>
  </si>
  <si>
    <t>&lt;note time="88.000" string="1" fret="4" /&gt;</t>
  </si>
  <si>
    <t>&lt;note time="88.125" string="1" fret="4" /&gt;</t>
  </si>
  <si>
    <t>&lt;note time="88.250" string="1" fret="4" /&gt;</t>
  </si>
  <si>
    <t>&lt;note time="88.375" string="1" fret="4" /&gt;</t>
  </si>
  <si>
    <t>&lt;note time="88.500" string="1" fret="4" /&gt;</t>
  </si>
  <si>
    <t>&lt;note time="88.625" string="1" fret="4" /&gt;</t>
  </si>
  <si>
    <t>&lt;note time="88.750" string="1" fret="4" /&gt;</t>
  </si>
  <si>
    <t>&lt;note time="88.875" string="1" fret="4" /&gt;</t>
  </si>
  <si>
    <t>&lt;note time="89.000" string="1" fret="4" /&gt;</t>
  </si>
  <si>
    <t>&lt;note time="89.125" string="1" fret="4" /&gt;</t>
  </si>
  <si>
    <t>&lt;note time="89.250" string="1" fret="4" /&gt;</t>
  </si>
  <si>
    <t>&lt;note time="89.375" string="1" fret="4" /&gt;</t>
  </si>
  <si>
    <t>&lt;note time="89.500" string="1" fret="4" /&gt;</t>
  </si>
  <si>
    <t>&lt;note time="89.625" string="1" fret="4" /&gt;</t>
  </si>
  <si>
    <t>&lt;note time="89.750" string="1" fret="4" /&gt;</t>
  </si>
  <si>
    <t>&lt;note time="89.875" string="1" fret="4" /&gt;</t>
  </si>
  <si>
    <t>&lt;note time="90.000" string="1" fret="2" /&gt;</t>
  </si>
  <si>
    <t>&lt;note time="90.125" string="1" fret="2" /&gt;</t>
  </si>
  <si>
    <t>&lt;note time="90.250" string="1" fret="2" /&gt;</t>
  </si>
  <si>
    <t>&lt;note time="90.375" string="1" fret="2" /&gt;</t>
  </si>
  <si>
    <t>&lt;note time="90.500" string="1" fret="2" /&gt;</t>
  </si>
  <si>
    <t>&lt;note time="90.625" string="1" fret="2" /&gt;</t>
  </si>
  <si>
    <t>&lt;note time="90.750" string="1" fret="2" /&gt;</t>
  </si>
  <si>
    <t>&lt;note time="90.875" string="1" fret="2" /&gt;</t>
  </si>
  <si>
    <t>&lt;note time="91.000" string="1" fret="2" /&gt;</t>
  </si>
  <si>
    <t>&lt;note time="91.125" string="1" fret="2" /&gt;</t>
  </si>
  <si>
    <t>&lt;note time="91.250" string="1" fret="2" /&gt;</t>
  </si>
  <si>
    <t>&lt;note time="91.375" string="1" fret="2" /&gt;</t>
  </si>
  <si>
    <t>&lt;note time="91.500" string="1" fret="2" /&gt;</t>
  </si>
  <si>
    <t>&lt;note time="91.625" string="1" fret="2" /&gt;</t>
  </si>
  <si>
    <t>&lt;note time="91.750" string="1" fret="2" /&gt;</t>
  </si>
  <si>
    <t>&lt;note time="91.875" string="1" fret="2" /&gt;</t>
  </si>
  <si>
    <t>&lt;note time="92.000" string="1" fret="7" /&gt;</t>
  </si>
  <si>
    <t>&lt;note time="92.125" string="1" fret="7" /&gt;</t>
  </si>
  <si>
    <t>&lt;note time="92.250" string="1" fret="7" /&gt;</t>
  </si>
  <si>
    <t>&lt;note time="92.375" string="1" fret="7" /&gt;</t>
  </si>
  <si>
    <t>&lt;note time="92.500" string="1" fret="7" /&gt;</t>
  </si>
  <si>
    <t>&lt;note time="92.625" string="1" fret="7" /&gt;</t>
  </si>
  <si>
    <t>&lt;note time="92.750" string="1" fret="7" /&gt;</t>
  </si>
  <si>
    <t>&lt;note time="92.875" string="1" fret="7" /&gt;</t>
  </si>
  <si>
    <t>&lt;note time="93.000" string="1" fret="7" /&gt;</t>
  </si>
  <si>
    <t>&lt;note time="93.125" string="1" fret="7" /&gt;</t>
  </si>
  <si>
    <t>&lt;note time="93.250" string="1" fret="7" /&gt;</t>
  </si>
  <si>
    <t>&lt;note time="93.375" string="1" fret="7" /&gt;</t>
  </si>
  <si>
    <t>&lt;note time="93.500" string="1" fret="7" /&gt;</t>
  </si>
  <si>
    <t>&lt;note time="93.625" string="1" fret="7" /&gt;</t>
  </si>
  <si>
    <t>&lt;note time="93.750" string="1" fret="7" /&gt;</t>
  </si>
  <si>
    <t>&lt;note time="93.875" string="1" fret="7" /&gt;</t>
  </si>
  <si>
    <t>&lt;note time="94.000" string="1" fret="9" /&gt;</t>
  </si>
  <si>
    <t>&lt;note time="94.125" string="1" fret="9" /&gt;</t>
  </si>
  <si>
    <t>&lt;note time="94.250" string="1" fret="9" /&gt;</t>
  </si>
  <si>
    <t>&lt;note time="94.375" string="1" fret="9" /&gt;</t>
  </si>
  <si>
    <t>&lt;note time="94.500" string="1" fret="9" /&gt;</t>
  </si>
  <si>
    <t>&lt;note time="94.625" string="1" fret="9" /&gt;</t>
  </si>
  <si>
    <t>&lt;note time="94.750" string="1" fret="9" /&gt;</t>
  </si>
  <si>
    <t>&lt;note time="94.875" string="1" fret="9" /&gt;</t>
  </si>
  <si>
    <t>&lt;note time="95.000" string="1" fret="9" /&gt;</t>
  </si>
  <si>
    <t>&lt;note time="95.125" string="1" fret="9" /&gt;</t>
  </si>
  <si>
    <t>&lt;note time="95.250" string="1" fret="9" /&gt;</t>
  </si>
  <si>
    <t>&lt;note time="95.375" string="1" fret="9" /&gt;</t>
  </si>
  <si>
    <t>&lt;note time="95.500" string="1" fret="9" /&gt;</t>
  </si>
  <si>
    <t>&lt;note time="95.625" string="1" fret="9" /&gt;</t>
  </si>
  <si>
    <t>&lt;note time="95.750" string="1" fret="9" /&gt;</t>
  </si>
  <si>
    <t>&lt;note time="95.875" string="1" fret="9" /&gt;</t>
  </si>
  <si>
    <t>&lt;note time="96.000" string="1" fret="4" /&gt;</t>
  </si>
  <si>
    <t>&lt;note time="96.250" string="1" fret="4" /&gt;</t>
  </si>
  <si>
    <t>&lt;note time="96.500" string="1" fret="2" /&gt;</t>
  </si>
  <si>
    <t>&lt;note time="96.750" string="1" fret="2" /&gt;</t>
  </si>
  <si>
    <t>&lt;note time="97.000" string="0" fret="0" sustain="0.500" /&gt;</t>
  </si>
  <si>
    <t>&lt;note time="98.000" string="0" fret="0" /&gt;</t>
  </si>
  <si>
    <t>&lt;note time="98.250" string="0" fret="0" /&gt;</t>
  </si>
  <si>
    <t>&lt;note time="98.500" string="0" fret="2" /&gt;</t>
  </si>
  <si>
    <t>&lt;note time="98.750" string="0" fret="2" /&gt;</t>
  </si>
  <si>
    <t>&lt;note time="99.000" string="1" fret="4" sustain="0.500" /&gt;</t>
  </si>
  <si>
    <t>&lt;note time="100.000" string="1" fret="4" /&gt;</t>
  </si>
  <si>
    <t>&lt;note time="100.250" string="1" fret="4" /&gt;</t>
  </si>
  <si>
    <t>&lt;note time="100.500" string="1" fret="2" /&gt;</t>
  </si>
  <si>
    <t>&lt;note time="100.750" string="1" fret="2" /&gt;</t>
  </si>
  <si>
    <t>&lt;note time="101.000" string="0" fret="0" sustain="0.500" /&gt;</t>
  </si>
  <si>
    <t>&lt;note time="102.000" string="0" fret="0" /&gt;</t>
  </si>
  <si>
    <t>&lt;note time="102.250" string="0" fret="0" /&gt;</t>
  </si>
  <si>
    <t>&lt;note time="102.500" string="0" fret="2" /&gt;</t>
  </si>
  <si>
    <t>&lt;note time="102.750" string="0" fret="2" /&gt;</t>
  </si>
  <si>
    <t>&lt;note time="103.000" string="1" fret="4" sustain="0.500" /&gt;</t>
  </si>
  <si>
    <t>&lt;note time="104.000" string="1" fret="4" /&gt;</t>
  </si>
  <si>
    <t>&lt;note time="104.250" string="1" fret="4" /&gt;</t>
  </si>
  <si>
    <t>&lt;note time="104.500" string="1" fret="2" /&gt;</t>
  </si>
  <si>
    <t>&lt;note time="104.750" string="1" fret="2" /&gt;</t>
  </si>
  <si>
    <t>&lt;note time="105.000" string="0" fret="0" sustain="0.500" /&gt;</t>
  </si>
  <si>
    <t>&lt;note time="106.000" string="0" fret="0" /&gt;</t>
  </si>
  <si>
    <t>&lt;note time="106.250" string="0" fret="0" /&gt;</t>
  </si>
  <si>
    <t>&lt;note time="106.500" string="0" fret="2" /&gt;</t>
  </si>
  <si>
    <t>&lt;note time="106.750" string="0" fret="2" /&gt;</t>
  </si>
  <si>
    <t>&lt;note time="107.000" string="1" fret="4" sustain="0.500" /&gt;</t>
  </si>
  <si>
    <t>&lt;note time="108.000" string="1" fret="4" /&gt;</t>
  </si>
  <si>
    <t>&lt;note time="108.250" string="1" fret="4" /&gt;</t>
  </si>
  <si>
    <t>&lt;note time="108.500" string="1" fret="2" /&gt;</t>
  </si>
  <si>
    <t>&lt;note time="108.750" string="1" fret="2" /&gt;</t>
  </si>
  <si>
    <t>&lt;note time="109.000" string="0" fret="0" sustain="0.500" /&gt;</t>
  </si>
  <si>
    <t>&lt;note time="110.000" string="0" fret="0" /&gt;</t>
  </si>
  <si>
    <t>&lt;note time="110.250" string="0" fret="0" /&gt;</t>
  </si>
  <si>
    <t>&lt;note time="110.500" string="0" fret="2" /&gt;</t>
  </si>
  <si>
    <t>&lt;note time="110.750" string="0" fret="2" /&gt;</t>
  </si>
  <si>
    <t>&lt;note time="111.000" string="1" fret="4" sustain="1.997" /&gt;</t>
  </si>
  <si>
    <t>&lt;note time="113.000" string="1" fret="2" sustain="1.997" /&gt;</t>
  </si>
  <si>
    <t>&lt;note time="115.000" string="0" fret="0" /&gt;</t>
  </si>
  <si>
    <t>&lt;note time="115.250" string="0" fret="0" /&gt;</t>
  </si>
  <si>
    <t>&lt;note time="115.500" string="0" fret="0" /&gt;</t>
  </si>
  <si>
    <t>&lt;note time="115.750" string="0" fret="0" /&gt;</t>
  </si>
  <si>
    <t>&lt;note time="116.000" string="0" fret="0" /&gt;</t>
  </si>
  <si>
    <t>&lt;note time="116.250" string="0" fret="0" /&gt;</t>
  </si>
  <si>
    <t>&lt;note time="116.500" string="0" fret="0" /&gt;</t>
  </si>
  <si>
    <t>&lt;note time="116.750" string="0" fret="0" /&gt;</t>
  </si>
  <si>
    <t>&lt;note time="117.000" string="0" fret="0" /&gt;</t>
  </si>
  <si>
    <t>&lt;note time="117.250" string="0" fret="0" /&gt;</t>
  </si>
  <si>
    <t>&lt;note time="117.500" string="0" fret="0" /&gt;</t>
  </si>
  <si>
    <t>&lt;note time="117.750" string="0" fret="0" /&gt;</t>
  </si>
  <si>
    <t>&lt;note time="118.000" string="0" fret="0" /&gt;</t>
  </si>
  <si>
    <t>&lt;note time="118.250" string="0" fret="0" /&gt;</t>
  </si>
  <si>
    <t>&lt;note time="118.500" string="0" fret="0" /&gt;</t>
  </si>
  <si>
    <t>&lt;note time="118.750" string="0" fret="0" /&gt;</t>
  </si>
  <si>
    <t>&lt;note time="119.000" string="1" fret="4" /&gt;</t>
  </si>
  <si>
    <t>&lt;note time="119.250" string="1" fret="4" /&gt;</t>
  </si>
  <si>
    <t>&lt;note time="119.500" string="1" fret="4" /&gt;</t>
  </si>
  <si>
    <t>&lt;note time="119.750" string="1" fret="4" /&gt;</t>
  </si>
  <si>
    <t>&lt;note time="120.000" string="1" fret="4" /&gt;</t>
  </si>
  <si>
    <t>&lt;note time="120.250" string="1" fret="4" /&gt;</t>
  </si>
  <si>
    <t>&lt;note time="120.500" string="1" fret="4" /&gt;</t>
  </si>
  <si>
    <t>&lt;note time="120.750" string="1" fret="4" /&gt;</t>
  </si>
  <si>
    <t>&lt;note time="121.000" string="1" fret="2" /&gt;</t>
  </si>
  <si>
    <t>&lt;note time="121.250" string="1" fret="2" /&gt;</t>
  </si>
  <si>
    <t>&lt;note time="121.500" string="1" fret="2" /&gt;</t>
  </si>
  <si>
    <t>&lt;note time="121.750" string="1" fret="2" /&gt;</t>
  </si>
  <si>
    <t>&lt;note time="122.000" string="1" fret="2" /&gt;</t>
  </si>
  <si>
    <t>&lt;note time="122.250" string="1" fret="2" /&gt;</t>
  </si>
  <si>
    <t>&lt;note time="122.500" string="1" fret="2" /&gt;</t>
  </si>
  <si>
    <t>&lt;note time="122.750" string="1" fret="2" /&gt;</t>
  </si>
  <si>
    <t>&lt;note time="123.000" string="0" fret="0" /&gt;</t>
  </si>
  <si>
    <t>&lt;note time="123.250" string="0" fret="0" /&gt;</t>
  </si>
  <si>
    <t>&lt;note time="123.500" string="0" fret="0" /&gt;</t>
  </si>
  <si>
    <t>&lt;note time="123.750" string="0" fret="0" /&gt;</t>
  </si>
  <si>
    <t>&lt;note time="124.000" string="0" fret="0" /&gt;</t>
  </si>
  <si>
    <t>&lt;note time="124.250" string="0" fret="0" /&gt;</t>
  </si>
  <si>
    <t>&lt;note time="124.500" string="0" fret="0" /&gt;</t>
  </si>
  <si>
    <t>&lt;note time="124.750" string="0" fret="0" /&gt;</t>
  </si>
  <si>
    <t>&lt;note time="125.000" string="0" fret="0" /&gt;</t>
  </si>
  <si>
    <t>&lt;note time="125.250" string="0" fret="0" /&gt;</t>
  </si>
  <si>
    <t>&lt;note time="125.500" string="0" fret="0" /&gt;</t>
  </si>
  <si>
    <t>&lt;note time="125.750" string="0" fret="0" /&gt;</t>
  </si>
  <si>
    <t>&lt;note time="126.000" string="0" fret="0" /&gt;</t>
  </si>
  <si>
    <t>&lt;note time="126.250" string="0" fret="0" /&gt;</t>
  </si>
  <si>
    <t>&lt;note time="126.500" string="0" fret="0" /&gt;</t>
  </si>
  <si>
    <t>&lt;note time="126.750" string="0" fret="0" /&gt;</t>
  </si>
  <si>
    <t>&lt;note time="127.000" string="1" fret="4" /&gt;</t>
  </si>
  <si>
    <t>&lt;note time="127.250" string="1" fret="4" /&gt;</t>
  </si>
  <si>
    <t>&lt;note time="127.500" string="1" fret="4" /&gt;</t>
  </si>
  <si>
    <t>&lt;note time="127.750" string="1" fret="4" /&gt;</t>
  </si>
  <si>
    <t>&lt;note time="128.000" string="1" fret="4" /&gt;</t>
  </si>
  <si>
    <t>&lt;note time="128.250" string="1" fret="4" /&gt;</t>
  </si>
  <si>
    <t>&lt;note time="128.500" string="1" fret="4" /&gt;</t>
  </si>
  <si>
    <t>&lt;note time="128.750" string="1" fret="4" /&gt;</t>
  </si>
  <si>
    <t>&lt;note time="129.000" string="1" fret="2" /&gt;</t>
  </si>
  <si>
    <t>&lt;note time="129.250" string="1" fret="2" /&gt;</t>
  </si>
  <si>
    <t>&lt;note time="129.500" string="1" fret="2" /&gt;</t>
  </si>
  <si>
    <t>&lt;note time="129.750" string="1" fret="2" /&gt;</t>
  </si>
  <si>
    <t>&lt;note time="130.000" string="1" fret="2" /&gt;</t>
  </si>
  <si>
    <t>&lt;note time="130.250" string="1" fret="2" /&gt;</t>
  </si>
  <si>
    <t>&lt;note time="130.500" string="1" fret="2" /&gt;</t>
  </si>
  <si>
    <t>&lt;note time="130.750" string="1" fret="2" /&gt;</t>
  </si>
  <si>
    <t>&lt;note time="131.000" string="0" fret="0" /&gt;</t>
  </si>
  <si>
    <t>&lt;note time="131.250" string="0" fret="0" /&gt;</t>
  </si>
  <si>
    <t>&lt;note time="131.500" string="0" fret="0" /&gt;</t>
  </si>
  <si>
    <t>&lt;note time="131.750" string="0" fret="0" /&gt;</t>
  </si>
  <si>
    <t>&lt;note time="132.000" string="0" fret="0" /&gt;</t>
  </si>
  <si>
    <t>&lt;note time="132.250" string="0" fret="0" /&gt;</t>
  </si>
  <si>
    <t>&lt;note time="132.500" string="0" fret="0" /&gt;</t>
  </si>
  <si>
    <t>&lt;note time="132.750" string="0" fret="0" /&gt;</t>
  </si>
  <si>
    <t>&lt;note time="133.000" string="0" fret="0" /&gt;</t>
  </si>
  <si>
    <t>&lt;note time="133.250" string="0" fret="0" /&gt;</t>
  </si>
  <si>
    <t>&lt;note time="133.500" string="0" fret="0" /&gt;</t>
  </si>
  <si>
    <t>&lt;note time="133.750" string="0" fret="0" /&gt;</t>
  </si>
  <si>
    <t>&lt;note time="134.000" string="0" fret="0" /&gt;</t>
  </si>
  <si>
    <t>&lt;note time="134.250" string="0" fret="0" /&gt;</t>
  </si>
  <si>
    <t>&lt;note time="134.500" string="0" fret="0" /&gt;</t>
  </si>
  <si>
    <t>&lt;note time="134.750" string="0" fret="0" /&gt;</t>
  </si>
  <si>
    <t>&lt;note time="135.000" string="1" fret="4" /&gt;</t>
  </si>
  <si>
    <t>&lt;note time="135.250" string="1" fret="4" /&gt;</t>
  </si>
  <si>
    <t>&lt;note time="135.500" string="1" fret="4" /&gt;</t>
  </si>
  <si>
    <t>&lt;note time="135.750" string="1" fret="4" /&gt;</t>
  </si>
  <si>
    <t>&lt;note time="136.000" string="1" fret="4" /&gt;</t>
  </si>
  <si>
    <t>&lt;note time="136.250" string="1" fret="4" /&gt;</t>
  </si>
  <si>
    <t>&lt;note time="136.500" string="1" fret="4" /&gt;</t>
  </si>
  <si>
    <t>&lt;note time="136.750" string="1" fret="4" /&gt;</t>
  </si>
  <si>
    <t>&lt;note time="137.000" string="1" fret="2" /&gt;</t>
  </si>
  <si>
    <t>&lt;note time="137.250" string="1" fret="2" /&gt;</t>
  </si>
  <si>
    <t>&lt;note time="137.500" string="1" fret="2" /&gt;</t>
  </si>
  <si>
    <t>&lt;note time="137.750" string="1" fret="2" /&gt;</t>
  </si>
  <si>
    <t>&lt;note time="138.000" string="1" fret="2" /&gt;</t>
  </si>
  <si>
    <t>&lt;note time="138.250" string="1" fret="2" /&gt;</t>
  </si>
  <si>
    <t>&lt;note time="138.500" string="1" fret="2" /&gt;</t>
  </si>
  <si>
    <t>&lt;note time="138.750" string="1" fret="2" /&gt;</t>
  </si>
  <si>
    <t>&lt;note time="139.000" string="0" fret="0" /&gt;</t>
  </si>
  <si>
    <t>&lt;note time="139.250" string="0" fret="0" /&gt;</t>
  </si>
  <si>
    <t>&lt;note time="139.500" string="0" fret="0" /&gt;</t>
  </si>
  <si>
    <t>&lt;note time="139.750" string="0" fret="0" /&gt;</t>
  </si>
  <si>
    <t>&lt;note time="140.000" string="0" fret="0" /&gt;</t>
  </si>
  <si>
    <t>&lt;note time="140.250" string="0" fret="0" /&gt;</t>
  </si>
  <si>
    <t>&lt;note time="140.500" string="0" fret="0" /&gt;</t>
  </si>
  <si>
    <t>&lt;note time="140.750" string="0" fret="0" /&gt;</t>
  </si>
  <si>
    <t>&lt;note time="141.000" string="0" fret="0" /&gt;</t>
  </si>
  <si>
    <t>&lt;note time="141.250" string="0" fret="0" /&gt;</t>
  </si>
  <si>
    <t>&lt;note time="141.500" string="0" fret="0" /&gt;</t>
  </si>
  <si>
    <t>&lt;note time="141.750" string="0" fret="0" /&gt;</t>
  </si>
  <si>
    <t>&lt;note time="142.000" string="0" fret="0" /&gt;</t>
  </si>
  <si>
    <t>&lt;note time="142.250" string="0" fret="0" /&gt;</t>
  </si>
  <si>
    <t>&lt;note time="142.500" string="0" fret="0" /&gt;</t>
  </si>
  <si>
    <t>&lt;note time="142.750" string="0" fret="0" /&gt;</t>
  </si>
  <si>
    <t>&lt;note time="143.000" string="1" fret="4" /&gt;</t>
  </si>
  <si>
    <t>&lt;note time="143.250" string="1" fret="4" /&gt;</t>
  </si>
  <si>
    <t>&lt;note time="143.500" string="1" fret="2" /&gt;</t>
  </si>
  <si>
    <t>&lt;note time="143.750" string="1" fret="2" /&gt;</t>
  </si>
  <si>
    <t>&lt;note time="144.000" string="0" fret="0" sustain="0.500" /&gt;</t>
  </si>
  <si>
    <t>&lt;note time="145.000" string="0" fret="0" /&gt;</t>
  </si>
  <si>
    <t>&lt;note time="145.250" string="0" fret="0" /&gt;</t>
  </si>
  <si>
    <t>&lt;note time="145.500" string="0" fret="2" /&gt;</t>
  </si>
  <si>
    <t>&lt;note time="145.750" string="0" fret="2" /&gt;</t>
  </si>
  <si>
    <t>&lt;note time="146.000" string="1" fret="4" sustain="0.500" /&gt;</t>
  </si>
  <si>
    <t>&lt;note time="147.000" string="1" fret="4" /&gt;</t>
  </si>
  <si>
    <t>&lt;note time="147.250" string="1" fret="4" /&gt;</t>
  </si>
  <si>
    <t>&lt;note time="147.500" string="1" fret="2" /&gt;</t>
  </si>
  <si>
    <t>&lt;note time="147.750" string="1" fret="2" /&gt;</t>
  </si>
  <si>
    <t>&lt;note time="148.000" string="0" fret="0" sustain="0.500" /&gt;</t>
  </si>
  <si>
    <t>&lt;note time="149.000" string="0" fret="0" /&gt;</t>
  </si>
  <si>
    <t>&lt;note time="149.250" string="0" fret="0" /&gt;</t>
  </si>
  <si>
    <t>&lt;note time="149.500" string="0" fret="2" /&gt;</t>
  </si>
  <si>
    <t>&lt;note time="149.750" string="0" fret="2" /&gt;</t>
  </si>
  <si>
    <t>&lt;note time="150.000" string="1" fret="4" sustain="0.500" /&gt;</t>
  </si>
  <si>
    <t>&lt;note time="151.000" string="1" fret="4" /&gt;</t>
  </si>
  <si>
    <t>&lt;note time="151.250" string="1" fret="4" /&gt;</t>
  </si>
  <si>
    <t>&lt;note time="151.500" string="1" fret="2" /&gt;</t>
  </si>
  <si>
    <t>&lt;note time="151.750" string="1" fret="2" /&gt;</t>
  </si>
  <si>
    <t>&lt;note time="152.000" string="0" fret="0" sustain="0.500" /&gt;</t>
  </si>
  <si>
    <t>&lt;note time="153.000" string="0" fret="0" /&gt;</t>
  </si>
  <si>
    <t>&lt;note time="153.250" string="0" fret="0" /&gt;</t>
  </si>
  <si>
    <t>&lt;note time="153.500" string="0" fret="2" /&gt;</t>
  </si>
  <si>
    <t>&lt;note time="153.750" string="0" fret="2" /&gt;</t>
  </si>
  <si>
    <t>&lt;note time="154.000" string="1" fret="4" sustain="0.500" /&gt;</t>
  </si>
  <si>
    <t>&lt;note time="155.000" string="1" fret="4" /&gt;</t>
  </si>
  <si>
    <t>&lt;note time="155.250" string="1" fret="4" /&gt;</t>
  </si>
  <si>
    <t>&lt;note time="155.500" string="1" fret="2" /&gt;</t>
  </si>
  <si>
    <t>&lt;note time="155.750" string="1" fret="2" /&gt;</t>
  </si>
  <si>
    <t>&lt;note time="156.000" string="0" fret="0" sustain="0.500" /&gt;</t>
  </si>
  <si>
    <t>&lt;note time="157.000" string="0" fret="0" /&gt;</t>
  </si>
  <si>
    <t>&lt;note time="157.250" string="0" fret="0" /&gt;</t>
  </si>
  <si>
    <t>&lt;note time="157.500" string="0" fret="2" /&gt;</t>
  </si>
  <si>
    <t>&lt;note time="157.750" string="0" fret="2" /&gt;</t>
  </si>
  <si>
    <t>&lt;note time="158.000" string="1" fret="4" sustain="0.497" /&gt;</t>
  </si>
  <si>
    <t>&lt;note time="158.500" string="1" fret="16" sustain="0.497" slideUnpitchTo="15" /&gt;</t>
  </si>
  <si>
    <t>&lt;note time="159.000" string="1" fret="4" /&gt;</t>
  </si>
  <si>
    <t>&lt;note time="159.250" string="1" fret="4" /&gt;</t>
  </si>
  <si>
    <t>&lt;note time="159.500" string="1" fret="4" /&gt;</t>
  </si>
  <si>
    <t>&lt;note time="159.750" string="1" fret="4" /&gt;</t>
  </si>
  <si>
    <t>&lt;note time="160.000" string="1" fret="4" /&gt;</t>
  </si>
  <si>
    <t>&lt;note time="160.250" string="1" fret="4" /&gt;</t>
  </si>
  <si>
    <t>&lt;note time="160.500" string="1" fret="4" /&gt;</t>
  </si>
  <si>
    <t>&lt;note time="160.750" string="1" fret="4" /&gt;</t>
  </si>
  <si>
    <t>&lt;note time="161.000" string="1" fret="2" /&gt;</t>
  </si>
  <si>
    <t>&lt;note time="161.250" string="1" fret="2" /&gt;</t>
  </si>
  <si>
    <t>&lt;note time="161.500" string="1" fret="2" /&gt;</t>
  </si>
  <si>
    <t>&lt;note time="161.750" string="1" fret="2" /&gt;</t>
  </si>
  <si>
    <t>&lt;note time="162.000" string="1" fret="2" /&gt;</t>
  </si>
  <si>
    <t>&lt;note time="162.250" string="1" fret="2" /&gt;</t>
  </si>
  <si>
    <t>&lt;note time="162.500" string="1" fret="2" /&gt;</t>
  </si>
  <si>
    <t>&lt;note time="162.750" string="1" fret="2" /&gt;</t>
  </si>
  <si>
    <t>&lt;note time="163.000" string="1" fret="7" /&gt;</t>
  </si>
  <si>
    <t>&lt;note time="163.250" string="1" fret="7" /&gt;</t>
  </si>
  <si>
    <t>&lt;note time="163.500" string="1" fret="7" /&gt;</t>
  </si>
  <si>
    <t>&lt;note time="163.750" string="1" fret="7" /&gt;</t>
  </si>
  <si>
    <t>&lt;note time="164.000" string="1" fret="7" /&gt;</t>
  </si>
  <si>
    <t>&lt;note time="164.250" string="1" fret="7" /&gt;</t>
  </si>
  <si>
    <t>&lt;note time="164.500" string="1" fret="7" /&gt;</t>
  </si>
  <si>
    <t>&lt;note time="164.750" string="1" fret="7" /&gt;</t>
  </si>
  <si>
    <t>&lt;note time="165.000" string="1" fret="9" /&gt;</t>
  </si>
  <si>
    <t>&lt;note time="165.250" string="1" fret="9" /&gt;</t>
  </si>
  <si>
    <t>&lt;note time="165.500" string="1" fret="9" /&gt;</t>
  </si>
  <si>
    <t>&lt;note time="165.750" string="1" fret="9" /&gt;</t>
  </si>
  <si>
    <t>&lt;note time="166.000" string="1" fret="9" /&gt;</t>
  </si>
  <si>
    <t>&lt;note time="166.250" string="1" fret="9" /&gt;</t>
  </si>
  <si>
    <t>&lt;note time="166.500" string="1" fret="9" /&gt;</t>
  </si>
  <si>
    <t>&lt;note time="166.750" string="1" fret="9" /&gt;</t>
  </si>
  <si>
    <t>&lt;note time="167.000" string="1" fret="4" /&gt;</t>
  </si>
  <si>
    <t>&lt;note time="167.250" string="1" fret="4" /&gt;</t>
  </si>
  <si>
    <t>&lt;note time="167.500" string="1" fret="4" /&gt;</t>
  </si>
  <si>
    <t>&lt;note time="167.750" string="1" fret="4" /&gt;</t>
  </si>
  <si>
    <t>&lt;note time="168.000" string="1" fret="4" /&gt;</t>
  </si>
  <si>
    <t>&lt;note time="168.250" string="1" fret="4" /&gt;</t>
  </si>
  <si>
    <t>&lt;note time="168.500" string="1" fret="4" /&gt;</t>
  </si>
  <si>
    <t>&lt;note time="168.750" string="1" fret="4" /&gt;</t>
  </si>
  <si>
    <t>&lt;note time="169.000" string="1" fret="2" /&gt;</t>
  </si>
  <si>
    <t>&lt;note time="169.250" string="1" fret="2" /&gt;</t>
  </si>
  <si>
    <t>&lt;note time="169.500" string="1" fret="2" /&gt;</t>
  </si>
  <si>
    <t>&lt;note time="169.750" string="1" fret="2" /&gt;</t>
  </si>
  <si>
    <t>&lt;note time="170.000" string="1" fret="2" /&gt;</t>
  </si>
  <si>
    <t>&lt;note time="170.250" string="1" fret="2" /&gt;</t>
  </si>
  <si>
    <t>&lt;note time="170.500" string="1" fret="2" /&gt;</t>
  </si>
  <si>
    <t>&lt;note time="170.750" string="1" fret="2" /&gt;</t>
  </si>
  <si>
    <t>&lt;note time="171.000" string="1" fret="7" /&gt;</t>
  </si>
  <si>
    <t>&lt;note time="171.250" string="1" fret="7" /&gt;</t>
  </si>
  <si>
    <t>&lt;note time="171.500" string="1" fret="7" /&gt;</t>
  </si>
  <si>
    <t>&lt;note time="171.750" string="1" fret="7" /&gt;</t>
  </si>
  <si>
    <t>&lt;note time="172.000" string="1" fret="7" /&gt;</t>
  </si>
  <si>
    <t>&lt;note time="172.250" string="1" fret="7" /&gt;</t>
  </si>
  <si>
    <t>&lt;note time="172.500" string="1" fret="7" /&gt;</t>
  </si>
  <si>
    <t>&lt;note time="172.750" string="1" fret="7" /&gt;</t>
  </si>
  <si>
    <t>&lt;note time="173.000" string="1" fret="9" /&gt;</t>
  </si>
  <si>
    <t>&lt;note time="173.250" string="1" fret="9" /&gt;</t>
  </si>
  <si>
    <t>&lt;note time="173.500" string="1" fret="9" /&gt;</t>
  </si>
  <si>
    <t>&lt;note time="173.750" string="1" fret="9" /&gt;</t>
  </si>
  <si>
    <t>&lt;note time="174.000" string="1" fret="9" /&gt;</t>
  </si>
  <si>
    <t>&lt;note time="174.250" string="1" fret="9" /&gt;</t>
  </si>
  <si>
    <t>&lt;note time="174.500" string="1" fret="9" /&gt;</t>
  </si>
  <si>
    <t>&lt;note time="174.750" string="1" fret="9" /&gt;</t>
  </si>
  <si>
    <t>&lt;note time="175.000" string="1" fret="4" /&gt;</t>
  </si>
  <si>
    <t>&lt;note time="175.250" string="1" fret="4" /&gt;</t>
  </si>
  <si>
    <t>&lt;note time="175.500" string="1" fret="2" /&gt;</t>
  </si>
  <si>
    <t>&lt;note time="175.750" string="1" fret="2" /&gt;</t>
  </si>
  <si>
    <t>&lt;note time="176.000" string="0" fret="0" sustain="3.000" /&gt;</t>
  </si>
  <si>
    <t xml:space="preserve">        &lt;note time="139.500" string="1" fret="2" /&gt;</t>
  </si>
  <si>
    <t xml:space="preserve">        &lt;note time="139.500" string="2" fret="2" /&gt;</t>
  </si>
  <si>
    <t xml:space="preserve">        &lt;note time="143.500" string="0" fret="0" /&gt;</t>
  </si>
  <si>
    <t xml:space="preserve">        &lt;note time="143.500" string="1" fret="2" /&gt;</t>
  </si>
  <si>
    <t xml:space="preserve">        &lt;note time="143.500" string="2" fret="2" /&gt;</t>
  </si>
  <si>
    <t xml:space="preserve">        &lt;note time="147.500" string="0" fret="0" /&gt;</t>
  </si>
  <si>
    <t xml:space="preserve">        &lt;note time="147.500" string="1" fret="2" /&gt;</t>
  </si>
  <si>
    <t xml:space="preserve">        &lt;note time="147.500" string="2" fret="2" /&gt;</t>
  </si>
  <si>
    <t xml:space="preserve">        &lt;note time="151.500" string="0" fret="0" /&gt;</t>
  </si>
  <si>
    <t xml:space="preserve">        &lt;note time="151.500" string="1" fret="2" /&gt;</t>
  </si>
  <si>
    <t xml:space="preserve">        &lt;note time="151.500" string="2" fret="2" /&gt;</t>
  </si>
  <si>
    <t xml:space="preserve">        &lt;note time="155.500" string="0" fret="0" /&gt;</t>
  </si>
  <si>
    <t xml:space="preserve">        &lt;note time="155.500" string="1" fret="2" /&gt;</t>
  </si>
  <si>
    <t xml:space="preserve">        &lt;note time="155.500" string="2" fret="2" /&gt;</t>
  </si>
  <si>
    <t xml:space="preserve">        &lt;note time="159.500" string="0" fret="0" /&gt;</t>
  </si>
  <si>
    <t xml:space="preserve">        &lt;note time="159.500" string="1" fret="2" /&gt;</t>
  </si>
  <si>
    <t xml:space="preserve">        &lt;note time="159.500" string="2" fret="2" /&gt;</t>
  </si>
  <si>
    <t xml:space="preserve">        &lt;note time="163.500" string="0" fret="0" /&gt;</t>
  </si>
  <si>
    <t xml:space="preserve">        &lt;note time="163.500" string="1" fret="2" /&gt;</t>
  </si>
  <si>
    <t xml:space="preserve">        &lt;note time="163.500" string="2" fret="2" /&gt;</t>
  </si>
  <si>
    <t xml:space="preserve">        &lt;note time="167.500" string="0" fret="0" /&gt;</t>
  </si>
  <si>
    <t xml:space="preserve">        &lt;note time="167.500" string="1" fret="2" /&gt;</t>
  </si>
  <si>
    <t xml:space="preserve">        &lt;note time="167.500" string="2" fret="2" /&gt;</t>
  </si>
  <si>
    <t xml:space="preserve">        &lt;note time="171.500" string="0" fret="0" /&gt;</t>
  </si>
  <si>
    <t xml:space="preserve">        &lt;note time="171.500" string="1" fret="2" /&gt;</t>
  </si>
  <si>
    <t xml:space="preserve">        &lt;note time="171.500" string="2" fret="2" /&gt;</t>
  </si>
  <si>
    <t xml:space="preserve">        &lt;note time="175.500" string="0" fret="0" /&gt;</t>
  </si>
  <si>
    <t xml:space="preserve">        &lt;note time="175.500" string="1" fret="2" /&gt;</t>
  </si>
  <si>
    <t xml:space="preserve">        &lt;note time="175.500" string="2" fret="2" /&gt;</t>
  </si>
  <si>
    <t xml:space="preserve">        &lt;note time="179.500" string="0" fret="0" /&gt;</t>
  </si>
  <si>
    <t xml:space="preserve">        &lt;note time="179.500" string="1" fret="2" /&gt;</t>
  </si>
  <si>
    <t xml:space="preserve">        &lt;note time="179.500" string="2" fret="2" /&gt;</t>
  </si>
  <si>
    <t xml:space="preserve">        &lt;note time="183.500" string="0" fret="0" /&gt;</t>
  </si>
  <si>
    <t xml:space="preserve">        &lt;note time="183.500" string="1" fret="2" /&gt;</t>
  </si>
  <si>
    <t xml:space="preserve">        &lt;note time="183.500" string="2" fret="2" /&gt;</t>
  </si>
  <si>
    <t xml:space="preserve">        &lt;note time="187.500" string="0" fret="0" /&gt;</t>
  </si>
  <si>
    <t xml:space="preserve">        &lt;note time="187.500" string="1" fret="2" /&gt;</t>
  </si>
  <si>
    <t xml:space="preserve">        &lt;note time="187.500" string="2" fret="2" /&gt;</t>
  </si>
  <si>
    <t xml:space="preserve">        &lt;chord time="2.000" chordId="0" &gt;&lt;chordNote time="2.000" string="0" fret="0" /&gt;&lt;chordNote time="2.000" string="1" fret="2" /&gt;&lt;chordNote time="2.000" string="2" fret="2" /&gt;&lt;/chord&gt;</t>
  </si>
  <si>
    <t xml:space="preserve">        &lt;chord time="2.250" chordId="0" highDensity="1" &gt;&lt;chordNote time="2.250" string="0" fret="0" /&gt;&lt;chordNote time="2.250" string="1" fret="2" /&gt;&lt;chordNote time="2.250" string="2" fret="2" /&gt;&lt;/chord&gt;</t>
  </si>
  <si>
    <t xml:space="preserve">        &lt;chord time="3.250" chordId="3" &gt;&lt;chordNote time="3.250" string="0" fret="3" /&gt;&lt;chordNote time="3.250" string="1" fret="5" /&gt;&lt;chordNote time="3.250" string="2" fret="5" /&gt;&lt;/chord&gt;</t>
  </si>
  <si>
    <t xml:space="preserve">        &lt;chord time="3.750" chordId="1" &gt;&lt;chordNote time="3.750" string="0" fret="5" /&gt;&lt;chordNote time="3.750" string="1" fret="7" /&gt;&lt;chordNote time="3.750" string="2" fret="7" /&gt;&lt;/chord&gt;</t>
  </si>
  <si>
    <t xml:space="preserve">        &lt;chord time="4.750" chordId="1" highDensity="1" &gt;&lt;chordNote time="4.750" string="0" fret="5" /&gt;&lt;chordNote time="4.750" string="1" fret="7" /&gt;&lt;chordNote time="4.750" string="2" fret="7" /&gt;&lt;/chord&gt;</t>
  </si>
  <si>
    <t xml:space="preserve">        &lt;chord time="5.000" chordId="2" &gt;&lt;chordNote time="5.000" string="0" fret="7" /&gt;&lt;chordNote time="5.000" string="1" fret="9" /&gt;&lt;chordNote time="5.000" string="2" fret="9" /&gt;&lt;/chord&gt;</t>
  </si>
  <si>
    <t xml:space="preserve">        &lt;chord time="5.500" chordId="3" &gt;&lt;chordNote time="5.500" string="0" fret="3" /&gt;&lt;chordNote time="5.500" string="1" fret="5" /&gt;&lt;chordNote time="5.500" string="2" fret="5" /&gt;&lt;/chord&gt;</t>
  </si>
  <si>
    <t xml:space="preserve">        &lt;chord time="6.000" chordId="0" &gt;&lt;chordNote time="6.000" string="0" fret="0" /&gt;&lt;chordNote time="6.000" string="1" fret="2" /&gt;&lt;chordNote time="6.000" string="2" fret="2" /&gt;&lt;/chord&gt;</t>
  </si>
  <si>
    <t xml:space="preserve">        &lt;chord time="6.250" chordId="0" highDensity="1" &gt;&lt;chordNote time="6.250" string="0" fret="0" /&gt;&lt;chordNote time="6.250" string="1" fret="2" /&gt;&lt;chordNote time="6.250" string="2" fret="2" /&gt;&lt;/chord&gt;</t>
  </si>
  <si>
    <t xml:space="preserve">        &lt;chord time="7.250" chordId="3" &gt;&lt;chordNote time="7.250" string="0" fret="3" /&gt;&lt;chordNote time="7.250" string="1" fret="5" /&gt;&lt;chordNote time="7.250" string="2" fret="5" /&gt;&lt;/chord&gt;</t>
  </si>
  <si>
    <t xml:space="preserve">        &lt;chord time="7.750" chordId="1" &gt;&lt;chordNote time="7.750" string="0" fret="5" /&gt;&lt;chordNote time="7.750" string="1" fret="7" /&gt;&lt;chordNote time="7.750" string="2" fret="7" /&gt;&lt;/chord&gt;</t>
  </si>
  <si>
    <t xml:space="preserve">        &lt;chord time="8.750" chordId="1" highDensity="1" &gt;&lt;chordNote time="8.750" string="0" fret="5" /&gt;&lt;chordNote time="8.750" string="1" fret="7" /&gt;&lt;chordNote time="8.750" string="2" fret="7" /&gt;&lt;/chord&gt;</t>
  </si>
  <si>
    <t xml:space="preserve">        &lt;chord time="9.000" chordId="2" &gt;&lt;chordNote time="9.000" string="0" fret="7" /&gt;&lt;chordNote time="9.000" string="1" fret="9" /&gt;&lt;chordNote time="9.000" string="2" fret="9" /&gt;&lt;/chord&gt;</t>
  </si>
  <si>
    <t xml:space="preserve">        &lt;chord time="9.500" chordId="3" &gt;&lt;chordNote time="9.500" string="0" fret="3" /&gt;&lt;chordNote time="9.500" string="1" fret="5" /&gt;&lt;chordNote time="9.500" string="2" fret="5" /&gt;&lt;/chord&gt;</t>
  </si>
  <si>
    <t xml:space="preserve">        &lt;chord time="10.000" chordId="0" &gt;&lt;chordNote time="10.000" string="0" fret="0" /&gt;&lt;chordNote time="10.000" string="1" fret="2" /&gt;&lt;chordNote time="10.000" string="2" fret="2" /&gt;&lt;/chord&gt;</t>
  </si>
  <si>
    <t xml:space="preserve">        &lt;chord time="10.250" chordId="0" highDensity="1" &gt;&lt;chordNote time="10.250" string="0" fret="0" /&gt;&lt;chordNote time="10.250" string="1" fret="2" /&gt;&lt;chordNote time="10.250" string="2" fret="2" /&gt;&lt;/chord&gt;</t>
  </si>
  <si>
    <t xml:space="preserve">        &lt;chord time="11.250" chordId="3" &gt;&lt;chordNote time="11.250" string="0" fret="3" /&gt;&lt;chordNote time="11.250" string="1" fret="5" /&gt;&lt;chordNote time="11.250" string="2" fret="5" /&gt;&lt;/chord&gt;</t>
  </si>
  <si>
    <t xml:space="preserve">        &lt;chord time="11.750" chordId="1" &gt;&lt;chordNote time="11.750" string="0" fret="5" /&gt;&lt;chordNote time="11.750" string="1" fret="7" /&gt;&lt;chordNote time="11.750" string="2" fret="7" /&gt;&lt;/chord&gt;</t>
  </si>
  <si>
    <t xml:space="preserve">        &lt;chord time="12.750" chordId="1" highDensity="1" &gt;&lt;chordNote time="12.750" string="0" fret="5" /&gt;&lt;chordNote time="12.750" string="1" fret="7" /&gt;&lt;chordNote time="12.750" string="2" fret="7" /&gt;&lt;/chord&gt;</t>
  </si>
  <si>
    <t xml:space="preserve">        &lt;chord time="13.000" chordId="2" &gt;&lt;chordNote time="13.000" string="0" fret="7" /&gt;&lt;chordNote time="13.000" string="1" fret="9" /&gt;&lt;chordNote time="13.000" string="2" fret="9" /&gt;&lt;/chord&gt;</t>
  </si>
  <si>
    <t xml:space="preserve">        &lt;chord time="13.500" chordId="3" &gt;&lt;chordNote time="13.500" string="0" fret="3" /&gt;&lt;chordNote time="13.500" string="1" fret="5" /&gt;&lt;chordNote time="13.500" string="2" fret="5" /&gt;&lt;/chord&gt;</t>
  </si>
  <si>
    <t xml:space="preserve">        &lt;chord time="14.000" chordId="0" &gt;&lt;chordNote time="14.000" string="0" fret="0" /&gt;&lt;chordNote time="14.000" string="1" fret="2" /&gt;&lt;chordNote time="14.000" string="2" fret="2" /&gt;&lt;/chord&gt;</t>
  </si>
  <si>
    <t xml:space="preserve">        &lt;chord time="14.250" chordId="0" highDensity="1" &gt;&lt;chordNote time="14.250" string="0" fret="0" /&gt;&lt;chordNote time="14.250" string="1" fret="2" /&gt;&lt;chordNote time="14.250" string="2" fret="2" /&gt;&lt;/chord&gt;</t>
  </si>
  <si>
    <t xml:space="preserve">        &lt;chord time="15.250" chordId="3" &gt;&lt;chordNote time="15.250" string="0" fret="3" /&gt;&lt;chordNote time="15.250" string="1" fret="5" /&gt;&lt;chordNote time="15.250" string="2" fret="5" /&gt;&lt;/chord&gt;</t>
  </si>
  <si>
    <t xml:space="preserve">        &lt;chord time="15.750" chordId="1" &gt;&lt;chordNote time="15.750" string="0" fret="5" /&gt;&lt;chordNote time="15.750" string="1" fret="7" /&gt;&lt;chordNote time="15.750" string="2" fret="7" /&gt;&lt;/chord&gt;</t>
  </si>
  <si>
    <t xml:space="preserve">        &lt;chord time="16.750" chordId="1" highDensity="1" &gt;&lt;chordNote time="16.750" string="0" fret="5" /&gt;&lt;chordNote time="16.750" string="1" fret="7" /&gt;&lt;chordNote time="16.750" string="2" fret="7" /&gt;&lt;/chord&gt;</t>
  </si>
  <si>
    <t xml:space="preserve">        &lt;chord time="17.000" chordId="2" &gt;&lt;chordNote time="17.000" string="0" fret="7" /&gt;&lt;chordNote time="17.000" string="1" fret="9" /&gt;&lt;chordNote time="17.000" string="2" fret="9" /&gt;&lt;/chord&gt;</t>
  </si>
  <si>
    <t xml:space="preserve">        &lt;chord time="17.500" chordId="3" &gt;&lt;chordNote time="17.500" string="0" fret="3" /&gt;&lt;chordNote time="17.500" string="1" fret="5" /&gt;&lt;chordNote time="17.500" string="2" fret="5" /&gt;&lt;/chord&gt;</t>
  </si>
  <si>
    <t xml:space="preserve">        &lt;chord time="22.000" chordId="0" &gt;&lt;chordNote time="22.000" string="0" fret="0" /&gt;&lt;chordNote time="22.000" string="1" fret="2" /&gt;&lt;chordNote time="22.000" string="2" fret="2" /&gt;&lt;/chord&gt;</t>
  </si>
  <si>
    <t xml:space="preserve">        &lt;chord time="22.250" chordId="0" highDensity="1" &gt;&lt;chordNote time="22.250" string="0" fret="0" /&gt;&lt;chordNote time="22.250" string="1" fret="2" /&gt;&lt;chordNote time="22.250" string="2" fret="2" /&gt;&lt;/chord&gt;</t>
  </si>
  <si>
    <t xml:space="preserve">        &lt;chord time="25.000" chordId="2" &gt;&lt;chordNote time="25.000" string="0" fret="7" /&gt;&lt;chordNote time="25.000" string="1" fret="9" /&gt;&lt;chordNote time="25.000" string="2" fret="9" /&gt;&lt;/chord&gt;</t>
  </si>
  <si>
    <t xml:space="preserve">        &lt;chord time="25.500" chordId="3" &gt;&lt;chordNote time="25.500" string="0" fret="3" /&gt;&lt;chordNote time="25.500" string="1" fret="5" /&gt;&lt;chordNote time="25.500" string="2" fret="5" /&gt;&lt;/chord&gt;</t>
  </si>
  <si>
    <t xml:space="preserve">        &lt;chord time="26.000" chordId="0" &gt;&lt;chordNote time="26.000" string="0" fret="0" /&gt;&lt;chordNote time="26.000" string="1" fret="2" /&gt;&lt;chordNote time="26.000" string="2" fret="2" /&gt;&lt;/chord&gt;</t>
  </si>
  <si>
    <t xml:space="preserve">        &lt;chord time="26.250" chordId="0" highDensity="1" &gt;&lt;chordNote time="26.250" string="0" fret="0" /&gt;&lt;chordNote time="26.250" string="1" fret="2" /&gt;&lt;chordNote time="26.250" string="2" fret="2" /&gt;&lt;/chord&gt;</t>
  </si>
  <si>
    <t xml:space="preserve">        &lt;chord time="30.000" chordId="0" highDensity="1" &gt;&lt;chordNote time="30.000" string="0" fret="0" /&gt;&lt;chordNote time="30.000" string="1" fret="2" /&gt;&lt;chordNote time="30.000" string="2" fret="2" /&gt;&lt;/chord&gt;</t>
  </si>
  <si>
    <t xml:space="preserve">        &lt;chord time="30.250" chordId="0" highDensity="1" &gt;&lt;chordNote time="30.250" string="0" fret="0" /&gt;&lt;chordNote time="30.250" string="1" fret="2" /&gt;&lt;chordNote time="30.250" string="2" fret="2" /&gt;&lt;/chord&gt;</t>
  </si>
  <si>
    <t xml:space="preserve">        &lt;chord time="33.000" chordId="2" &gt;&lt;chordNote time="33.000" string="0" fret="7" /&gt;&lt;chordNote time="33.000" string="1" fret="9" /&gt;&lt;chordNote time="33.000" string="2" fret="9" /&gt;&lt;/chord&gt;</t>
  </si>
  <si>
    <t xml:space="preserve">        &lt;chord time="33.500" chordId="3" &gt;&lt;chordNote time="33.500" string="0" fret="3" /&gt;&lt;chordNote time="33.500" string="1" fret="5" /&gt;&lt;chordNote time="33.500" string="2" fret="5" /&gt;&lt;/chord&gt;</t>
  </si>
  <si>
    <t xml:space="preserve">        &lt;chord time="34.000" chordId="0" &gt;&lt;chordNote time="34.000" string="0" fret="0" /&gt;&lt;chordNote time="34.000" string="1" fret="2" /&gt;&lt;chordNote time="34.000" string="2" fret="2" /&gt;&lt;/chord&gt;</t>
  </si>
  <si>
    <t xml:space="preserve">        &lt;chord time="34.250" chordId="0" highDensity="1" &gt;&lt;chordNote time="34.250" string="0" fret="0" /&gt;&lt;chordNote time="34.250" string="1" fret="2" /&gt;&lt;chordNote time="34.250" string="2" fret="2" /&gt;&lt;/chord&gt;</t>
  </si>
  <si>
    <t xml:space="preserve">        &lt;chord time="38.000" chordId="0" highDensity="1" &gt;&lt;chordNote time="38.000" string="0" fret="0" /&gt;&lt;chordNote time="38.000" string="1" fret="2" /&gt;&lt;chordNote time="38.000" string="2" fret="2" /&gt;&lt;/chord&gt;</t>
  </si>
  <si>
    <t xml:space="preserve">        &lt;chord time="38.250" chordId="0" highDensity="1" &gt;&lt;chordNote time="38.250" string="0" fret="0" /&gt;&lt;chordNote time="38.250" string="1" fret="2" /&gt;&lt;chordNote time="38.250" string="2" fret="2" /&gt;&lt;/chord&gt;</t>
  </si>
  <si>
    <t xml:space="preserve">        &lt;chord time="42.000" chordId="0" highDensity="1" &gt;&lt;chordNote time="42.000" string="0" fret="0" /&gt;&lt;chordNote time="42.000" string="1" fret="2" /&gt;&lt;chordNote time="42.000" string="2" fret="2" /&gt;&lt;/chord&gt;</t>
  </si>
  <si>
    <t xml:space="preserve">        &lt;chord time="42.250" chordId="0" highDensity="1" &gt;&lt;chordNote time="42.250" string="0" fret="0" /&gt;&lt;chordNote time="42.250" string="1" fret="2" /&gt;&lt;chordNote time="42.250" string="2" fret="2" /&gt;&lt;/chord&gt;</t>
  </si>
  <si>
    <t xml:space="preserve">        &lt;chord time="43.250" chordId="3" &gt;&lt;chordNote time="43.250" string="0" fret="3" /&gt;&lt;chordNote time="43.250" string="1" fret="5" /&gt;&lt;chordNote time="43.250" string="2" fret="5" /&gt;&lt;/chord&gt;</t>
  </si>
  <si>
    <t xml:space="preserve">        &lt;chord time="43.750" chordId="1" &gt;&lt;chordNote time="43.750" string="0" fret="5" /&gt;&lt;chordNote time="43.750" string="1" fret="7" /&gt;&lt;chordNote time="43.750" string="2" fret="7" /&gt;&lt;/chord&gt;</t>
  </si>
  <si>
    <t xml:space="preserve">        &lt;chord time="44.750" chordId="1" highDensity="1" &gt;&lt;chordNote time="44.750" string="0" fret="5" /&gt;&lt;chordNote time="44.750" string="1" fret="7" /&gt;&lt;chordNote time="44.750" string="2" fret="7" /&gt;&lt;/chord&gt;</t>
  </si>
  <si>
    <t xml:space="preserve">        &lt;chord time="45.000" chordId="2" &gt;&lt;chordNote time="45.000" string="0" fret="7" /&gt;&lt;chordNote time="45.000" string="1" fret="9" /&gt;&lt;chordNote time="45.000" string="2" fret="9" /&gt;&lt;/chord&gt;</t>
  </si>
  <si>
    <t xml:space="preserve">        &lt;chord time="45.500" chordId="3" &gt;&lt;chordNote time="45.500" string="0" fret="3" /&gt;&lt;chordNote time="45.500" string="1" fret="5" /&gt;&lt;chordNote time="45.500" string="2" fret="5" /&gt;&lt;/chord&gt;</t>
  </si>
  <si>
    <t xml:space="preserve">        &lt;chord time="46.000" chordId="0" &gt;&lt;chordNote time="46.000" string="0" fret="0" /&gt;&lt;chordNote time="46.000" string="1" fret="2" /&gt;&lt;chordNote time="46.000" string="2" fret="2" /&gt;&lt;/chord&gt;</t>
  </si>
  <si>
    <t xml:space="preserve">        &lt;chord time="46.250" chordId="0" highDensity="1" &gt;&lt;chordNote time="46.250" string="0" fret="0" /&gt;&lt;chordNote time="46.250" string="1" fret="2" /&gt;&lt;chordNote time="46.250" string="2" fret="2" /&gt;&lt;/chord&gt;</t>
  </si>
  <si>
    <t xml:space="preserve">        &lt;chord time="47.250" chordId="3" &gt;&lt;chordNote time="47.250" string="0" fret="3" /&gt;&lt;chordNote time="47.250" string="1" fret="5" /&gt;&lt;chordNote time="47.250" string="2" fret="5" /&gt;&lt;/chord&gt;</t>
  </si>
  <si>
    <t xml:space="preserve">        &lt;chord time="47.750" chordId="1" &gt;&lt;chordNote time="47.750" string="0" fret="5" /&gt;&lt;chordNote time="47.750" string="1" fret="7" /&gt;&lt;chordNote time="47.750" string="2" fret="7" /&gt;&lt;/chord&gt;</t>
  </si>
  <si>
    <t xml:space="preserve">        &lt;chord time="48.750" chordId="1" highDensity="1" &gt;&lt;chordNote time="48.750" string="0" fret="5" /&gt;&lt;chordNote time="48.750" string="1" fret="7" /&gt;&lt;chordNote time="48.750" string="2" fret="7" /&gt;&lt;/chord&gt;</t>
  </si>
  <si>
    <t xml:space="preserve">        &lt;chord time="49.000" chordId="2" &gt;&lt;chordNote time="49.000" string="0" fret="7" /&gt;&lt;chordNote time="49.000" string="1" fret="9" /&gt;&lt;chordNote time="49.000" string="2" fret="9" /&gt;&lt;/chord&gt;</t>
  </si>
  <si>
    <t xml:space="preserve">        &lt;chord time="49.500" chordId="3" &gt;&lt;chordNote time="49.500" string="0" fret="3" /&gt;&lt;chordNote time="49.500" string="1" fret="5" /&gt;&lt;chordNote time="49.500" string="2" fret="5" /&gt;&lt;/chord&gt;</t>
  </si>
  <si>
    <t xml:space="preserve">        &lt;chord time="50.000" chordId="0" &gt;&lt;chordNote time="50.000" string="0" fret="0" /&gt;&lt;chordNote time="50.000" string="1" fret="2" /&gt;&lt;chordNote time="50.000" string="2" fret="2" /&gt;&lt;/chord&gt;</t>
  </si>
  <si>
    <t xml:space="preserve">        &lt;chord time="50.250" chordId="0" highDensity="1" &gt;&lt;chordNote time="50.250" string="0" fret="0" /&gt;&lt;chordNote time="50.250" string="1" fret="2" /&gt;&lt;chordNote time="50.250" string="2" fret="2" /&gt;&lt;/chord&gt;</t>
  </si>
  <si>
    <t xml:space="preserve">        &lt;chord time="51.250" chordId="3" &gt;&lt;chordNote time="51.250" string="0" fret="3" /&gt;&lt;chordNote time="51.250" string="1" fret="5" /&gt;&lt;chordNote time="51.250" string="2" fret="5" /&gt;&lt;/chord&gt;</t>
  </si>
  <si>
    <t xml:space="preserve">        &lt;chord time="51.750" chordId="1" &gt;&lt;chordNote time="51.750" string="0" fret="5" /&gt;&lt;chordNote time="51.750" string="1" fret="7" /&gt;&lt;chordNote time="51.750" string="2" fret="7" /&gt;&lt;/chord&gt;</t>
  </si>
  <si>
    <t xml:space="preserve">        &lt;chord time="52.750" chordId="1" highDensity="1" &gt;&lt;chordNote time="52.750" string="0" fret="5" /&gt;&lt;chordNote time="52.750" string="1" fret="7" /&gt;&lt;chordNote time="52.750" string="2" fret="7" /&gt;&lt;/chord&gt;</t>
  </si>
  <si>
    <t xml:space="preserve">        &lt;chord time="53.000" chordId="2" &gt;&lt;chordNote time="53.000" string="0" fret="7" /&gt;&lt;chordNote time="53.000" string="1" fret="9" /&gt;&lt;chordNote time="53.000" string="2" fret="9" /&gt;&lt;/chord&gt;</t>
  </si>
  <si>
    <t xml:space="preserve">        &lt;chord time="53.500" chordId="3" &gt;&lt;chordNote time="53.500" string="0" fret="3" /&gt;&lt;chordNote time="53.500" string="1" fret="5" /&gt;&lt;chordNote time="53.500" string="2" fret="5" /&gt;&lt;/chord&gt;</t>
  </si>
  <si>
    <t xml:space="preserve">        &lt;chord time="58.000" chordId="0" &gt;&lt;chordNote time="58.000" string="0" fret="0" /&gt;&lt;chordNote time="58.000" string="1" fret="2" /&gt;&lt;chordNote time="58.000" string="2" fret="2" /&gt;&lt;/chord&gt;</t>
  </si>
  <si>
    <t xml:space="preserve">        &lt;chord time="58.250" chordId="0" highDensity="1" &gt;&lt;chordNote time="58.250" string="0" fret="0" /&gt;&lt;chordNote time="58.250" string="1" fret="2" /&gt;&lt;chordNote time="58.250" string="2" fret="2" /&gt;&lt;/chord&gt;</t>
  </si>
  <si>
    <t xml:space="preserve">        &lt;chord time="61.000" chordId="2" &gt;&lt;chordNote time="61.000" string="0" fret="7" /&gt;&lt;chordNote time="61.000" string="1" fret="9" /&gt;&lt;chordNote time="61.000" string="2" fret="9" /&gt;&lt;/chord&gt;</t>
  </si>
  <si>
    <t xml:space="preserve">        &lt;chord time="61.500" chordId="3" &gt;&lt;chordNote time="61.500" string="0" fret="3" /&gt;&lt;chordNote time="61.500" string="1" fret="5" /&gt;&lt;chordNote time="61.500" string="2" fret="5" /&gt;&lt;/chord&gt;</t>
  </si>
  <si>
    <t xml:space="preserve">        &lt;chord time="62.000" chordId="0" &gt;&lt;chordNote time="62.000" string="0" fret="0" /&gt;&lt;chordNote time="62.000" string="1" fret="2" /&gt;&lt;chordNote time="62.000" string="2" fret="2" /&gt;&lt;/chord&gt;</t>
  </si>
  <si>
    <t xml:space="preserve">        &lt;chord time="62.250" chordId="0" highDensity="1" &gt;&lt;chordNote time="62.250" string="0" fret="0" /&gt;&lt;chordNote time="62.250" string="1" fret="2" /&gt;&lt;chordNote time="62.250" string="2" fret="2" /&gt;&lt;/chord&gt;</t>
  </si>
  <si>
    <t xml:space="preserve">        &lt;chord time="66.000" chordId="0" highDensity="1" &gt;&lt;chordNote time="66.000" string="0" fret="0" /&gt;&lt;chordNote time="66.000" string="1" fret="2" /&gt;&lt;chordNote time="66.000" string="2" fret="2" /&gt;&lt;/chord&gt;</t>
  </si>
  <si>
    <t xml:space="preserve">        &lt;chord time="66.250" chordId="0" highDensity="1" &gt;&lt;chordNote time="66.250" string="0" fret="0" /&gt;&lt;chordNote time="66.250" string="1" fret="2" /&gt;&lt;chordNote time="66.250" string="2" fret="2" /&gt;&lt;/chord&gt;</t>
  </si>
  <si>
    <t xml:space="preserve">        &lt;chord time="70.000" chordId="0" highDensity="1" &gt;&lt;chordNote time="70.000" string="0" fret="0" /&gt;&lt;chordNote time="70.000" string="1" fret="2" /&gt;&lt;chordNote time="70.000" string="2" fret="2" /&gt;&lt;/chord&gt;</t>
  </si>
  <si>
    <t xml:space="preserve">        &lt;chord time="70.250" chordId="0" highDensity="1" &gt;&lt;chordNote time="70.250" string="0" fret="0" /&gt;&lt;chordNote time="70.250" string="1" fret="2" /&gt;&lt;chordNote time="70.250" string="2" fret="2" /&gt;&lt;/chord&gt;</t>
  </si>
  <si>
    <t xml:space="preserve">        &lt;chord time="74.000" chordId="0" highDensity="1" &gt;&lt;chordNote time="74.000" string="0" fret="0" /&gt;&lt;chordNote time="74.000" string="1" fret="2" /&gt;&lt;chordNote time="74.000" string="2" fret="2" /&gt;&lt;/chord&gt;</t>
  </si>
  <si>
    <t xml:space="preserve">        &lt;chord time="74.250" chordId="0" highDensity="1" &gt;&lt;chordNote time="74.250" string="0" fret="0" /&gt;&lt;chordNote time="74.250" string="1" fret="2" /&gt;&lt;chordNote time="74.250" string="2" fret="2" /&gt;&lt;/chord&gt;</t>
  </si>
  <si>
    <t xml:space="preserve">        &lt;chord time="75.250" chordId="3" &gt;&lt;chordNote time="75.250" string="0" fret="3" /&gt;&lt;chordNote time="75.250" string="1" fret="5" /&gt;&lt;chordNote time="75.250" string="2" fret="5" /&gt;&lt;/chord&gt;</t>
  </si>
  <si>
    <t xml:space="preserve">        &lt;chord time="75.750" chordId="1" &gt;&lt;chordNote time="75.750" string="0" fret="5" /&gt;&lt;chordNote time="75.750" string="1" fret="7" /&gt;&lt;chordNote time="75.750" string="2" fret="7" /&gt;&lt;/chord&gt;</t>
  </si>
  <si>
    <t xml:space="preserve">        &lt;chord time="76.750" chordId="1" highDensity="1" &gt;&lt;chordNote time="76.750" string="0" fret="5" /&gt;&lt;chordNote time="76.750" string="1" fret="7" /&gt;&lt;chordNote time="76.750" string="2" fret="7" /&gt;&lt;/chord&gt;</t>
  </si>
  <si>
    <t xml:space="preserve">        &lt;chord time="77.000" chordId="2" &gt;&lt;chordNote time="77.000" string="0" fret="7" /&gt;&lt;chordNote time="77.000" string="1" fret="9" /&gt;&lt;chordNote time="77.000" string="2" fret="9" /&gt;&lt;/chord&gt;</t>
  </si>
  <si>
    <t xml:space="preserve">        &lt;chord time="77.500" chordId="3" &gt;&lt;chordNote time="77.500" string="0" fret="3" /&gt;&lt;chordNote time="77.500" string="1" fret="5" /&gt;&lt;chordNote time="77.500" string="2" fret="5" /&gt;&lt;/chord&gt;</t>
  </si>
  <si>
    <t xml:space="preserve">        &lt;chord time="78.000" chordId="0" &gt;&lt;chordNote time="78.000" string="0" fret="0" /&gt;&lt;chordNote time="78.000" string="1" fret="2" /&gt;&lt;chordNote time="78.000" string="2" fret="2" /&gt;&lt;/chord&gt;</t>
  </si>
  <si>
    <t xml:space="preserve">        &lt;chord time="78.250" chordId="0" highDensity="1" &gt;&lt;chordNote time="78.250" string="0" fret="0" /&gt;&lt;chordNote time="78.250" string="1" fret="2" /&gt;&lt;chordNote time="78.250" string="2" fret="2" /&gt;&lt;/chord&gt;</t>
  </si>
  <si>
    <t xml:space="preserve">        &lt;chord time="79.250" chordId="3" &gt;&lt;chordNote time="79.250" string="0" fret="3" /&gt;&lt;chordNote time="79.250" string="1" fret="5" /&gt;&lt;chordNote time="79.250" string="2" fret="5" /&gt;&lt;/chord&gt;</t>
  </si>
  <si>
    <t xml:space="preserve">        &lt;chord time="79.750" chordId="1" &gt;&lt;chordNote time="79.750" string="0" fret="5" /&gt;&lt;chordNote time="79.750" string="1" fret="7" /&gt;&lt;chordNote time="79.750" string="2" fret="7" /&gt;&lt;/chord&gt;</t>
  </si>
  <si>
    <t xml:space="preserve">        &lt;chord time="80.750" chordId="1" highDensity="1" &gt;&lt;chordNote time="80.750" string="0" fret="5" /&gt;&lt;chordNote time="80.750" string="1" fret="7" /&gt;&lt;chordNote time="80.750" string="2" fret="7" /&gt;&lt;/chord&gt;</t>
  </si>
  <si>
    <t xml:space="preserve">        &lt;chord time="81.000" chordId="2" &gt;&lt;chordNote time="81.000" string="0" fret="7" /&gt;&lt;chordNote time="81.000" string="1" fret="9" /&gt;&lt;chordNote time="81.000" string="2" fret="9" /&gt;&lt;/chord&gt;</t>
  </si>
  <si>
    <t xml:space="preserve">        &lt;chord time="81.500" chordId="3" &gt;&lt;chordNote time="81.500" string="0" fret="3" /&gt;&lt;chordNote time="81.500" string="1" fret="5" /&gt;&lt;chordNote time="81.500" string="2" fret="5" /&gt;&lt;/chord&gt;</t>
  </si>
  <si>
    <t xml:space="preserve">        &lt;chord time="82.500" chordId="0" &gt;&lt;chordNote time="82.500" string="0" fret="0" /&gt;&lt;chordNote time="82.500" string="1" fret="2" /&gt;&lt;chordNote time="82.500" string="2" fret="2" /&gt;&lt;/chord&gt;</t>
  </si>
  <si>
    <t xml:space="preserve">        &lt;chord time="83.500" chordId="3" &gt;&lt;chordNote time="83.500" string="0" fret="3" /&gt;&lt;chordNote time="83.500" string="1" fret="5" /&gt;&lt;chordNote time="83.500" string="2" fret="5" /&gt;&lt;/chord&gt;</t>
  </si>
  <si>
    <t xml:space="preserve">        &lt;chord time="84.500" chordId="1" &gt;&lt;chordNote time="84.500" string="0" fret="5" /&gt;&lt;chordNote time="84.500" string="1" fret="7" /&gt;&lt;chordNote time="84.500" string="2" fret="7" /&gt;&lt;/chord&gt;</t>
  </si>
  <si>
    <t xml:space="preserve">        &lt;chord time="85.000" chordId="2" &gt;&lt;chordNote time="85.000" string="0" fret="7" /&gt;&lt;chordNote time="85.000" string="1" fret="9" /&gt;&lt;chordNote time="85.000" string="2" fret="9" /&gt;&lt;/chord&gt;</t>
  </si>
  <si>
    <t xml:space="preserve">        &lt;chord time="85.500" chordId="3" &gt;&lt;chordNote time="85.500" string="0" fret="3" /&gt;&lt;chordNote time="85.500" string="1" fret="5" /&gt;&lt;chordNote time="85.500" string="2" fret="5" /&gt;&lt;/chord&gt;</t>
  </si>
  <si>
    <t xml:space="preserve">        &lt;chord time="86.500" chordId="0" &gt;&lt;chordNote time="86.500" string="0" fret="0" /&gt;&lt;chordNote time="86.500" string="1" fret="2" /&gt;&lt;chordNote time="86.500" string="2" fret="2" /&gt;&lt;/chord&gt;</t>
  </si>
  <si>
    <t xml:space="preserve">        &lt;chord time="87.500" chordId="3" &gt;&lt;chordNote time="87.500" string="0" fret="3" /&gt;&lt;chordNote time="87.500" string="1" fret="5" /&gt;&lt;chordNote time="87.500" string="2" fret="5" /&gt;&lt;/chord&gt;</t>
  </si>
  <si>
    <t xml:space="preserve">        &lt;chord time="88.500" chordId="1" &gt;&lt;chordNote time="88.500" string="0" fret="5" /&gt;&lt;chordNote time="88.500" string="1" fret="7" /&gt;&lt;chordNote time="88.500" string="2" fret="7" /&gt;&lt;/chord&gt;</t>
  </si>
  <si>
    <t xml:space="preserve">        &lt;chord time="89.000" chordId="2" &gt;&lt;chordNote time="89.000" string="0" fret="7" /&gt;&lt;chordNote time="89.000" string="1" fret="9" /&gt;&lt;chordNote time="89.000" string="2" fret="9" /&gt;&lt;/chord&gt;</t>
  </si>
  <si>
    <t xml:space="preserve">        &lt;chord time="89.500" chordId="3" &gt;&lt;chordNote time="89.500" string="0" fret="3" /&gt;&lt;chordNote time="89.500" string="1" fret="5" /&gt;&lt;chordNote time="89.500" string="2" fret="5" /&gt;&lt;/chord&gt;</t>
  </si>
  <si>
    <t xml:space="preserve">        &lt;chord time="90.000" chordId="0" &gt;&lt;chordNote time="90.000" string="0" fret="0" /&gt;&lt;chordNote time="90.000" string="1" fret="2" /&gt;&lt;chordNote time="90.000" string="2" fret="2" /&gt;&lt;/chord&gt;</t>
  </si>
  <si>
    <t xml:space="preserve">        &lt;chord time="94.000" chordId="0" highDensity="1" &gt;&lt;chordNote time="94.000" string="0" fret="0" /&gt;&lt;chordNote time="94.000" string="1" fret="2" /&gt;&lt;chordNote time="94.000" string="2" fret="2" /&gt;&lt;/chord&gt;</t>
  </si>
  <si>
    <t xml:space="preserve">        &lt;chord time="94.250" chordId="0" highDensity="1" &gt;&lt;chordNote time="94.250" string="0" fret="0" /&gt;&lt;chordNote time="94.250" string="1" fret="2" /&gt;&lt;chordNote time="94.250" string="2" fret="2" /&gt;&lt;/chord&gt;</t>
  </si>
  <si>
    <t xml:space="preserve">        &lt;chord time="102.000" chordId="0" highDensity="1" &gt;&lt;chordNote time="102.000" string="0" fret="0" /&gt;&lt;chordNote time="102.000" string="1" fret="2" /&gt;&lt;chordNote time="102.000" string="2" fret="2" /&gt;&lt;/chord&gt;</t>
  </si>
  <si>
    <t xml:space="preserve">        &lt;chord time="102.250" chordId="0" highDensity="1" &gt;&lt;chordNote time="102.250" string="0" fret="0" /&gt;&lt;chordNote time="102.250" string="1" fret="2" /&gt;&lt;chordNote time="102.250" string="2" fret="2" /&gt;&lt;/chord&gt;</t>
  </si>
  <si>
    <t xml:space="preserve">        &lt;chord time="106.000" chordId="0" highDensity="1" &gt;&lt;chordNote time="106.000" string="0" fret="0" /&gt;&lt;chordNote time="106.000" string="1" fret="2" /&gt;&lt;chordNote time="106.000" string="2" fret="2" /&gt;&lt;/chord&gt;</t>
  </si>
  <si>
    <t xml:space="preserve">        &lt;chord time="106.250" chordId="0" highDensity="1" &gt;&lt;chordNote time="106.250" string="0" fret="0" /&gt;&lt;chordNote time="106.250" string="1" fret="2" /&gt;&lt;chordNote time="106.250" string="2" fret="2" /&gt;&lt;/chord&gt;</t>
  </si>
  <si>
    <t xml:space="preserve">        &lt;chord time="110.000" chordId="0" highDensity="1" &gt;&lt;chordNote time="110.000" string="0" fret="0" /&gt;&lt;chordNote time="110.000" string="1" fret="2" /&gt;&lt;chordNote time="110.000" string="2" fret="2" /&gt;&lt;/chord&gt;</t>
  </si>
  <si>
    <t xml:space="preserve">        &lt;chord time="110.250" chordId="0" highDensity="1" &gt;&lt;chordNote time="110.250" string="0" fret="0" /&gt;&lt;chordNote time="110.250" string="1" fret="2" /&gt;&lt;chordNote time="110.250" string="2" fret="2" /&gt;&lt;/chord&gt;</t>
  </si>
  <si>
    <t xml:space="preserve">        &lt;chord time="114.000" chordId="0" highDensity="1" &gt;&lt;chordNote time="114.000" string="0" fret="0" /&gt;&lt;chordNote time="114.000" string="1" fret="2" /&gt;&lt;chordNote time="114.000" string="2" fret="2" /&gt;&lt;/chord&gt;</t>
  </si>
  <si>
    <t xml:space="preserve">        &lt;chord time="114.250" chordId="0" highDensity="1" &gt;&lt;chordNote time="114.250" string="0" fret="0" /&gt;&lt;chordNote time="114.250" string="1" fret="2" /&gt;&lt;chordNote time="114.250" string="2" fret="2" /&gt;&lt;/chord&gt;</t>
  </si>
  <si>
    <t xml:space="preserve">        &lt;chord time="115.250" chordId="3" &gt;&lt;chordNote time="115.250" string="0" fret="3" /&gt;&lt;chordNote time="115.250" string="1" fret="5" /&gt;&lt;chordNote time="115.250" string="2" fret="5" /&gt;&lt;/chord&gt;</t>
  </si>
  <si>
    <t xml:space="preserve">        &lt;chord time="115.750" chordId="1" &gt;&lt;chordNote time="115.750" string="0" fret="5" /&gt;&lt;chordNote time="115.750" string="1" fret="7" /&gt;&lt;chordNote time="115.750" string="2" fret="7" /&gt;&lt;/chord&gt;</t>
  </si>
  <si>
    <t xml:space="preserve">        &lt;chord time="116.750" chordId="1" highDensity="1" &gt;&lt;chordNote time="116.750" string="0" fret="5" /&gt;&lt;chordNote time="116.750" string="1" fret="7" /&gt;&lt;chordNote time="116.750" string="2" fret="7" /&gt;&lt;/chord&gt;</t>
  </si>
  <si>
    <t xml:space="preserve">        &lt;chord time="117.000" chordId="2" &gt;&lt;chordNote time="117.000" string="0" fret="7" /&gt;&lt;chordNote time="117.000" string="1" fret="9" /&gt;&lt;chordNote time="117.000" string="2" fret="9" /&gt;&lt;/chord&gt;</t>
  </si>
  <si>
    <t xml:space="preserve">        &lt;chord time="117.500" chordId="3" &gt;&lt;chordNote time="117.500" string="0" fret="3" /&gt;&lt;chordNote time="117.500" string="1" fret="5" /&gt;&lt;chordNote time="117.500" string="2" fret="5" /&gt;&lt;/chord&gt;</t>
  </si>
  <si>
    <t xml:space="preserve">        &lt;chord time="118.000" chordId="0" &gt;&lt;chordNote time="118.000" string="0" fret="0" /&gt;&lt;chordNote time="118.000" string="1" fret="2" /&gt;&lt;chordNote time="118.000" string="2" fret="2" /&gt;&lt;/chord&gt;</t>
  </si>
  <si>
    <t xml:space="preserve">        &lt;chord time="118.250" chordId="0" highDensity="1" &gt;&lt;chordNote time="118.250" string="0" fret="0" /&gt;&lt;chordNote time="118.250" string="1" fret="2" /&gt;&lt;chordNote time="118.250" string="2" fret="2" /&gt;&lt;/chord&gt;</t>
  </si>
  <si>
    <t xml:space="preserve">        &lt;chord time="119.250" chordId="3" &gt;&lt;chordNote time="119.250" string="0" fret="3" /&gt;&lt;chordNote time="119.250" string="1" fret="5" /&gt;&lt;chordNote time="119.250" string="2" fret="5" /&gt;&lt;/chord&gt;</t>
  </si>
  <si>
    <t xml:space="preserve">        &lt;chord time="119.750" chordId="1" &gt;&lt;chordNote time="119.750" string="0" fret="5" /&gt;&lt;chordNote time="119.750" string="1" fret="7" /&gt;&lt;chordNote time="119.750" string="2" fret="7" /&gt;&lt;/chord&gt;</t>
  </si>
  <si>
    <t xml:space="preserve">        &lt;chord time="120.750" chordId="1" highDensity="1" &gt;&lt;chordNote time="120.750" string="0" fret="5" /&gt;&lt;chordNote time="120.750" string="1" fret="7" /&gt;&lt;chordNote time="120.750" string="2" fret="7" /&gt;&lt;/chord&gt;</t>
  </si>
  <si>
    <t xml:space="preserve">        &lt;chord time="121.000" chordId="2" &gt;&lt;chordNote time="121.000" string="0" fret="7" /&gt;&lt;chordNote time="121.000" string="1" fret="9" /&gt;&lt;chordNote time="121.000" string="2" fret="9" /&gt;&lt;/chord&gt;</t>
  </si>
  <si>
    <t xml:space="preserve">        &lt;chord time="121.500" chordId="3" &gt;&lt;chordNote time="121.500" string="0" fret="3" /&gt;&lt;chordNote time="121.500" string="1" fret="5" /&gt;&lt;chordNote time="121.500" string="2" fret="5" /&gt;&lt;/chord&gt;</t>
  </si>
  <si>
    <t xml:space="preserve">        &lt;chord time="122.500" chordId="0" &gt;&lt;chordNote time="122.500" string="0" fret="0" /&gt;&lt;chordNote time="122.500" string="1" fret="2" /&gt;&lt;chordNote time="122.500" string="2" fret="2" /&gt;&lt;/chord&gt;</t>
  </si>
  <si>
    <t xml:space="preserve">        &lt;chord time="123.500" chordId="3" &gt;&lt;chordNote time="123.500" string="0" fret="3" /&gt;&lt;chordNote time="123.500" string="1" fret="5" /&gt;&lt;chordNote time="123.500" string="2" fret="5" /&gt;&lt;/chord&gt;</t>
  </si>
  <si>
    <t xml:space="preserve">        &lt;chord time="124.500" chordId="1" &gt;&lt;chordNote time="124.500" string="0" fret="5" /&gt;&lt;chordNote time="124.500" string="1" fret="7" /&gt;&lt;chordNote time="124.500" string="2" fret="7" /&gt;&lt;/chord&gt;</t>
  </si>
  <si>
    <t xml:space="preserve">        &lt;chord time="125.000" chordId="2" &gt;&lt;chordNote time="125.000" string="0" fret="7" /&gt;&lt;chordNote time="125.000" string="1" fret="9" /&gt;&lt;chordNote time="125.000" string="2" fret="9" /&gt;&lt;/chord&gt;</t>
  </si>
  <si>
    <t xml:space="preserve">        &lt;chord time="125.500" chordId="3" &gt;&lt;chordNote time="125.500" string="0" fret="3" /&gt;&lt;chordNote time="125.500" string="1" fret="5" /&gt;&lt;chordNote time="125.500" string="2" fret="5" /&gt;&lt;/chord&gt;</t>
  </si>
  <si>
    <t xml:space="preserve">        &lt;chord time="126.500" chordId="0" &gt;&lt;chordNote time="126.500" string="0" fret="0" /&gt;&lt;chordNote time="126.500" string="1" fret="2" /&gt;&lt;chordNote time="126.500" string="2" fret="2" /&gt;&lt;/chord&gt;</t>
  </si>
  <si>
    <t xml:space="preserve">        &lt;chord time="127.500" chordId="3" &gt;&lt;chordNote time="127.500" string="0" fret="3" /&gt;&lt;chordNote time="127.500" string="1" fret="5" /&gt;&lt;chordNote time="127.500" string="2" fret="5" /&gt;&lt;/chord&gt;</t>
  </si>
  <si>
    <t xml:space="preserve">        &lt;chord time="128.500" chordId="1" &gt;&lt;chordNote time="128.500" string="0" fret="5" /&gt;&lt;chordNote time="128.500" string="1" fret="7" /&gt;&lt;chordNote time="128.500" string="2" fret="7" /&gt;&lt;/chord&gt;</t>
  </si>
  <si>
    <t xml:space="preserve">        &lt;chord time="129.000" chordId="2" &gt;&lt;chordNote time="129.000" string="0" fret="7" /&gt;&lt;chordNote time="129.000" string="1" fret="9" /&gt;&lt;chordNote time="129.000" string="2" fret="9" /&gt;&lt;/chord&gt;</t>
  </si>
  <si>
    <t xml:space="preserve">        &lt;chord time="129.500" chordId="3" &gt;&lt;chordNote time="129.500" string="0" fret="3" /&gt;&lt;chordNote time="129.500" string="1" fret="5" /&gt;&lt;chordNote time="129.500" string="2" fret="5" /&gt;&lt;/chord&gt;</t>
  </si>
  <si>
    <t xml:space="preserve">        &lt;chord time="130.500" chordId="0" &gt;&lt;chordNote time="130.500" string="0" fret="0" /&gt;&lt;chordNote time="130.500" string="1" fret="2" /&gt;&lt;chordNote time="130.500" string="2" fret="2" /&gt;&lt;/chord&gt;</t>
  </si>
  <si>
    <t xml:space="preserve">        &lt;chord time="131.500" chordId="3" &gt;&lt;chordNote time="131.500" string="0" fret="3" /&gt;&lt;chordNote time="131.500" string="1" fret="5" /&gt;&lt;chordNote time="131.500" string="2" fret="5" /&gt;&lt;/chord&gt;</t>
  </si>
  <si>
    <t xml:space="preserve">        &lt;chord time="132.500" chordId="1" &gt;&lt;chordNote time="132.500" string="0" fret="5" /&gt;&lt;chordNote time="132.500" string="1" fret="7" /&gt;&lt;chordNote time="132.500" string="2" fret="7" /&gt;&lt;/chord&gt;</t>
  </si>
  <si>
    <t xml:space="preserve">        &lt;chord time="133.000" chordId="2" &gt;&lt;chordNote time="133.000" string="0" fret="7" /&gt;&lt;chordNote time="133.000" string="1" fret="9" /&gt;&lt;chordNote time="133.000" string="2" fret="9" /&gt;&lt;/chord&gt;</t>
  </si>
  <si>
    <t xml:space="preserve">        &lt;chord time="133.500" chordId="3" &gt;&lt;chordNote time="133.500" string="0" fret="3" /&gt;&lt;chordNote time="133.500" string="1" fret="5" /&gt;&lt;chordNote time="133.500" string="2" fret="5" /&gt;&lt;/chord&gt;</t>
  </si>
  <si>
    <t xml:space="preserve">        &lt;chord time="134.500" chordId="0" &gt;&lt;chordNote time="134.500" string="0" fret="0" /&gt;&lt;chordNote time="134.500" string="1" fret="2" /&gt;&lt;chordNote time="134.500" string="2" fret="2" /&gt;&lt;/chord&gt;</t>
  </si>
  <si>
    <t xml:space="preserve">        &lt;chord time="135.500" chordId="3" &gt;&lt;chordNote time="135.500" string="0" fret="3" /&gt;&lt;chordNote time="135.500" string="1" fret="5" /&gt;&lt;chordNote time="135.500" string="2" fret="5" /&gt;&lt;/chord&gt;</t>
  </si>
  <si>
    <t xml:space="preserve">        &lt;chord time="136.500" chordId="1" &gt;&lt;chordNote time="136.500" string="0" fret="5" /&gt;&lt;chordNote time="136.500" string="1" fret="7" /&gt;&lt;chordNote time="136.500" string="2" fret="7" /&gt;&lt;/chord&gt;</t>
  </si>
  <si>
    <t xml:space="preserve">        &lt;chord time="137.000" chordId="2" &gt;&lt;chordNote time="137.000" string="0" fret="7" /&gt;&lt;chordNote time="137.000" string="1" fret="9" /&gt;&lt;chordNote time="137.000" string="2" fret="9" /&gt;&lt;/chord&gt;</t>
  </si>
  <si>
    <t xml:space="preserve">        &lt;chord time="137.500" chordId="3" &gt;&lt;chordNote time="137.500" string="0" fret="3" /&gt;&lt;chordNote time="137.500" string="1" fret="5" /&gt;&lt;chordNote time="137.500" string="2" fret="5" /&gt;&lt;/chord&gt;</t>
  </si>
  <si>
    <t xml:space="preserve">        &lt;chord time="138.000" chordId="0" &gt;&lt;chordNote time="138.000" string="0" fret="0" /&gt;&lt;chordNote time="138.000" string="1" fret="2" /&gt;&lt;chordNote time="138.000" string="2" fret="2" /&gt;&lt;/chord&gt;</t>
  </si>
  <si>
    <t xml:space="preserve">        &lt;chord time="138.250" chordId="0" highDensity="1" &gt;&lt;chordNote time="138.250" string="0" fret="0" /&gt;&lt;chordNote time="138.250" string="1" fret="2" /&gt;&lt;chordNote time="138.250" string="2" fret="2" /&gt;&lt;/chord&gt;</t>
  </si>
  <si>
    <t xml:space="preserve">        &lt;chord time="139.250" chordId="3" linkNext="1" &gt;&lt;chordNote time="139.250" string="0" fret="3" sustain="0.250" linkNext="1" slideTo="2" /&gt;&lt;chordNote time="139.250" string="1" fret="5" sustain="0.250" linkNext="1" slideTo="4" /&gt;&lt;chordNote time="139.250" string="2" fret="5" sustain="0.250" linkNext="1" slideTo="4" /&gt;&lt;/chord&gt;</t>
  </si>
  <si>
    <t xml:space="preserve">        &lt;chord time="139.750" chordId="1" &gt;&lt;chordNote time="139.750" string="0" fret="5" /&gt;&lt;chordNote time="139.750" string="1" fret="7" /&gt;&lt;chordNote time="139.750" string="2" fret="7" /&gt;&lt;/chord&gt;</t>
  </si>
  <si>
    <t xml:space="preserve">        &lt;chord time="140.750" chordId="1" highDensity="1" &gt;&lt;chordNote time="140.750" string="0" fret="5" /&gt;&lt;chordNote time="140.750" string="1" fret="7" /&gt;&lt;chordNote time="140.750" string="2" fret="7" /&gt;&lt;/chord&gt;</t>
  </si>
  <si>
    <t xml:space="preserve">        &lt;chord time="141.000" chordId="2" &gt;&lt;chordNote time="141.000" string="0" fret="7" /&gt;&lt;chordNote time="141.000" string="1" fret="9" /&gt;&lt;chordNote time="141.000" string="2" fret="9" /&gt;&lt;/chord&gt;</t>
  </si>
  <si>
    <t xml:space="preserve">        &lt;chord time="141.500" chordId="3" &gt;&lt;chordNote time="141.500" string="0" fret="3" /&gt;&lt;chordNote time="141.500" string="1" fret="5" /&gt;&lt;chordNote time="141.500" string="2" fret="5" /&gt;&lt;/chord&gt;</t>
  </si>
  <si>
    <t xml:space="preserve">        &lt;chord time="142.000" chordId="0" &gt;&lt;chordNote time="142.000" string="0" fret="0" /&gt;&lt;chordNote time="142.000" string="1" fret="2" /&gt;&lt;chordNote time="142.000" string="2" fret="2" /&gt;&lt;/chord&gt;</t>
  </si>
  <si>
    <t xml:space="preserve">        &lt;chord time="142.250" chordId="0" highDensity="1" &gt;&lt;chordNote time="142.250" string="0" fret="0" /&gt;&lt;chordNote time="142.250" string="1" fret="2" /&gt;&lt;chordNote time="142.250" string="2" fret="2" /&gt;&lt;/chord&gt;</t>
  </si>
  <si>
    <t xml:space="preserve">        &lt;chord time="143.250" chordId="3" linkNext="1" &gt;&lt;chordNote time="143.250" string="0" fret="3" sustain="0.250" linkNext="1" slideTo="2" /&gt;&lt;chordNote time="143.250" string="1" fret="5" sustain="0.250" linkNext="1" slideTo="4" /&gt;&lt;chordNote time="143.250" string="2" fret="5" sustain="0.250" linkNext="1" slideTo="4" /&gt;&lt;/chord&gt;</t>
  </si>
  <si>
    <t xml:space="preserve">        &lt;chord time="143.750" chordId="1" &gt;&lt;chordNote time="143.750" string="0" fret="5" /&gt;&lt;chordNote time="143.750" string="1" fret="7" /&gt;&lt;chordNote time="143.750" string="2" fret="7" /&gt;&lt;/chord&gt;</t>
  </si>
  <si>
    <t xml:space="preserve">        &lt;chord time="144.750" chordId="1" highDensity="1" &gt;&lt;chordNote time="144.750" string="0" fret="5" /&gt;&lt;chordNote time="144.750" string="1" fret="7" /&gt;&lt;chordNote time="144.750" string="2" fret="7" /&gt;&lt;/chord&gt;</t>
  </si>
  <si>
    <t xml:space="preserve">        &lt;chord time="145.000" chordId="2" &gt;&lt;chordNote time="145.000" string="0" fret="7" /&gt;&lt;chordNote time="145.000" string="1" fret="9" /&gt;&lt;chordNote time="145.000" string="2" fret="9" /&gt;&lt;/chord&gt;</t>
  </si>
  <si>
    <t xml:space="preserve">        &lt;chord time="145.500" chordId="3" &gt;&lt;chordNote time="145.500" string="0" fret="3" /&gt;&lt;chordNote time="145.500" string="1" fret="5" /&gt;&lt;chordNote time="145.500" string="2" fret="5" /&gt;&lt;/chord&gt;</t>
  </si>
  <si>
    <t xml:space="preserve">        &lt;chord time="146.000" chordId="0" &gt;&lt;chordNote time="146.000" string="0" fret="0" /&gt;&lt;chordNote time="146.000" string="1" fret="2" /&gt;&lt;chordNote time="146.000" string="2" fret="2" /&gt;&lt;/chord&gt;</t>
  </si>
  <si>
    <t xml:space="preserve">        &lt;chord time="146.250" chordId="0" highDensity="1" &gt;&lt;chordNote time="146.250" string="0" fret="0" /&gt;&lt;chordNote time="146.250" string="1" fret="2" /&gt;&lt;chordNote time="146.250" string="2" fret="2" /&gt;&lt;/chord&gt;</t>
  </si>
  <si>
    <t xml:space="preserve">        &lt;chord time="147.250" chordId="3" linkNext="1" &gt;&lt;chordNote time="147.250" string="0" fret="3" sustain="0.250" linkNext="1" slideTo="2" /&gt;&lt;chordNote time="147.250" string="1" fret="5" sustain="0.250" linkNext="1" slideTo="4" /&gt;&lt;chordNote time="147.250" string="2" fret="5" sustain="0.250" linkNext="1" slideTo="4" /&gt;&lt;/chord&gt;</t>
  </si>
  <si>
    <t xml:space="preserve">        &lt;chord time="147.750" chordId="1" &gt;&lt;chordNote time="147.750" string="0" fret="5" /&gt;&lt;chordNote time="147.750" string="1" fret="7" /&gt;&lt;chordNote time="147.750" string="2" fret="7" /&gt;&lt;/chord&gt;</t>
  </si>
  <si>
    <t xml:space="preserve">        &lt;chord time="148.750" chordId="1" highDensity="1" &gt;&lt;chordNote time="148.750" string="0" fret="5" /&gt;&lt;chordNote time="148.750" string="1" fret="7" /&gt;&lt;chordNote time="148.750" string="2" fret="7" /&gt;&lt;/chord&gt;</t>
  </si>
  <si>
    <t xml:space="preserve">        &lt;chord time="149.000" chordId="2" &gt;&lt;chordNote time="149.000" string="0" fret="7" /&gt;&lt;chordNote time="149.000" string="1" fret="9" /&gt;&lt;chordNote time="149.000" string="2" fret="9" /&gt;&lt;/chord&gt;</t>
  </si>
  <si>
    <t xml:space="preserve">        &lt;chord time="149.500" chordId="3" &gt;&lt;chordNote time="149.500" string="0" fret="3" /&gt;&lt;chordNote time="149.500" string="1" fret="5" /&gt;&lt;chordNote time="149.500" string="2" fret="5" /&gt;&lt;/chord&gt;</t>
  </si>
  <si>
    <t xml:space="preserve">        &lt;chord time="150.000" chordId="0" &gt;&lt;chordNote time="150.000" string="0" fret="0" /&gt;&lt;chordNote time="150.000" string="1" fret="2" /&gt;&lt;chordNote time="150.000" string="2" fret="2" /&gt;&lt;/chord&gt;</t>
  </si>
  <si>
    <t xml:space="preserve">        &lt;chord time="150.250" chordId="0" highDensity="1" &gt;&lt;chordNote time="150.250" string="0" fret="0" /&gt;&lt;chordNote time="150.250" string="1" fret="2" /&gt;&lt;chordNote time="150.250" string="2" fret="2" /&gt;&lt;/chord&gt;</t>
  </si>
  <si>
    <t xml:space="preserve">        &lt;chord time="151.250" chordId="3" linkNext="1" &gt;&lt;chordNote time="151.250" string="0" fret="3" sustain="0.250" linkNext="1" slideTo="2" /&gt;&lt;chordNote time="151.250" string="1" fret="5" sustain="0.250" linkNext="1" slideTo="4" /&gt;&lt;chordNote time="151.250" string="2" fret="5" sustain="0.250" linkNext="1" slideTo="4" /&gt;&lt;/chord&gt;</t>
  </si>
  <si>
    <t xml:space="preserve">        &lt;chord time="151.750" chordId="1" &gt;&lt;chordNote time="151.750" string="0" fret="5" /&gt;&lt;chordNote time="151.750" string="1" fret="7" /&gt;&lt;chordNote time="151.750" string="2" fret="7" /&gt;&lt;/chord&gt;</t>
  </si>
  <si>
    <t xml:space="preserve">        &lt;chord time="152.750" chordId="1" highDensity="1" &gt;&lt;chordNote time="152.750" string="0" fret="5" /&gt;&lt;chordNote time="152.750" string="1" fret="7" /&gt;&lt;chordNote time="152.750" string="2" fret="7" /&gt;&lt;/chord&gt;</t>
  </si>
  <si>
    <t xml:space="preserve">        &lt;chord time="153.000" chordId="2" &gt;&lt;chordNote time="153.000" string="0" fret="7" /&gt;&lt;chordNote time="153.000" string="1" fret="9" /&gt;&lt;chordNote time="153.000" string="2" fret="9" /&gt;&lt;/chord&gt;</t>
  </si>
  <si>
    <t xml:space="preserve">        &lt;chord time="153.500" chordId="3" &gt;&lt;chordNote time="153.500" string="0" fret="3" /&gt;&lt;chordNote time="153.500" string="1" fret="5" /&gt;&lt;chordNote time="153.500" string="2" fret="5" /&gt;&lt;/chord&gt;</t>
  </si>
  <si>
    <t xml:space="preserve">        &lt;chord time="154.000" chordId="0" &gt;&lt;chordNote time="154.000" string="0" fret="0" /&gt;&lt;chordNote time="154.000" string="1" fret="2" /&gt;&lt;chordNote time="154.000" string="2" fret="2" /&gt;&lt;/chord&gt;</t>
  </si>
  <si>
    <t xml:space="preserve">        &lt;chord time="154.250" chordId="0" highDensity="1" &gt;&lt;chordNote time="154.250" string="0" fret="0" /&gt;&lt;chordNote time="154.250" string="1" fret="2" /&gt;&lt;chordNote time="154.250" string="2" fret="2" /&gt;&lt;/chord&gt;</t>
  </si>
  <si>
    <t xml:space="preserve">        &lt;chord time="155.250" chordId="3" linkNext="1" &gt;&lt;chordNote time="155.250" string="0" fret="3" sustain="0.250" linkNext="1" slideTo="2" /&gt;&lt;chordNote time="155.250" string="1" fret="5" sustain="0.250" linkNext="1" slideTo="4" /&gt;&lt;chordNote time="155.250" string="2" fret="5" sustain="0.250" linkNext="1" slideTo="4" /&gt;&lt;/chord&gt;</t>
  </si>
  <si>
    <t xml:space="preserve">        &lt;chord time="155.750" chordId="1" &gt;&lt;chordNote time="155.750" string="0" fret="5" /&gt;&lt;chordNote time="155.750" string="1" fret="7" /&gt;&lt;chordNote time="155.750" string="2" fret="7" /&gt;&lt;/chord&gt;</t>
  </si>
  <si>
    <t xml:space="preserve">        &lt;chord time="156.750" chordId="1" highDensity="1" &gt;&lt;chordNote time="156.750" string="0" fret="5" /&gt;&lt;chordNote time="156.750" string="1" fret="7" /&gt;&lt;chordNote time="156.750" string="2" fret="7" /&gt;&lt;/chord&gt;</t>
  </si>
  <si>
    <t xml:space="preserve">        &lt;chord time="157.000" chordId="2" &gt;&lt;chordNote time="157.000" string="0" fret="7" /&gt;&lt;chordNote time="157.000" string="1" fret="9" /&gt;&lt;chordNote time="157.000" string="2" fret="9" /&gt;&lt;/chord&gt;</t>
  </si>
  <si>
    <t xml:space="preserve">        &lt;chord time="157.500" chordId="3" &gt;&lt;chordNote time="157.500" string="0" fret="3" /&gt;&lt;chordNote time="157.500" string="1" fret="5" /&gt;&lt;chordNote time="157.500" string="2" fret="5" /&gt;&lt;/chord&gt;</t>
  </si>
  <si>
    <t xml:space="preserve">        &lt;chord time="158.000" chordId="0" &gt;&lt;chordNote time="158.000" string="0" fret="0" /&gt;&lt;chordNote time="158.000" string="1" fret="2" /&gt;&lt;chordNote time="158.000" string="2" fret="2" /&gt;&lt;/chord&gt;</t>
  </si>
  <si>
    <t xml:space="preserve">        &lt;chord time="158.250" chordId="0" highDensity="1" &gt;&lt;chordNote time="158.250" string="0" fret="0" /&gt;&lt;chordNote time="158.250" string="1" fret="2" /&gt;&lt;chordNote time="158.250" string="2" fret="2" /&gt;&lt;/chord&gt;</t>
  </si>
  <si>
    <t xml:space="preserve">        &lt;chord time="159.250" chordId="3" linkNext="1" &gt;&lt;chordNote time="159.250" string="0" fret="3" sustain="0.250" linkNext="1" slideTo="2" /&gt;&lt;chordNote time="159.250" string="1" fret="5" sustain="0.250" linkNext="1" slideTo="4" /&gt;&lt;chordNote time="159.250" string="2" fret="5" sustain="0.250" linkNext="1" slideTo="4" /&gt;&lt;/chord&gt;</t>
  </si>
  <si>
    <t xml:space="preserve">        &lt;chord time="159.750" chordId="1" &gt;&lt;chordNote time="159.750" string="0" fret="5" /&gt;&lt;chordNote time="159.750" string="1" fret="7" /&gt;&lt;chordNote time="159.750" string="2" fret="7" /&gt;&lt;/chord&gt;</t>
  </si>
  <si>
    <t xml:space="preserve">        &lt;chord time="160.750" chordId="1" highDensity="1" &gt;&lt;chordNote time="160.750" string="0" fret="5" /&gt;&lt;chordNote time="160.750" string="1" fret="7" /&gt;&lt;chordNote time="160.750" string="2" fret="7" /&gt;&lt;/chord&gt;</t>
  </si>
  <si>
    <t xml:space="preserve">        &lt;chord time="161.000" chordId="2" &gt;&lt;chordNote time="161.000" string="0" fret="7" /&gt;&lt;chordNote time="161.000" string="1" fret="9" /&gt;&lt;chordNote time="161.000" string="2" fret="9" /&gt;&lt;/chord&gt;</t>
  </si>
  <si>
    <t xml:space="preserve">        &lt;chord time="161.500" chordId="3" &gt;&lt;chordNote time="161.500" string="0" fret="3" /&gt;&lt;chordNote time="161.500" string="1" fret="5" /&gt;&lt;chordNote time="161.500" string="2" fret="5" /&gt;&lt;/chord&gt;</t>
  </si>
  <si>
    <t xml:space="preserve">        &lt;chord time="162.000" chordId="0" &gt;&lt;chordNote time="162.000" string="0" fret="0" /&gt;&lt;chordNote time="162.000" string="1" fret="2" /&gt;&lt;chordNote time="162.000" string="2" fret="2" /&gt;&lt;/chord&gt;</t>
  </si>
  <si>
    <t xml:space="preserve">        &lt;chord time="162.250" chordId="0" highDensity="1" &gt;&lt;chordNote time="162.250" string="0" fret="0" /&gt;&lt;chordNote time="162.250" string="1" fret="2" /&gt;&lt;chordNote time="162.250" string="2" fret="2" /&gt;&lt;/chord&gt;</t>
  </si>
  <si>
    <t xml:space="preserve">        &lt;chord time="163.250" chordId="3" linkNext="1" &gt;&lt;chordNote time="163.250" string="0" fret="3" sustain="0.250" linkNext="1" slideTo="2" /&gt;&lt;chordNote time="163.250" string="1" fret="5" sustain="0.250" linkNext="1" slideTo="4" /&gt;&lt;chordNote time="163.250" string="2" fret="5" sustain="0.250" linkNext="1" slideTo="4" /&gt;&lt;/chord&gt;</t>
  </si>
  <si>
    <t xml:space="preserve">        &lt;chord time="163.750" chordId="1" &gt;&lt;chordNote time="163.750" string="0" fret="5" /&gt;&lt;chordNote time="163.750" string="1" fret="7" /&gt;&lt;chordNote time="163.750" string="2" fret="7" /&gt;&lt;/chord&gt;</t>
  </si>
  <si>
    <t xml:space="preserve">        &lt;chord time="164.750" chordId="1" highDensity="1" &gt;&lt;chordNote time="164.750" string="0" fret="5" /&gt;&lt;chordNote time="164.750" string="1" fret="7" /&gt;&lt;chordNote time="164.750" string="2" fret="7" /&gt;&lt;/chord&gt;</t>
  </si>
  <si>
    <t xml:space="preserve">        &lt;chord time="165.000" chordId="2" &gt;&lt;chordNote time="165.000" string="0" fret="7" /&gt;&lt;chordNote time="165.000" string="1" fret="9" /&gt;&lt;chordNote time="165.000" string="2" fret="9" /&gt;&lt;/chord&gt;</t>
  </si>
  <si>
    <t xml:space="preserve">        &lt;chord time="165.500" chordId="3" &gt;&lt;chordNote time="165.500" string="0" fret="3" /&gt;&lt;chordNote time="165.500" string="1" fret="5" /&gt;&lt;chordNote time="165.500" string="2" fret="5" /&gt;&lt;/chord&gt;</t>
  </si>
  <si>
    <t xml:space="preserve">        &lt;chord time="166.000" chordId="0" &gt;&lt;chordNote time="166.000" string="0" fret="0" /&gt;&lt;chordNote time="166.000" string="1" fret="2" /&gt;&lt;chordNote time="166.000" string="2" fret="2" /&gt;&lt;/chord&gt;</t>
  </si>
  <si>
    <t xml:space="preserve">        &lt;chord time="166.250" chordId="0" highDensity="1" &gt;&lt;chordNote time="166.250" string="0" fret="0" /&gt;&lt;chordNote time="166.250" string="1" fret="2" /&gt;&lt;chordNote time="166.250" string="2" fret="2" /&gt;&lt;/chord&gt;</t>
  </si>
  <si>
    <t xml:space="preserve">        &lt;chord time="167.250" chordId="3" linkNext="1" &gt;&lt;chordNote time="167.250" string="0" fret="3" sustain="0.250" linkNext="1" slideTo="2" /&gt;&lt;chordNote time="167.250" string="1" fret="5" sustain="0.250" linkNext="1" slideTo="4" /&gt;&lt;chordNote time="167.250" string="2" fret="5" sustain="0.250" linkNext="1" slideTo="4" /&gt;&lt;/chord&gt;</t>
  </si>
  <si>
    <t xml:space="preserve">        &lt;chord time="167.750" chordId="1" &gt;&lt;chordNote time="167.750" string="0" fret="5" /&gt;&lt;chordNote time="167.750" string="1" fret="7" /&gt;&lt;chordNote time="167.750" string="2" fret="7" /&gt;&lt;/chord&gt;</t>
  </si>
  <si>
    <t xml:space="preserve">        &lt;chord time="168.750" chordId="1" highDensity="1" &gt;&lt;chordNote time="168.750" string="0" fret="5" /&gt;&lt;chordNote time="168.750" string="1" fret="7" /&gt;&lt;chordNote time="168.750" string="2" fret="7" /&gt;&lt;/chord&gt;</t>
  </si>
  <si>
    <t xml:space="preserve">        &lt;chord time="169.000" chordId="2" &gt;&lt;chordNote time="169.000" string="0" fret="7" /&gt;&lt;chordNote time="169.000" string="1" fret="9" /&gt;&lt;chordNote time="169.000" string="2" fret="9" /&gt;&lt;/chord&gt;</t>
  </si>
  <si>
    <t xml:space="preserve">        &lt;chord time="169.500" chordId="3" &gt;&lt;chordNote time="169.500" string="0" fret="3" /&gt;&lt;chordNote time="169.500" string="1" fret="5" /&gt;&lt;chordNote time="169.500" string="2" fret="5" /&gt;&lt;/chord&gt;</t>
  </si>
  <si>
    <t xml:space="preserve">        &lt;chord time="170.000" chordId="0" &gt;&lt;chordNote time="170.000" string="0" fret="0" /&gt;&lt;chordNote time="170.000" string="1" fret="2" /&gt;&lt;chordNote time="170.000" string="2" fret="2" /&gt;&lt;/chord&gt;</t>
  </si>
  <si>
    <t xml:space="preserve">        &lt;chord time="170.250" chordId="0" highDensity="1" &gt;&lt;chordNote time="170.250" string="0" fret="0" /&gt;&lt;chordNote time="170.250" string="1" fret="2" /&gt;&lt;chordNote time="170.250" string="2" fret="2" /&gt;&lt;/chord&gt;</t>
  </si>
  <si>
    <t xml:space="preserve">        &lt;chord time="171.250" chordId="3" linkNext="1" &gt;&lt;chordNote time="171.250" string="0" fret="3" sustain="0.250" linkNext="1" slideTo="2" /&gt;&lt;chordNote time="171.250" string="1" fret="5" sustain="0.250" linkNext="1" slideTo="4" /&gt;&lt;chordNote time="171.250" string="2" fret="5" sustain="0.250" linkNext="1" slideTo="4" /&gt;&lt;/chord&gt;</t>
  </si>
  <si>
    <t xml:space="preserve">        &lt;chord time="171.750" chordId="1" &gt;&lt;chordNote time="171.750" string="0" fret="5" /&gt;&lt;chordNote time="171.750" string="1" fret="7" /&gt;&lt;chordNote time="171.750" string="2" fret="7" /&gt;&lt;/chord&gt;</t>
  </si>
  <si>
    <t xml:space="preserve">        &lt;chord time="172.750" chordId="1" highDensity="1" &gt;&lt;chordNote time="172.750" string="0" fret="5" /&gt;&lt;chordNote time="172.750" string="1" fret="7" /&gt;&lt;chordNote time="172.750" string="2" fret="7" /&gt;&lt;/chord&gt;</t>
  </si>
  <si>
    <t xml:space="preserve">        &lt;chord time="173.000" chordId="2" &gt;&lt;chordNote time="173.000" string="0" fret="7" /&gt;&lt;chordNote time="173.000" string="1" fret="9" /&gt;&lt;chordNote time="173.000" string="2" fret="9" /&gt;&lt;/chord&gt;</t>
  </si>
  <si>
    <t xml:space="preserve">        &lt;chord time="173.500" chordId="3" &gt;&lt;chordNote time="173.500" string="0" fret="3" /&gt;&lt;chordNote time="173.500" string="1" fret="5" /&gt;&lt;chordNote time="173.500" string="2" fret="5" /&gt;&lt;/chord&gt;</t>
  </si>
  <si>
    <t xml:space="preserve">        &lt;chord time="174.000" chordId="0" &gt;&lt;chordNote time="174.000" string="0" fret="0" /&gt;&lt;chordNote time="174.000" string="1" fret="2" /&gt;&lt;chordNote time="174.000" string="2" fret="2" /&gt;&lt;/chord&gt;</t>
  </si>
  <si>
    <t xml:space="preserve">        &lt;chord time="174.250" chordId="0" highDensity="1" &gt;&lt;chordNote time="174.250" string="0" fret="0" /&gt;&lt;chordNote time="174.250" string="1" fret="2" /&gt;&lt;chordNote time="174.250" string="2" fret="2" /&gt;&lt;/chord&gt;</t>
  </si>
  <si>
    <t xml:space="preserve">        &lt;chord time="175.250" chordId="3" linkNext="1" &gt;&lt;chordNote time="175.250" string="0" fret="3" sustain="0.250" linkNext="1" slideTo="2" /&gt;&lt;chordNote time="175.250" string="1" fret="5" sustain="0.250" linkNext="1" slideTo="4" /&gt;&lt;chordNote time="175.250" string="2" fret="5" sustain="0.250" linkNext="1" slideTo="4" /&gt;&lt;/chord&gt;</t>
  </si>
  <si>
    <t xml:space="preserve">        &lt;chord time="175.750" chordId="1" &gt;&lt;chordNote time="175.750" string="0" fret="5" /&gt;&lt;chordNote time="175.750" string="1" fret="7" /&gt;&lt;chordNote time="175.750" string="2" fret="7" /&gt;&lt;/chord&gt;</t>
  </si>
  <si>
    <t xml:space="preserve">        &lt;chord time="176.750" chordId="1" highDensity="1" &gt;&lt;chordNote time="176.750" string="0" fret="5" /&gt;&lt;chordNote time="176.750" string="1" fret="7" /&gt;&lt;chordNote time="176.750" string="2" fret="7" /&gt;&lt;/chord&gt;</t>
  </si>
  <si>
    <t xml:space="preserve">        &lt;chord time="177.000" chordId="2" &gt;&lt;chordNote time="177.000" string="0" fret="7" /&gt;&lt;chordNote time="177.000" string="1" fret="9" /&gt;&lt;chordNote time="177.000" string="2" fret="9" /&gt;&lt;/chord&gt;</t>
  </si>
  <si>
    <t xml:space="preserve">        &lt;chord time="177.500" chordId="3" &gt;&lt;chordNote time="177.500" string="0" fret="3" /&gt;&lt;chordNote time="177.500" string="1" fret="5" /&gt;&lt;chordNote time="177.500" string="2" fret="5" /&gt;&lt;/chord&gt;</t>
  </si>
  <si>
    <t xml:space="preserve">        &lt;chord time="178.000" chordId="0" &gt;&lt;chordNote time="178.000" string="0" fret="0" /&gt;&lt;chordNote time="178.000" string="1" fret="2" /&gt;&lt;chordNote time="178.000" string="2" fret="2" /&gt;&lt;/chord&gt;</t>
  </si>
  <si>
    <t xml:space="preserve">        &lt;chord time="178.250" chordId="0" highDensity="1" &gt;&lt;chordNote time="178.250" string="0" fret="0" /&gt;&lt;chordNote time="178.250" string="1" fret="2" /&gt;&lt;chordNote time="178.250" string="2" fret="2" /&gt;&lt;/chord&gt;</t>
  </si>
  <si>
    <t xml:space="preserve">        &lt;chord time="179.250" chordId="3" linkNext="1" &gt;&lt;chordNote time="179.250" string="0" fret="3" sustain="0.250" linkNext="1" slideTo="2" /&gt;&lt;chordNote time="179.250" string="1" fret="5" sustain="0.250" linkNext="1" slideTo="4" /&gt;&lt;chordNote time="179.250" string="2" fret="5" sustain="0.250" linkNext="1" slideTo="4" /&gt;&lt;/chord&gt;</t>
  </si>
  <si>
    <t xml:space="preserve">        &lt;chord time="179.750" chordId="1" &gt;&lt;chordNote time="179.750" string="0" fret="5" /&gt;&lt;chordNote time="179.750" string="1" fret="7" /&gt;&lt;chordNote time="179.750" string="2" fret="7" /&gt;&lt;/chord&gt;</t>
  </si>
  <si>
    <t xml:space="preserve">        &lt;chord time="180.750" chordId="1" highDensity="1" &gt;&lt;chordNote time="180.750" string="0" fret="5" /&gt;&lt;chordNote time="180.750" string="1" fret="7" /&gt;&lt;chordNote time="180.750" string="2" fret="7" /&gt;&lt;/chord&gt;</t>
  </si>
  <si>
    <t xml:space="preserve">        &lt;chord time="181.000" chordId="2" &gt;&lt;chordNote time="181.000" string="0" fret="7" /&gt;&lt;chordNote time="181.000" string="1" fret="9" /&gt;&lt;chordNote time="181.000" string="2" fret="9" /&gt;&lt;/chord&gt;</t>
  </si>
  <si>
    <t xml:space="preserve">        &lt;chord time="181.500" chordId="3" &gt;&lt;chordNote time="181.500" string="0" fret="3" /&gt;&lt;chordNote time="181.500" string="1" fret="5" /&gt;&lt;chordNote time="181.500" string="2" fret="5" /&gt;&lt;/chord&gt;</t>
  </si>
  <si>
    <t xml:space="preserve">        &lt;chord time="182.000" chordId="0" &gt;&lt;chordNote time="182.000" string="0" fret="0" /&gt;&lt;chordNote time="182.000" string="1" fret="2" /&gt;&lt;chordNote time="182.000" string="2" fret="2" /&gt;&lt;/chord&gt;</t>
  </si>
  <si>
    <t xml:space="preserve">        &lt;chord time="182.250" chordId="0" highDensity="1" &gt;&lt;chordNote time="182.250" string="0" fret="0" /&gt;&lt;chordNote time="182.250" string="1" fret="2" /&gt;&lt;chordNote time="182.250" string="2" fret="2" /&gt;&lt;/chord&gt;</t>
  </si>
  <si>
    <t xml:space="preserve">        &lt;chord time="183.250" chordId="3" linkNext="1" &gt;&lt;chordNote time="183.250" string="0" fret="3" sustain="0.250" linkNext="1" slideTo="2" /&gt;&lt;chordNote time="183.250" string="1" fret="5" sustain="0.250" linkNext="1" slideTo="4" /&gt;&lt;chordNote time="183.250" string="2" fret="5" sustain="0.250" linkNext="1" slideTo="4" /&gt;&lt;/chord&gt;</t>
  </si>
  <si>
    <t xml:space="preserve">        &lt;chord time="183.750" chordId="1" &gt;&lt;chordNote time="183.750" string="0" fret="5" /&gt;&lt;chordNote time="183.750" string="1" fret="7" /&gt;&lt;chordNote time="183.750" string="2" fret="7" /&gt;&lt;/chord&gt;</t>
  </si>
  <si>
    <t xml:space="preserve">        &lt;chord time="184.750" chordId="1" highDensity="1" &gt;&lt;chordNote time="184.750" string="0" fret="5" /&gt;&lt;chordNote time="184.750" string="1" fret="7" /&gt;&lt;chordNote time="184.750" string="2" fret="7" /&gt;&lt;/chord&gt;</t>
  </si>
  <si>
    <t xml:space="preserve">        &lt;chord time="185.000" chordId="2" &gt;&lt;chordNote time="185.000" string="0" fret="7" /&gt;&lt;chordNote time="185.000" string="1" fret="9" /&gt;&lt;chordNote time="185.000" string="2" fret="9" /&gt;&lt;/chord&gt;</t>
  </si>
  <si>
    <t xml:space="preserve">        &lt;chord time="185.500" chordId="3" &gt;&lt;chordNote time="185.500" string="0" fret="3" /&gt;&lt;chordNote time="185.500" string="1" fret="5" /&gt;&lt;chordNote time="185.500" string="2" fret="5" /&gt;&lt;/chord&gt;</t>
  </si>
  <si>
    <t xml:space="preserve">        &lt;chord time="186.000" chordId="0" &gt;&lt;chordNote time="186.000" string="0" fret="0" /&gt;&lt;chordNote time="186.000" string="1" fret="2" /&gt;&lt;chordNote time="186.000" string="2" fret="2" /&gt;&lt;/chord&gt;</t>
  </si>
  <si>
    <t xml:space="preserve">        &lt;chord time="186.250" chordId="0" highDensity="1" &gt;&lt;chordNote time="186.250" string="0" fret="0" /&gt;&lt;chordNote time="186.250" string="1" fret="2" /&gt;&lt;chordNote time="186.250" string="2" fret="2" /&gt;&lt;/chord&gt;</t>
  </si>
  <si>
    <t xml:space="preserve">        &lt;chord time="187.250" chordId="3" linkNext="1" &gt;&lt;chordNote time="187.250" string="0" fret="3" sustain="0.250" linkNext="1" slideTo="2" /&gt;&lt;chordNote time="187.250" string="1" fret="5" sustain="0.250" linkNext="1" slideTo="4" /&gt;&lt;chordNote time="187.250" string="2" fret="5" sustain="0.250" linkNext="1" slideTo="4" /&gt;&lt;/chord&gt;</t>
  </si>
  <si>
    <t xml:space="preserve">        &lt;chord time="187.750" chordId="1" &gt;&lt;chordNote time="187.750" string="0" fret="5" /&gt;&lt;chordNote time="187.750" string="1" fret="7" /&gt;&lt;chordNote time="187.750" string="2" fret="7" /&gt;&lt;/chord&gt;</t>
  </si>
  <si>
    <t xml:space="preserve">        &lt;chord time="188.750" chordId="1" highDensity="1" &gt;&lt;chordNote time="188.750" string="0" fret="5" /&gt;&lt;chordNote time="188.750" string="1" fret="7" /&gt;&lt;chordNote time="188.750" string="2" fret="7" /&gt;&lt;/chord&gt;</t>
  </si>
  <si>
    <t xml:space="preserve">        &lt;chord time="189.000" chordId="2" &gt;&lt;chordNote time="189.000" string="0" fret="7" /&gt;&lt;chordNote time="189.000" string="1" fret="9" /&gt;&lt;chordNote time="189.000" string="2" fret="9" /&gt;&lt;/chord&gt;</t>
  </si>
  <si>
    <t xml:space="preserve">        &lt;chord time="189.500" chordId="3" &gt;&lt;chordNote time="189.500" string="0" fret="3" /&gt;&lt;chordNote time="189.500" string="1" fret="5" /&gt;&lt;chordNote time="189.500" string="2" fret="5" /&gt;&lt;/chord&gt;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</si>
</sst>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D222-136E-4DB5-9A14-9F24D0B8250F}">
  <dimension ref="A1:K962"/>
  <sheetViews>
    <sheetView zoomScale="80" zoomScaleNormal="80" workbookViewId="0">
      <selection activeCell="F2" sqref="F2"/>
    </sheetView>
  </sheetViews>
  <sheetFormatPr defaultRowHeight="14.25" x14ac:dyDescent="0.45"/>
  <cols>
    <col min="2" max="2" width="14.86328125" bestFit="1" customWidth="1"/>
    <col min="4" max="5" width="9.06640625" style="3"/>
    <col min="8" max="8" width="86.9296875" customWidth="1"/>
    <col min="9" max="9" width="27.86328125" customWidth="1"/>
    <col min="10" max="10" width="11.33203125" customWidth="1"/>
  </cols>
  <sheetData>
    <row r="1" spans="1:11" x14ac:dyDescent="0.45">
      <c r="A1" t="str">
        <f>SUBSTITUTE(G1,F1,TEXT(D1,"0.000"))</f>
        <v>&lt;note time="0.200.0.2000.2000.200" string="3" fret="6" /&gt;</v>
      </c>
      <c r="B1" s="2" t="s">
        <v>0</v>
      </c>
      <c r="C1" s="4">
        <f>220.4+E1</f>
        <v>220.6</v>
      </c>
      <c r="D1" s="3">
        <f>ROUNDDOWN(E1-($C$3*(E1-$E$1)/100),3)</f>
        <v>0.2</v>
      </c>
      <c r="E1" s="3">
        <f>0.2+F1</f>
        <v>0.2</v>
      </c>
      <c r="F1" s="3">
        <v>0</v>
      </c>
      <c r="G1" t="s">
        <v>4</v>
      </c>
      <c r="I1" t="str">
        <f>SUBSTITUTE(K1,J1,TEXT(D1,"0.000"))</f>
        <v>&lt;note time="0.200" string="1" fret="4" /&gt;</v>
      </c>
      <c r="J1" t="str">
        <f>RIGHT(LEFT(K1,17),5)</f>
        <v>0.000</v>
      </c>
      <c r="K1" t="s">
        <v>968</v>
      </c>
    </row>
    <row r="2" spans="1:11" x14ac:dyDescent="0.45">
      <c r="A2" t="str">
        <f t="shared" ref="A2:A65" si="0">SUBSTITUTE(G2,F2,TEXT(D2,"0.000"))</f>
        <v>&lt;note time="0.356" string="3" fret="4" /&gt;</v>
      </c>
      <c r="B2" s="2" t="s">
        <v>1</v>
      </c>
      <c r="C2" s="4">
        <f>E962-C1</f>
        <v>-44.400000000000006</v>
      </c>
      <c r="D2" s="3">
        <f t="shared" ref="D2:D65" si="1">ROUNDDOWN(E2-($C$3*(E2-$E$1)/100),3)</f>
        <v>0.35599999999999998</v>
      </c>
      <c r="E2" s="3">
        <f t="shared" ref="E2:E65" si="2">0.2+F2</f>
        <v>0.32500000000000001</v>
      </c>
      <c r="F2" t="str">
        <f t="shared" ref="F2:F33" si="3">RIGHT(LEFT(G2,17),5)</f>
        <v>0.125</v>
      </c>
      <c r="G2" t="s">
        <v>5</v>
      </c>
      <c r="I2" t="str">
        <f t="shared" ref="I2:I65" si="4">SUBSTITUTE(K2,J2,TEXT(D2,"0.000"))</f>
        <v>&lt;note time="0.356" string="1" fret="4" /&gt;</v>
      </c>
      <c r="J2" t="str">
        <f t="shared" ref="J2:J65" si="5">RIGHT(LEFT(K2,17),5)</f>
        <v>0.125</v>
      </c>
      <c r="K2" t="s">
        <v>969</v>
      </c>
    </row>
    <row r="3" spans="1:11" x14ac:dyDescent="0.45">
      <c r="A3" t="str">
        <f t="shared" si="0"/>
        <v>&lt;note time="0.512" string="2" fret="6" /&gt;</v>
      </c>
      <c r="B3" s="2" t="s">
        <v>2</v>
      </c>
      <c r="C3" s="2">
        <f>C2*100/$E$962</f>
        <v>-25.198637911464253</v>
      </c>
      <c r="D3" s="3">
        <f t="shared" si="1"/>
        <v>0.51200000000000001</v>
      </c>
      <c r="E3" s="3">
        <f t="shared" si="2"/>
        <v>0.45</v>
      </c>
      <c r="F3" t="str">
        <f t="shared" si="3"/>
        <v>0.250</v>
      </c>
      <c r="G3" t="s">
        <v>6</v>
      </c>
      <c r="I3" t="str">
        <f t="shared" si="4"/>
        <v>&lt;note time="0.512" string="1" fret="4" /&gt;</v>
      </c>
      <c r="J3" t="str">
        <f t="shared" si="5"/>
        <v>0.250</v>
      </c>
      <c r="K3" t="s">
        <v>970</v>
      </c>
    </row>
    <row r="4" spans="1:11" x14ac:dyDescent="0.45">
      <c r="A4" t="str">
        <f t="shared" si="0"/>
        <v>&lt;note time="0.669" string="2" fret="4" /&gt;</v>
      </c>
      <c r="B4" s="2" t="s">
        <v>3</v>
      </c>
      <c r="C4" s="2">
        <v>0</v>
      </c>
      <c r="D4" s="3">
        <f t="shared" si="1"/>
        <v>0.66900000000000004</v>
      </c>
      <c r="E4" s="3">
        <f t="shared" si="2"/>
        <v>0.57499999999999996</v>
      </c>
      <c r="F4" t="str">
        <f t="shared" si="3"/>
        <v>0.375</v>
      </c>
      <c r="G4" t="s">
        <v>7</v>
      </c>
      <c r="I4" t="str">
        <f t="shared" si="4"/>
        <v>&lt;note time="0.669" string="1" fret="4" /&gt;</v>
      </c>
      <c r="J4" t="str">
        <f t="shared" si="5"/>
        <v>0.375</v>
      </c>
      <c r="K4" t="s">
        <v>971</v>
      </c>
    </row>
    <row r="5" spans="1:11" x14ac:dyDescent="0.45">
      <c r="A5" t="str">
        <f t="shared" si="0"/>
        <v>&lt;note time="0.825" string="1" fret="6" palmMute="1" /&gt;</v>
      </c>
      <c r="B5" s="2" t="s">
        <v>965</v>
      </c>
      <c r="C5" s="3">
        <f>D1</f>
        <v>0.2</v>
      </c>
      <c r="D5" s="3">
        <f t="shared" si="1"/>
        <v>0.82499999999999996</v>
      </c>
      <c r="E5" s="3">
        <f t="shared" si="2"/>
        <v>0.7</v>
      </c>
      <c r="F5" t="str">
        <f t="shared" si="3"/>
        <v>0.500</v>
      </c>
      <c r="G5" t="s">
        <v>8</v>
      </c>
      <c r="I5" t="str">
        <f t="shared" si="4"/>
        <v>&lt;note time="0.825" string="1" fret="4" /&gt;</v>
      </c>
      <c r="J5" t="str">
        <f t="shared" si="5"/>
        <v>0.500</v>
      </c>
      <c r="K5" t="s">
        <v>972</v>
      </c>
    </row>
    <row r="6" spans="1:11" x14ac:dyDescent="0.45">
      <c r="A6" t="str">
        <f t="shared" si="0"/>
        <v>&lt;note time="0.982" string="1" fret="7" palmMute="1" /&gt;</v>
      </c>
      <c r="B6" s="2" t="s">
        <v>966</v>
      </c>
      <c r="C6" s="3">
        <f>D962</f>
        <v>220.54900000000001</v>
      </c>
      <c r="D6" s="3">
        <f t="shared" si="1"/>
        <v>0.98199999999999998</v>
      </c>
      <c r="E6" s="3">
        <f t="shared" si="2"/>
        <v>0.82499999999999996</v>
      </c>
      <c r="F6" t="str">
        <f t="shared" si="3"/>
        <v>0.625</v>
      </c>
      <c r="G6" t="s">
        <v>9</v>
      </c>
      <c r="I6" t="str">
        <f t="shared" si="4"/>
        <v>&lt;note time="0.982" string="1" fret="4" /&gt;</v>
      </c>
      <c r="J6" t="str">
        <f t="shared" si="5"/>
        <v>0.625</v>
      </c>
      <c r="K6" t="s">
        <v>973</v>
      </c>
    </row>
    <row r="7" spans="1:11" x14ac:dyDescent="0.45">
      <c r="A7" t="str">
        <f t="shared" si="0"/>
        <v>&lt;note time="1.138" string="1" fret="6" palmMute="1" /&gt;</v>
      </c>
      <c r="D7" s="3">
        <f t="shared" si="1"/>
        <v>1.1379999999999999</v>
      </c>
      <c r="E7" s="3">
        <f t="shared" si="2"/>
        <v>0.95</v>
      </c>
      <c r="F7" t="str">
        <f t="shared" si="3"/>
        <v>0.750</v>
      </c>
      <c r="G7" t="s">
        <v>10</v>
      </c>
      <c r="I7" t="str">
        <f t="shared" si="4"/>
        <v>&lt;note time="1.138" string="1" fret="4" /&gt;</v>
      </c>
      <c r="J7" t="str">
        <f t="shared" si="5"/>
        <v>0.750</v>
      </c>
      <c r="K7" t="s">
        <v>974</v>
      </c>
    </row>
    <row r="8" spans="1:11" x14ac:dyDescent="0.45">
      <c r="A8" t="str">
        <f t="shared" si="0"/>
        <v>&lt;note time="1.295" string="0" fret="7" palmMute="1" /&gt;</v>
      </c>
      <c r="D8" s="3">
        <f t="shared" si="1"/>
        <v>1.2949999999999999</v>
      </c>
      <c r="E8" s="3">
        <f t="shared" si="2"/>
        <v>1.075</v>
      </c>
      <c r="F8" t="str">
        <f t="shared" si="3"/>
        <v>0.875</v>
      </c>
      <c r="G8" t="s">
        <v>11</v>
      </c>
      <c r="I8" t="str">
        <f t="shared" si="4"/>
        <v>&lt;note time="1.295" string="1" fret="4" /&gt;</v>
      </c>
      <c r="J8" t="str">
        <f t="shared" si="5"/>
        <v>0.875</v>
      </c>
      <c r="K8" t="s">
        <v>975</v>
      </c>
    </row>
    <row r="9" spans="1:11" x14ac:dyDescent="0.45">
      <c r="A9" t="str">
        <f t="shared" si="0"/>
        <v>&lt;note time="1.451" string="1" fret="4" palmMute="1" /&gt;</v>
      </c>
      <c r="D9" s="3">
        <f t="shared" si="1"/>
        <v>1.4510000000000001</v>
      </c>
      <c r="E9" s="3">
        <f t="shared" si="2"/>
        <v>1.2</v>
      </c>
      <c r="F9" t="str">
        <f t="shared" si="3"/>
        <v>1.000</v>
      </c>
      <c r="G9" t="s">
        <v>12</v>
      </c>
      <c r="I9" t="str">
        <f t="shared" si="4"/>
        <v>&lt;note time="1.451" string="1" fret="4" /&gt;</v>
      </c>
      <c r="J9" t="str">
        <f t="shared" si="5"/>
        <v>1.000</v>
      </c>
      <c r="K9" t="s">
        <v>976</v>
      </c>
    </row>
    <row r="10" spans="1:11" x14ac:dyDescent="0.45">
      <c r="A10" t="str">
        <f t="shared" si="0"/>
        <v>&lt;note time="1.608" string="1" fret="7" palmMute="1" /&gt;</v>
      </c>
      <c r="D10" s="3">
        <f t="shared" si="1"/>
        <v>1.6080000000000001</v>
      </c>
      <c r="E10" s="3">
        <f t="shared" si="2"/>
        <v>1.325</v>
      </c>
      <c r="F10" t="str">
        <f t="shared" si="3"/>
        <v>1.125</v>
      </c>
      <c r="G10" t="s">
        <v>13</v>
      </c>
      <c r="I10" t="str">
        <f t="shared" si="4"/>
        <v>&lt;note time="1.608" string="1" fret="4" /&gt;</v>
      </c>
      <c r="J10" t="str">
        <f t="shared" si="5"/>
        <v>1.125</v>
      </c>
      <c r="K10" t="s">
        <v>977</v>
      </c>
    </row>
    <row r="11" spans="1:11" x14ac:dyDescent="0.45">
      <c r="A11" t="str">
        <f t="shared" si="0"/>
        <v>&lt;note time="1.764" string="1" fret="4" palmMute="1" /&gt;</v>
      </c>
      <c r="D11" s="3">
        <f t="shared" si="1"/>
        <v>1.764</v>
      </c>
      <c r="E11" s="3">
        <f t="shared" si="2"/>
        <v>1.45</v>
      </c>
      <c r="F11" t="str">
        <f t="shared" si="3"/>
        <v>1.250</v>
      </c>
      <c r="G11" t="s">
        <v>14</v>
      </c>
      <c r="I11" t="str">
        <f t="shared" si="4"/>
        <v>&lt;note time="1.764" string="1" fret="4" /&gt;</v>
      </c>
      <c r="J11" t="str">
        <f t="shared" si="5"/>
        <v>1.250</v>
      </c>
      <c r="K11" t="s">
        <v>978</v>
      </c>
    </row>
    <row r="12" spans="1:11" x14ac:dyDescent="0.45">
      <c r="A12" t="str">
        <f t="shared" si="0"/>
        <v>&lt;note time="1.921" string="0" fret="7" palmMute="1" /&gt;</v>
      </c>
      <c r="D12" s="3">
        <f t="shared" si="1"/>
        <v>1.921</v>
      </c>
      <c r="E12" s="3">
        <f t="shared" si="2"/>
        <v>1.575</v>
      </c>
      <c r="F12" t="str">
        <f t="shared" si="3"/>
        <v>1.375</v>
      </c>
      <c r="G12" t="s">
        <v>15</v>
      </c>
      <c r="I12" t="str">
        <f t="shared" si="4"/>
        <v>&lt;note time="1.921" string="1" fret="4" /&gt;</v>
      </c>
      <c r="J12" t="str">
        <f t="shared" si="5"/>
        <v>1.375</v>
      </c>
      <c r="K12" t="s">
        <v>979</v>
      </c>
    </row>
    <row r="13" spans="1:11" x14ac:dyDescent="0.45">
      <c r="A13" t="str">
        <f t="shared" si="0"/>
        <v>&lt;note time="2.077" string="1" fret="4" sustain="0.497" vibrato="80" /&gt;</v>
      </c>
      <c r="D13" s="3">
        <f t="shared" si="1"/>
        <v>2.077</v>
      </c>
      <c r="E13" s="3">
        <f t="shared" si="2"/>
        <v>1.7</v>
      </c>
      <c r="F13" t="str">
        <f t="shared" si="3"/>
        <v>1.500</v>
      </c>
      <c r="G13" t="s">
        <v>16</v>
      </c>
      <c r="I13" t="str">
        <f t="shared" si="4"/>
        <v>&lt;note time="2.077" string="1" fret="4" /&gt;</v>
      </c>
      <c r="J13" t="str">
        <f t="shared" si="5"/>
        <v>1.500</v>
      </c>
      <c r="K13" t="s">
        <v>980</v>
      </c>
    </row>
    <row r="14" spans="1:11" x14ac:dyDescent="0.45">
      <c r="A14" t="str">
        <f t="shared" si="0"/>
        <v>&lt;note time="2.703" string="3" fret="6" /&gt;</v>
      </c>
      <c r="D14" s="3">
        <f t="shared" si="1"/>
        <v>2.7029999999999998</v>
      </c>
      <c r="E14" s="3">
        <f t="shared" si="2"/>
        <v>2.2000000000000002</v>
      </c>
      <c r="F14" t="str">
        <f t="shared" si="3"/>
        <v>2.000</v>
      </c>
      <c r="G14" t="s">
        <v>17</v>
      </c>
      <c r="I14" t="str">
        <f t="shared" si="4"/>
        <v>&lt;note time="2.703" string="0" fret="4" /&gt;</v>
      </c>
      <c r="J14" t="str">
        <f t="shared" si="5"/>
        <v>1.625</v>
      </c>
      <c r="K14" t="s">
        <v>981</v>
      </c>
    </row>
    <row r="15" spans="1:11" x14ac:dyDescent="0.45">
      <c r="A15" t="str">
        <f t="shared" si="0"/>
        <v>&lt;note time="2.860" string="3" fret="4" /&gt;</v>
      </c>
      <c r="D15" s="3">
        <f t="shared" si="1"/>
        <v>2.86</v>
      </c>
      <c r="E15" s="3">
        <f t="shared" si="2"/>
        <v>2.3250000000000002</v>
      </c>
      <c r="F15" t="str">
        <f t="shared" si="3"/>
        <v>2.125</v>
      </c>
      <c r="G15" t="s">
        <v>18</v>
      </c>
      <c r="I15" t="str">
        <f t="shared" si="4"/>
        <v>&lt;note time="2.860" string="0" fret="7" /&gt;</v>
      </c>
      <c r="J15" t="str">
        <f t="shared" si="5"/>
        <v>1.750</v>
      </c>
      <c r="K15" t="s">
        <v>982</v>
      </c>
    </row>
    <row r="16" spans="1:11" x14ac:dyDescent="0.45">
      <c r="A16" t="str">
        <f t="shared" si="0"/>
        <v>&lt;note time="3.016" string="2" fret="6" /&gt;</v>
      </c>
      <c r="D16" s="3">
        <f t="shared" si="1"/>
        <v>3.016</v>
      </c>
      <c r="E16" s="3">
        <f t="shared" si="2"/>
        <v>2.4500000000000002</v>
      </c>
      <c r="F16" t="str">
        <f t="shared" si="3"/>
        <v>2.250</v>
      </c>
      <c r="G16" t="s">
        <v>19</v>
      </c>
      <c r="I16" t="str">
        <f t="shared" si="4"/>
        <v>&lt;note time="3.016" string="1" fret="4" /&gt;</v>
      </c>
      <c r="J16" t="str">
        <f t="shared" si="5"/>
        <v>1.875</v>
      </c>
      <c r="K16" t="s">
        <v>983</v>
      </c>
    </row>
    <row r="17" spans="1:11" x14ac:dyDescent="0.45">
      <c r="A17" t="str">
        <f t="shared" si="0"/>
        <v>&lt;note time="3.173" string="2" fret="4" /&gt;</v>
      </c>
      <c r="D17" s="3">
        <f t="shared" si="1"/>
        <v>3.173</v>
      </c>
      <c r="E17" s="3">
        <f t="shared" si="2"/>
        <v>2.5750000000000002</v>
      </c>
      <c r="F17" t="str">
        <f t="shared" si="3"/>
        <v>2.375</v>
      </c>
      <c r="G17" t="s">
        <v>20</v>
      </c>
      <c r="I17" t="str">
        <f t="shared" si="4"/>
        <v>&lt;note time="3.173" string="1" fret="4" /&gt;</v>
      </c>
      <c r="J17" t="str">
        <f t="shared" si="5"/>
        <v>2.000</v>
      </c>
      <c r="K17" t="s">
        <v>984</v>
      </c>
    </row>
    <row r="18" spans="1:11" x14ac:dyDescent="0.45">
      <c r="A18" t="str">
        <f t="shared" si="0"/>
        <v>&lt;note time="3.329" string="1" fret="6" palmMute="1" /&gt;</v>
      </c>
      <c r="D18" s="3">
        <f t="shared" si="1"/>
        <v>3.3290000000000002</v>
      </c>
      <c r="E18" s="3">
        <f t="shared" si="2"/>
        <v>2.7</v>
      </c>
      <c r="F18" t="str">
        <f t="shared" si="3"/>
        <v>2.500</v>
      </c>
      <c r="G18" t="s">
        <v>21</v>
      </c>
      <c r="I18" t="str">
        <f t="shared" si="4"/>
        <v>&lt;note time="3.329" string="1" fret="4" /&gt;</v>
      </c>
      <c r="J18" t="str">
        <f t="shared" si="5"/>
        <v>2.125</v>
      </c>
      <c r="K18" t="s">
        <v>985</v>
      </c>
    </row>
    <row r="19" spans="1:11" x14ac:dyDescent="0.45">
      <c r="A19" t="str">
        <f t="shared" si="0"/>
        <v>&lt;note time="3.486" string="1" fret="7" palmMute="1" /&gt;</v>
      </c>
      <c r="D19" s="3">
        <f t="shared" si="1"/>
        <v>3.4860000000000002</v>
      </c>
      <c r="E19" s="3">
        <f t="shared" si="2"/>
        <v>2.8250000000000002</v>
      </c>
      <c r="F19" t="str">
        <f t="shared" si="3"/>
        <v>2.625</v>
      </c>
      <c r="G19" t="s">
        <v>22</v>
      </c>
      <c r="I19" t="str">
        <f t="shared" si="4"/>
        <v>&lt;note time="3.486" string="1" fret="4" /&gt;</v>
      </c>
      <c r="J19" t="str">
        <f t="shared" si="5"/>
        <v>2.250</v>
      </c>
      <c r="K19" t="s">
        <v>986</v>
      </c>
    </row>
    <row r="20" spans="1:11" x14ac:dyDescent="0.45">
      <c r="A20" t="str">
        <f t="shared" si="0"/>
        <v>&lt;note time="3.642" string="1" fret="6" palmMute="1" /&gt;</v>
      </c>
      <c r="D20" s="3">
        <f t="shared" si="1"/>
        <v>3.6419999999999999</v>
      </c>
      <c r="E20" s="3">
        <f t="shared" si="2"/>
        <v>2.95</v>
      </c>
      <c r="F20" t="str">
        <f t="shared" si="3"/>
        <v>2.750</v>
      </c>
      <c r="G20" t="s">
        <v>23</v>
      </c>
      <c r="I20" t="str">
        <f t="shared" si="4"/>
        <v>&lt;note time="3.642" string="1" fret="4" /&gt;</v>
      </c>
      <c r="J20" t="str">
        <f t="shared" si="5"/>
        <v>2.375</v>
      </c>
      <c r="K20" t="s">
        <v>987</v>
      </c>
    </row>
    <row r="21" spans="1:11" x14ac:dyDescent="0.45">
      <c r="A21" t="str">
        <f t="shared" si="0"/>
        <v>&lt;note time="3.799" string="0" fret="7" palmMute="1" /&gt;</v>
      </c>
      <c r="D21" s="3">
        <f t="shared" si="1"/>
        <v>3.7989999999999999</v>
      </c>
      <c r="E21" s="3">
        <f t="shared" si="2"/>
        <v>3.0750000000000002</v>
      </c>
      <c r="F21" t="str">
        <f t="shared" si="3"/>
        <v>2.875</v>
      </c>
      <c r="G21" t="s">
        <v>24</v>
      </c>
      <c r="I21" t="str">
        <f t="shared" si="4"/>
        <v>&lt;note time="3.799" string="1" fret="4" /&gt;</v>
      </c>
      <c r="J21" t="str">
        <f t="shared" si="5"/>
        <v>2.500</v>
      </c>
      <c r="K21" t="s">
        <v>988</v>
      </c>
    </row>
    <row r="22" spans="1:11" x14ac:dyDescent="0.45">
      <c r="A22" t="str">
        <f t="shared" si="0"/>
        <v>&lt;note time="3.955" string="1" fret="4" palmMute="1" /&gt;</v>
      </c>
      <c r="D22" s="3">
        <f t="shared" si="1"/>
        <v>3.9550000000000001</v>
      </c>
      <c r="E22" s="3">
        <f t="shared" si="2"/>
        <v>3.2</v>
      </c>
      <c r="F22" t="str">
        <f t="shared" si="3"/>
        <v>3.000</v>
      </c>
      <c r="G22" t="s">
        <v>25</v>
      </c>
      <c r="I22" t="str">
        <f t="shared" si="4"/>
        <v>&lt;note time="3.955" string="1" fret="4" /&gt;</v>
      </c>
      <c r="J22" t="str">
        <f t="shared" si="5"/>
        <v>2.625</v>
      </c>
      <c r="K22" t="s">
        <v>989</v>
      </c>
    </row>
    <row r="23" spans="1:11" x14ac:dyDescent="0.45">
      <c r="A23" t="str">
        <f t="shared" si="0"/>
        <v>&lt;note time="4.112" string="1" fret="7" palmMute="1" /&gt;</v>
      </c>
      <c r="D23" s="3">
        <f t="shared" si="1"/>
        <v>4.1120000000000001</v>
      </c>
      <c r="E23" s="3">
        <f t="shared" si="2"/>
        <v>3.3250000000000002</v>
      </c>
      <c r="F23" t="str">
        <f t="shared" si="3"/>
        <v>3.125</v>
      </c>
      <c r="G23" t="s">
        <v>26</v>
      </c>
      <c r="I23" t="str">
        <f t="shared" si="4"/>
        <v>&lt;note time="4.112" string="1" fret="4" /&gt;</v>
      </c>
      <c r="J23" t="str">
        <f t="shared" si="5"/>
        <v>2.750</v>
      </c>
      <c r="K23" t="s">
        <v>990</v>
      </c>
    </row>
    <row r="24" spans="1:11" x14ac:dyDescent="0.45">
      <c r="A24" t="str">
        <f t="shared" si="0"/>
        <v>&lt;note time="4.268" string="1" fret="4" palmMute="1" /&gt;</v>
      </c>
      <c r="D24" s="3">
        <f t="shared" si="1"/>
        <v>4.2679999999999998</v>
      </c>
      <c r="E24" s="3">
        <f t="shared" si="2"/>
        <v>3.45</v>
      </c>
      <c r="F24" t="str">
        <f t="shared" si="3"/>
        <v>3.250</v>
      </c>
      <c r="G24" t="s">
        <v>27</v>
      </c>
      <c r="I24" t="str">
        <f t="shared" si="4"/>
        <v>&lt;note time="4.268" string="1" fret="4" /&gt;</v>
      </c>
      <c r="J24" t="str">
        <f t="shared" si="5"/>
        <v>2.875</v>
      </c>
      <c r="K24" t="s">
        <v>991</v>
      </c>
    </row>
    <row r="25" spans="1:11" x14ac:dyDescent="0.45">
      <c r="A25" t="str">
        <f t="shared" si="0"/>
        <v>&lt;note time="4.425" string="0" fret="7" palmMute="1" /&gt;</v>
      </c>
      <c r="D25" s="3">
        <f t="shared" si="1"/>
        <v>4.4249999999999998</v>
      </c>
      <c r="E25" s="3">
        <f t="shared" si="2"/>
        <v>3.5750000000000002</v>
      </c>
      <c r="F25" t="str">
        <f t="shared" si="3"/>
        <v>3.375</v>
      </c>
      <c r="G25" t="s">
        <v>28</v>
      </c>
      <c r="I25" t="str">
        <f t="shared" si="4"/>
        <v>&lt;note time="4.425" string="1" fret="4" /&gt;</v>
      </c>
      <c r="J25" t="str">
        <f t="shared" si="5"/>
        <v>3.000</v>
      </c>
      <c r="K25" t="s">
        <v>992</v>
      </c>
    </row>
    <row r="26" spans="1:11" x14ac:dyDescent="0.45">
      <c r="A26" t="str">
        <f t="shared" si="0"/>
        <v>&lt;note time="4.581" string="1" fret="4" sustain="0.497" vibrato="80" /&gt;</v>
      </c>
      <c r="D26" s="3">
        <f t="shared" si="1"/>
        <v>4.5810000000000004</v>
      </c>
      <c r="E26" s="3">
        <f t="shared" si="2"/>
        <v>3.7</v>
      </c>
      <c r="F26" t="str">
        <f t="shared" si="3"/>
        <v>3.500</v>
      </c>
      <c r="G26" t="s">
        <v>29</v>
      </c>
      <c r="I26" t="str">
        <f t="shared" si="4"/>
        <v>&lt;note time="4.581" string="1" fret="4" /&gt;</v>
      </c>
      <c r="J26" t="str">
        <f t="shared" si="5"/>
        <v>3.125</v>
      </c>
      <c r="K26" t="s">
        <v>993</v>
      </c>
    </row>
    <row r="27" spans="1:11" x14ac:dyDescent="0.45">
      <c r="A27" t="str">
        <f t="shared" si="0"/>
        <v>&lt;note time="5.207" string="3" fret="6" /&gt;</v>
      </c>
      <c r="D27" s="3">
        <f t="shared" si="1"/>
        <v>5.2069999999999999</v>
      </c>
      <c r="E27" s="3">
        <f t="shared" si="2"/>
        <v>4.2</v>
      </c>
      <c r="F27" t="str">
        <f t="shared" si="3"/>
        <v>4.000</v>
      </c>
      <c r="G27" t="s">
        <v>30</v>
      </c>
      <c r="I27" t="str">
        <f t="shared" si="4"/>
        <v>&lt;note time="5.207" string="1" fret="4" /&gt;</v>
      </c>
      <c r="J27" t="str">
        <f t="shared" si="5"/>
        <v>3.250</v>
      </c>
      <c r="K27" t="s">
        <v>994</v>
      </c>
    </row>
    <row r="28" spans="1:11" x14ac:dyDescent="0.45">
      <c r="A28" t="str">
        <f t="shared" si="0"/>
        <v>&lt;note time="5.364" string="3" fret="4" /&gt;</v>
      </c>
      <c r="D28" s="3">
        <f t="shared" si="1"/>
        <v>5.3639999999999999</v>
      </c>
      <c r="E28" s="3">
        <f t="shared" si="2"/>
        <v>4.3250000000000002</v>
      </c>
      <c r="F28" t="str">
        <f t="shared" si="3"/>
        <v>4.125</v>
      </c>
      <c r="G28" t="s">
        <v>31</v>
      </c>
      <c r="I28" t="str">
        <f t="shared" si="4"/>
        <v>&lt;note time="5.364" string="1" fret="4" /&gt;</v>
      </c>
      <c r="J28" t="str">
        <f t="shared" si="5"/>
        <v>3.375</v>
      </c>
      <c r="K28" t="s">
        <v>995</v>
      </c>
    </row>
    <row r="29" spans="1:11" x14ac:dyDescent="0.45">
      <c r="A29" t="str">
        <f t="shared" si="0"/>
        <v>&lt;note time="5.520" string="2" fret="6" /&gt;</v>
      </c>
      <c r="D29" s="3">
        <f t="shared" si="1"/>
        <v>5.52</v>
      </c>
      <c r="E29" s="3">
        <f t="shared" si="2"/>
        <v>4.45</v>
      </c>
      <c r="F29" t="str">
        <f t="shared" si="3"/>
        <v>4.250</v>
      </c>
      <c r="G29" t="s">
        <v>32</v>
      </c>
      <c r="I29" t="str">
        <f t="shared" si="4"/>
        <v>&lt;note time="5.520" string="1" fret="4" /&gt;</v>
      </c>
      <c r="J29" t="str">
        <f t="shared" si="5"/>
        <v>3.500</v>
      </c>
      <c r="K29" t="s">
        <v>996</v>
      </c>
    </row>
    <row r="30" spans="1:11" x14ac:dyDescent="0.45">
      <c r="A30" t="str">
        <f t="shared" si="0"/>
        <v>&lt;note time="5.677" string="2" fret="4" /&gt;</v>
      </c>
      <c r="D30" s="3">
        <f t="shared" si="1"/>
        <v>5.6769999999999996</v>
      </c>
      <c r="E30" s="3">
        <f t="shared" si="2"/>
        <v>4.5750000000000002</v>
      </c>
      <c r="F30" t="str">
        <f t="shared" si="3"/>
        <v>4.375</v>
      </c>
      <c r="G30" t="s">
        <v>33</v>
      </c>
      <c r="I30" t="str">
        <f t="shared" si="4"/>
        <v>&lt;note time="5.677" string="0" fret="4" /&gt;</v>
      </c>
      <c r="J30" t="str">
        <f t="shared" si="5"/>
        <v>3.625</v>
      </c>
      <c r="K30" t="s">
        <v>997</v>
      </c>
    </row>
    <row r="31" spans="1:11" x14ac:dyDescent="0.45">
      <c r="A31" t="str">
        <f t="shared" si="0"/>
        <v>&lt;note time="5.833" string="1" fret="6" palmMute="1" /&gt;</v>
      </c>
      <c r="D31" s="3">
        <f t="shared" si="1"/>
        <v>5.8330000000000002</v>
      </c>
      <c r="E31" s="3">
        <f t="shared" si="2"/>
        <v>4.7</v>
      </c>
      <c r="F31" t="str">
        <f t="shared" si="3"/>
        <v>4.500</v>
      </c>
      <c r="G31" t="s">
        <v>34</v>
      </c>
      <c r="I31" t="str">
        <f t="shared" si="4"/>
        <v>&lt;note time="5.833" string="0" fret="7" /&gt;</v>
      </c>
      <c r="J31" t="str">
        <f t="shared" si="5"/>
        <v>3.750</v>
      </c>
      <c r="K31" t="s">
        <v>998</v>
      </c>
    </row>
    <row r="32" spans="1:11" x14ac:dyDescent="0.45">
      <c r="A32" t="str">
        <f t="shared" si="0"/>
        <v>&lt;note time="5.990" string="1" fret="7" palmMute="1" /&gt;</v>
      </c>
      <c r="D32" s="3">
        <f t="shared" si="1"/>
        <v>5.99</v>
      </c>
      <c r="E32" s="3">
        <f t="shared" si="2"/>
        <v>4.8250000000000002</v>
      </c>
      <c r="F32" t="str">
        <f t="shared" si="3"/>
        <v>4.625</v>
      </c>
      <c r="G32" t="s">
        <v>35</v>
      </c>
      <c r="I32" t="str">
        <f t="shared" si="4"/>
        <v>&lt;note time="5.990" string="1" fret="4" /&gt;</v>
      </c>
      <c r="J32" t="str">
        <f t="shared" si="5"/>
        <v>3.875</v>
      </c>
      <c r="K32" t="s">
        <v>999</v>
      </c>
    </row>
    <row r="33" spans="1:11" x14ac:dyDescent="0.45">
      <c r="A33" t="str">
        <f t="shared" si="0"/>
        <v>&lt;note time="6.146" string="1" fret="6" palmMute="1" /&gt;</v>
      </c>
      <c r="D33" s="3">
        <f t="shared" si="1"/>
        <v>6.1459999999999999</v>
      </c>
      <c r="E33" s="3">
        <f t="shared" si="2"/>
        <v>4.95</v>
      </c>
      <c r="F33" t="str">
        <f t="shared" si="3"/>
        <v>4.750</v>
      </c>
      <c r="G33" t="s">
        <v>36</v>
      </c>
      <c r="I33" t="str">
        <f t="shared" si="4"/>
        <v>&lt;note time="6.146" string="1" fret="4" /&gt;</v>
      </c>
      <c r="J33" t="str">
        <f t="shared" si="5"/>
        <v>4.000</v>
      </c>
      <c r="K33" t="s">
        <v>1000</v>
      </c>
    </row>
    <row r="34" spans="1:11" x14ac:dyDescent="0.45">
      <c r="A34" t="str">
        <f t="shared" si="0"/>
        <v>&lt;note time="6.303" string="0" fret="7" palmMute="1" /&gt;</v>
      </c>
      <c r="D34" s="3">
        <f t="shared" si="1"/>
        <v>6.3029999999999999</v>
      </c>
      <c r="E34" s="3">
        <f t="shared" si="2"/>
        <v>5.0750000000000002</v>
      </c>
      <c r="F34" t="str">
        <f t="shared" ref="F34:F65" si="6">RIGHT(LEFT(G34,17),5)</f>
        <v>4.875</v>
      </c>
      <c r="G34" t="s">
        <v>37</v>
      </c>
      <c r="I34" t="str">
        <f t="shared" si="4"/>
        <v>&lt;note time="6.303" string="1" fret="4" /&gt;</v>
      </c>
      <c r="J34" t="str">
        <f t="shared" si="5"/>
        <v>4.125</v>
      </c>
      <c r="K34" t="s">
        <v>1001</v>
      </c>
    </row>
    <row r="35" spans="1:11" x14ac:dyDescent="0.45">
      <c r="A35" t="str">
        <f t="shared" si="0"/>
        <v>&lt;note time="6.459" string="1" fret="4" palmMute="1" /&gt;</v>
      </c>
      <c r="D35" s="3">
        <f t="shared" si="1"/>
        <v>6.4589999999999996</v>
      </c>
      <c r="E35" s="3">
        <f t="shared" si="2"/>
        <v>5.2</v>
      </c>
      <c r="F35" t="str">
        <f t="shared" si="6"/>
        <v>5.000</v>
      </c>
      <c r="G35" t="s">
        <v>38</v>
      </c>
      <c r="I35" t="str">
        <f t="shared" si="4"/>
        <v>&lt;note time="6.459" string="1" fret="4" /&gt;</v>
      </c>
      <c r="J35" t="str">
        <f t="shared" si="5"/>
        <v>4.250</v>
      </c>
      <c r="K35" t="s">
        <v>1002</v>
      </c>
    </row>
    <row r="36" spans="1:11" x14ac:dyDescent="0.45">
      <c r="A36" t="str">
        <f t="shared" si="0"/>
        <v>&lt;note time="6.616" string="1" fret="7" palmMute="1" /&gt;</v>
      </c>
      <c r="D36" s="3">
        <f t="shared" si="1"/>
        <v>6.6159999999999997</v>
      </c>
      <c r="E36" s="3">
        <f t="shared" si="2"/>
        <v>5.3250000000000002</v>
      </c>
      <c r="F36" t="str">
        <f t="shared" si="6"/>
        <v>5.125</v>
      </c>
      <c r="G36" t="s">
        <v>39</v>
      </c>
      <c r="I36" t="str">
        <f t="shared" si="4"/>
        <v>&lt;note time="6.616" string="1" fret="4" /&gt;</v>
      </c>
      <c r="J36" t="str">
        <f t="shared" si="5"/>
        <v>4.375</v>
      </c>
      <c r="K36" t="s">
        <v>1003</v>
      </c>
    </row>
    <row r="37" spans="1:11" x14ac:dyDescent="0.45">
      <c r="A37" t="str">
        <f t="shared" si="0"/>
        <v>&lt;note time="6.772" string="1" fret="4" palmMute="1" /&gt;</v>
      </c>
      <c r="D37" s="3">
        <f t="shared" si="1"/>
        <v>6.7720000000000002</v>
      </c>
      <c r="E37" s="3">
        <f t="shared" si="2"/>
        <v>5.45</v>
      </c>
      <c r="F37" t="str">
        <f t="shared" si="6"/>
        <v>5.250</v>
      </c>
      <c r="G37" t="s">
        <v>40</v>
      </c>
      <c r="I37" t="str">
        <f t="shared" si="4"/>
        <v>&lt;note time="6.772" string="1" fret="4" /&gt;</v>
      </c>
      <c r="J37" t="str">
        <f t="shared" si="5"/>
        <v>4.500</v>
      </c>
      <c r="K37" t="s">
        <v>1004</v>
      </c>
    </row>
    <row r="38" spans="1:11" x14ac:dyDescent="0.45">
      <c r="A38" t="str">
        <f t="shared" si="0"/>
        <v>&lt;note time="6.929" string="0" fret="7" palmMute="1" /&gt;</v>
      </c>
      <c r="D38" s="3">
        <f t="shared" si="1"/>
        <v>6.9290000000000003</v>
      </c>
      <c r="E38" s="3">
        <f t="shared" si="2"/>
        <v>5.5750000000000002</v>
      </c>
      <c r="F38" t="str">
        <f t="shared" si="6"/>
        <v>5.375</v>
      </c>
      <c r="G38" t="s">
        <v>41</v>
      </c>
      <c r="I38" t="str">
        <f t="shared" si="4"/>
        <v>&lt;note time="6.929" string="1" fret="4" /&gt;</v>
      </c>
      <c r="J38" t="str">
        <f t="shared" si="5"/>
        <v>4.625</v>
      </c>
      <c r="K38" t="s">
        <v>1005</v>
      </c>
    </row>
    <row r="39" spans="1:11" x14ac:dyDescent="0.45">
      <c r="A39" t="str">
        <f t="shared" si="0"/>
        <v>&lt;note time="7.085" string="1" fret="4" sustain="0.497" vibrato="80" /&gt;</v>
      </c>
      <c r="D39" s="3">
        <f t="shared" si="1"/>
        <v>7.085</v>
      </c>
      <c r="E39" s="3">
        <f t="shared" si="2"/>
        <v>5.7</v>
      </c>
      <c r="F39" t="str">
        <f t="shared" si="6"/>
        <v>5.500</v>
      </c>
      <c r="G39" t="s">
        <v>42</v>
      </c>
      <c r="I39" t="str">
        <f t="shared" si="4"/>
        <v>&lt;note time="7.085" string="1" fret="4" /&gt;</v>
      </c>
      <c r="J39" t="str">
        <f t="shared" si="5"/>
        <v>4.750</v>
      </c>
      <c r="K39" t="s">
        <v>1006</v>
      </c>
    </row>
    <row r="40" spans="1:11" x14ac:dyDescent="0.45">
      <c r="A40" t="str">
        <f t="shared" si="0"/>
        <v>&lt;note time="7.711" string="3" fret="6" /&gt;</v>
      </c>
      <c r="D40" s="3">
        <f t="shared" si="1"/>
        <v>7.7110000000000003</v>
      </c>
      <c r="E40" s="3">
        <f t="shared" si="2"/>
        <v>6.2</v>
      </c>
      <c r="F40" t="str">
        <f t="shared" si="6"/>
        <v>6.000</v>
      </c>
      <c r="G40" t="s">
        <v>43</v>
      </c>
      <c r="I40" t="str">
        <f t="shared" si="4"/>
        <v>&lt;note time="7.711" string="1" fret="4" /&gt;</v>
      </c>
      <c r="J40" t="str">
        <f t="shared" si="5"/>
        <v>4.875</v>
      </c>
      <c r="K40" t="s">
        <v>1007</v>
      </c>
    </row>
    <row r="41" spans="1:11" x14ac:dyDescent="0.45">
      <c r="A41" t="str">
        <f t="shared" si="0"/>
        <v>&lt;note time="7.868" string="3" fret="4" /&gt;</v>
      </c>
      <c r="D41" s="3">
        <f t="shared" si="1"/>
        <v>7.8680000000000003</v>
      </c>
      <c r="E41" s="3">
        <f t="shared" si="2"/>
        <v>6.3250000000000002</v>
      </c>
      <c r="F41" t="str">
        <f t="shared" si="6"/>
        <v>6.125</v>
      </c>
      <c r="G41" t="s">
        <v>44</v>
      </c>
      <c r="I41" t="str">
        <f t="shared" si="4"/>
        <v>&lt;note time="7.868" string="1" fret="4" /&gt;</v>
      </c>
      <c r="J41" t="str">
        <f t="shared" si="5"/>
        <v>5.000</v>
      </c>
      <c r="K41" t="s">
        <v>1008</v>
      </c>
    </row>
    <row r="42" spans="1:11" x14ac:dyDescent="0.45">
      <c r="A42" t="str">
        <f t="shared" si="0"/>
        <v>&lt;note time="8.024" string="2" fret="6" /&gt;</v>
      </c>
      <c r="D42" s="3">
        <f t="shared" si="1"/>
        <v>8.0239999999999991</v>
      </c>
      <c r="E42" s="3">
        <f t="shared" si="2"/>
        <v>6.45</v>
      </c>
      <c r="F42" t="str">
        <f t="shared" si="6"/>
        <v>6.250</v>
      </c>
      <c r="G42" t="s">
        <v>45</v>
      </c>
      <c r="I42" t="str">
        <f t="shared" si="4"/>
        <v>&lt;note time="8.024" string="1" fret="4" /&gt;</v>
      </c>
      <c r="J42" t="str">
        <f t="shared" si="5"/>
        <v>5.125</v>
      </c>
      <c r="K42" t="s">
        <v>1009</v>
      </c>
    </row>
    <row r="43" spans="1:11" x14ac:dyDescent="0.45">
      <c r="A43" t="str">
        <f t="shared" si="0"/>
        <v>&lt;note time="8.181" string="2" fret="4" /&gt;</v>
      </c>
      <c r="D43" s="3">
        <f t="shared" si="1"/>
        <v>8.1809999999999992</v>
      </c>
      <c r="E43" s="3">
        <f t="shared" si="2"/>
        <v>6.5750000000000002</v>
      </c>
      <c r="F43" t="str">
        <f t="shared" si="6"/>
        <v>6.375</v>
      </c>
      <c r="G43" t="s">
        <v>46</v>
      </c>
      <c r="I43" t="str">
        <f t="shared" si="4"/>
        <v>&lt;note time="8.181" string="1" fret="4" /&gt;</v>
      </c>
      <c r="J43" t="str">
        <f t="shared" si="5"/>
        <v>5.250</v>
      </c>
      <c r="K43" t="s">
        <v>1010</v>
      </c>
    </row>
    <row r="44" spans="1:11" x14ac:dyDescent="0.45">
      <c r="A44" t="str">
        <f t="shared" si="0"/>
        <v>&lt;note time="8.337" string="1" fret="6" palmMute="1" /&gt;</v>
      </c>
      <c r="D44" s="3">
        <f t="shared" si="1"/>
        <v>8.3369999999999997</v>
      </c>
      <c r="E44" s="3">
        <f t="shared" si="2"/>
        <v>6.7</v>
      </c>
      <c r="F44" t="str">
        <f t="shared" si="6"/>
        <v>6.500</v>
      </c>
      <c r="G44" t="s">
        <v>47</v>
      </c>
      <c r="I44" t="str">
        <f t="shared" si="4"/>
        <v>&lt;note time="8.337" string="1" fret="4" /&gt;</v>
      </c>
      <c r="J44" t="str">
        <f t="shared" si="5"/>
        <v>5.375</v>
      </c>
      <c r="K44" s="1" t="s">
        <v>1011</v>
      </c>
    </row>
    <row r="45" spans="1:11" x14ac:dyDescent="0.45">
      <c r="A45" t="str">
        <f t="shared" si="0"/>
        <v>&lt;note time="8.494" string="1" fret="7" palmMute="1" /&gt;</v>
      </c>
      <c r="D45" s="3">
        <f t="shared" si="1"/>
        <v>8.4939999999999998</v>
      </c>
      <c r="E45" s="3">
        <f t="shared" si="2"/>
        <v>6.8250000000000002</v>
      </c>
      <c r="F45" t="str">
        <f t="shared" si="6"/>
        <v>6.625</v>
      </c>
      <c r="G45" t="s">
        <v>48</v>
      </c>
      <c r="I45" t="str">
        <f t="shared" si="4"/>
        <v>&lt;note time="8.494" string="1" fret="4" /&gt;</v>
      </c>
      <c r="J45" t="str">
        <f t="shared" si="5"/>
        <v>5.500</v>
      </c>
      <c r="K45" t="s">
        <v>1012</v>
      </c>
    </row>
    <row r="46" spans="1:11" x14ac:dyDescent="0.45">
      <c r="A46" t="str">
        <f t="shared" si="0"/>
        <v>&lt;note time="8.650" string="1" fret="6" palmMute="1" /&gt;</v>
      </c>
      <c r="D46" s="3">
        <f t="shared" si="1"/>
        <v>8.65</v>
      </c>
      <c r="E46" s="3">
        <f t="shared" si="2"/>
        <v>6.95</v>
      </c>
      <c r="F46" t="str">
        <f t="shared" si="6"/>
        <v>6.750</v>
      </c>
      <c r="G46" t="s">
        <v>49</v>
      </c>
      <c r="I46" t="str">
        <f t="shared" si="4"/>
        <v>&lt;note time="8.650" string="0" fret="4" /&gt;</v>
      </c>
      <c r="J46" t="str">
        <f t="shared" si="5"/>
        <v>5.625</v>
      </c>
      <c r="K46" t="s">
        <v>1013</v>
      </c>
    </row>
    <row r="47" spans="1:11" s="1" customFormat="1" x14ac:dyDescent="0.45">
      <c r="A47" t="str">
        <f t="shared" si="0"/>
        <v>&lt;note time="8.807" string="0" fret="7" palmMute="1" /&gt;</v>
      </c>
      <c r="C47" s="1">
        <v>9.6999999999999993</v>
      </c>
      <c r="D47" s="3">
        <f t="shared" si="1"/>
        <v>8.8070000000000004</v>
      </c>
      <c r="E47" s="3">
        <f t="shared" si="2"/>
        <v>7.0750000000000002</v>
      </c>
      <c r="F47" t="str">
        <f t="shared" si="6"/>
        <v>6.875</v>
      </c>
      <c r="G47" s="1" t="s">
        <v>50</v>
      </c>
      <c r="I47" t="str">
        <f t="shared" si="4"/>
        <v>&lt;note time="8.807" string="0" fret="7" /&gt;</v>
      </c>
      <c r="J47" t="str">
        <f t="shared" si="5"/>
        <v>5.750</v>
      </c>
      <c r="K47" t="s">
        <v>1014</v>
      </c>
    </row>
    <row r="48" spans="1:11" x14ac:dyDescent="0.45">
      <c r="A48" t="str">
        <f t="shared" si="0"/>
        <v>&lt;note time="8.963" string="1" fret="4" palmMute="1" /&gt;</v>
      </c>
      <c r="D48" s="3">
        <f t="shared" si="1"/>
        <v>8.9629999999999992</v>
      </c>
      <c r="E48" s="3">
        <f t="shared" si="2"/>
        <v>7.2</v>
      </c>
      <c r="F48" t="str">
        <f t="shared" si="6"/>
        <v>7.000</v>
      </c>
      <c r="G48" t="s">
        <v>51</v>
      </c>
      <c r="I48" t="str">
        <f t="shared" si="4"/>
        <v>&lt;note time="8.963" string="1" fret="4" /&gt;</v>
      </c>
      <c r="J48" t="str">
        <f t="shared" si="5"/>
        <v>5.875</v>
      </c>
      <c r="K48" t="s">
        <v>1015</v>
      </c>
    </row>
    <row r="49" spans="1:11" x14ac:dyDescent="0.45">
      <c r="A49" t="str">
        <f t="shared" si="0"/>
        <v>&lt;note time="9.120" string="1" fret="7" palmMute="1" /&gt;</v>
      </c>
      <c r="D49" s="3">
        <f t="shared" si="1"/>
        <v>9.1199999999999992</v>
      </c>
      <c r="E49" s="3">
        <f t="shared" si="2"/>
        <v>7.3250000000000002</v>
      </c>
      <c r="F49" t="str">
        <f t="shared" si="6"/>
        <v>7.125</v>
      </c>
      <c r="G49" t="s">
        <v>52</v>
      </c>
      <c r="I49" t="str">
        <f t="shared" si="4"/>
        <v>&lt;note time="9.120" string="1" fret="4" /&gt;</v>
      </c>
      <c r="J49" t="str">
        <f t="shared" si="5"/>
        <v>6.000</v>
      </c>
      <c r="K49" t="s">
        <v>1016</v>
      </c>
    </row>
    <row r="50" spans="1:11" x14ac:dyDescent="0.45">
      <c r="A50" t="str">
        <f t="shared" si="0"/>
        <v>&lt;note time="9.276" string="1" fret="4" palmMute="1" /&gt;</v>
      </c>
      <c r="D50" s="3">
        <f t="shared" si="1"/>
        <v>9.2759999999999998</v>
      </c>
      <c r="E50" s="3">
        <f t="shared" si="2"/>
        <v>7.45</v>
      </c>
      <c r="F50" t="str">
        <f t="shared" si="6"/>
        <v>7.250</v>
      </c>
      <c r="G50" t="s">
        <v>53</v>
      </c>
      <c r="I50" t="str">
        <f t="shared" si="4"/>
        <v>&lt;note time="9.276" string="1" fret="4" /&gt;</v>
      </c>
      <c r="J50" t="str">
        <f t="shared" si="5"/>
        <v>6.125</v>
      </c>
      <c r="K50" t="s">
        <v>1017</v>
      </c>
    </row>
    <row r="51" spans="1:11" x14ac:dyDescent="0.45">
      <c r="A51" t="str">
        <f t="shared" si="0"/>
        <v>&lt;note time="9.433" string="0" fret="7" palmMute="1" /&gt;</v>
      </c>
      <c r="D51" s="3">
        <f t="shared" si="1"/>
        <v>9.4329999999999998</v>
      </c>
      <c r="E51" s="3">
        <f t="shared" si="2"/>
        <v>7.5750000000000002</v>
      </c>
      <c r="F51" t="str">
        <f t="shared" si="6"/>
        <v>7.375</v>
      </c>
      <c r="G51" t="s">
        <v>54</v>
      </c>
      <c r="I51" t="str">
        <f t="shared" si="4"/>
        <v>&lt;note time="9.433" string="1" fret="4" /&gt;</v>
      </c>
      <c r="J51" t="str">
        <f t="shared" si="5"/>
        <v>6.250</v>
      </c>
      <c r="K51" t="s">
        <v>1018</v>
      </c>
    </row>
    <row r="52" spans="1:11" x14ac:dyDescent="0.45">
      <c r="A52" t="str">
        <f t="shared" si="0"/>
        <v>&lt;note time="9.589" string="1" fret="4" sustain="0.497" vibrato="80" /&gt;</v>
      </c>
      <c r="D52" s="3">
        <f t="shared" si="1"/>
        <v>9.5890000000000004</v>
      </c>
      <c r="E52" s="3">
        <f t="shared" si="2"/>
        <v>7.7</v>
      </c>
      <c r="F52" t="str">
        <f t="shared" si="6"/>
        <v>7.500</v>
      </c>
      <c r="G52" t="s">
        <v>55</v>
      </c>
      <c r="I52" t="str">
        <f t="shared" si="4"/>
        <v>&lt;note time="9.589" string="1" fret="4" /&gt;</v>
      </c>
      <c r="J52" t="str">
        <f t="shared" si="5"/>
        <v>6.375</v>
      </c>
      <c r="K52" t="s">
        <v>1019</v>
      </c>
    </row>
    <row r="53" spans="1:11" x14ac:dyDescent="0.45">
      <c r="A53" t="str">
        <f t="shared" si="0"/>
        <v>&lt;chord time="10.215" chordId="3" &gt;&lt;chordNote time="10.215" string="1" fret="4" leftHand="1" /&gt;&lt;chordNote time="10.215" string="2" fret="6" leftHand="3" /&gt;&lt;chordNote time="10.215" string="3" fret="6" leftHand="4" /&gt;&lt;/chord&gt;</v>
      </c>
      <c r="D53" s="3">
        <f t="shared" si="1"/>
        <v>10.215</v>
      </c>
      <c r="E53" s="3">
        <f t="shared" si="2"/>
        <v>8.1999999999999993</v>
      </c>
      <c r="F53" t="str">
        <f t="shared" ref="F53:F68" si="7">RIGHT(LEFT(G53,18),5)</f>
        <v>8.000</v>
      </c>
      <c r="G53" t="s">
        <v>967</v>
      </c>
      <c r="I53" t="str">
        <f t="shared" si="4"/>
        <v>&lt;note time="10.215" string="1" fret="4" /&gt;</v>
      </c>
      <c r="J53" t="str">
        <f t="shared" si="5"/>
        <v>6.500</v>
      </c>
      <c r="K53" t="s">
        <v>1020</v>
      </c>
    </row>
    <row r="54" spans="1:11" x14ac:dyDescent="0.45">
      <c r="A54" t="str">
        <f t="shared" si="0"/>
        <v>&lt;chord time="10.372" chordId="3" highDensity="1" &gt;&lt;chordNote time="10.372" string="1" fret="4" leftHand="1" /&gt;&lt;chordNote time="10.372" string="2" fret="6" leftHand="3" /&gt;&lt;chordNote time="10.372" string="3" fret="6" leftHand="4" /&gt;&lt;/chord&gt;</v>
      </c>
      <c r="D54" s="3">
        <f t="shared" si="1"/>
        <v>10.372</v>
      </c>
      <c r="E54" s="3">
        <f t="shared" si="2"/>
        <v>8.3249999999999993</v>
      </c>
      <c r="F54" t="str">
        <f t="shared" si="7"/>
        <v>8.125</v>
      </c>
      <c r="G54" t="s">
        <v>329</v>
      </c>
      <c r="I54" t="str">
        <f t="shared" si="4"/>
        <v>&lt;note time="10.372" string="1" fret="4" /&gt;</v>
      </c>
      <c r="J54" t="str">
        <f t="shared" si="5"/>
        <v>6.625</v>
      </c>
      <c r="K54" t="s">
        <v>1021</v>
      </c>
    </row>
    <row r="55" spans="1:11" x14ac:dyDescent="0.45">
      <c r="A55" t="str">
        <f t="shared" si="0"/>
        <v>&lt;chord time="10.528" chordId="3" highDensity="1" &gt;&lt;chordNote time="10.528" string="1" fret="4" leftHand="1" /&gt;&lt;chordNote time="10.528" string="2" fret="6" leftHand="3" /&gt;&lt;chordNote time="10.528" string="3" fret="6" leftHand="4" /&gt;&lt;/chord&gt;</v>
      </c>
      <c r="D55" s="3">
        <f t="shared" si="1"/>
        <v>10.528</v>
      </c>
      <c r="E55" s="3">
        <f t="shared" si="2"/>
        <v>8.4499999999999993</v>
      </c>
      <c r="F55" t="str">
        <f t="shared" si="7"/>
        <v>8.250</v>
      </c>
      <c r="G55" t="s">
        <v>330</v>
      </c>
      <c r="I55" t="str">
        <f t="shared" si="4"/>
        <v>&lt;note time="10.528" string="1" fret="4" /&gt;</v>
      </c>
      <c r="J55" t="str">
        <f t="shared" si="5"/>
        <v>6.750</v>
      </c>
      <c r="K55" t="s">
        <v>1022</v>
      </c>
    </row>
    <row r="56" spans="1:11" x14ac:dyDescent="0.45">
      <c r="A56" t="str">
        <f t="shared" si="0"/>
        <v>&lt;chord time="10.685" chordId="3" highDensity="1" &gt;&lt;chordNote time="10.685" string="1" fret="4" leftHand="1" /&gt;&lt;chordNote time="10.685" string="2" fret="6" leftHand="3" /&gt;&lt;chordNote time="10.685" string="3" fret="6" leftHand="4" /&gt;&lt;/chord&gt;</v>
      </c>
      <c r="D56" s="3">
        <f t="shared" si="1"/>
        <v>10.685</v>
      </c>
      <c r="E56" s="3">
        <f t="shared" si="2"/>
        <v>8.5749999999999993</v>
      </c>
      <c r="F56" t="str">
        <f t="shared" si="7"/>
        <v>8.375</v>
      </c>
      <c r="G56" t="s">
        <v>331</v>
      </c>
      <c r="I56" t="str">
        <f t="shared" si="4"/>
        <v>&lt;note time="10.685" string="0" fret="4" /&gt;</v>
      </c>
      <c r="J56" t="str">
        <f t="shared" si="5"/>
        <v>6.875</v>
      </c>
      <c r="K56" t="s">
        <v>1023</v>
      </c>
    </row>
    <row r="57" spans="1:11" x14ac:dyDescent="0.45">
      <c r="A57" t="str">
        <f t="shared" si="0"/>
        <v>&lt;chord time="10.841" chordId="3" highDensity="1" &gt;&lt;chordNote time="10.841" string="1" fret="4" leftHand="1" /&gt;&lt;chordNote time="10.841" string="2" fret="6" leftHand="3" /&gt;&lt;chordNote time="10.841" string="3" fret="6" leftHand="4" /&gt;&lt;/chord&gt;</v>
      </c>
      <c r="D57" s="3">
        <f t="shared" si="1"/>
        <v>10.840999999999999</v>
      </c>
      <c r="E57" s="3">
        <f t="shared" si="2"/>
        <v>8.6999999999999993</v>
      </c>
      <c r="F57" t="str">
        <f t="shared" si="7"/>
        <v>8.500</v>
      </c>
      <c r="G57" t="s">
        <v>332</v>
      </c>
      <c r="I57" t="str">
        <f t="shared" si="4"/>
        <v>&lt;note time="10.841" string="0" fret="7" /&gt;</v>
      </c>
      <c r="J57" t="str">
        <f t="shared" si="5"/>
        <v>7.000</v>
      </c>
      <c r="K57" t="s">
        <v>1024</v>
      </c>
    </row>
    <row r="58" spans="1:11" x14ac:dyDescent="0.45">
      <c r="A58" t="str">
        <f t="shared" si="0"/>
        <v>&lt;chord time="10.998" chordId="3" highDensity="1" &gt;&lt;chordNote time="10.998" string="1" fret="4" leftHand="1" /&gt;&lt;chordNote time="10.998" string="2" fret="6" leftHand="3" /&gt;&lt;chordNote time="10.998" string="3" fret="6" leftHand="4" /&gt;&lt;/chord&gt;</v>
      </c>
      <c r="D58" s="3">
        <f t="shared" si="1"/>
        <v>10.997999999999999</v>
      </c>
      <c r="E58" s="3">
        <f t="shared" si="2"/>
        <v>8.8249999999999993</v>
      </c>
      <c r="F58" t="str">
        <f t="shared" si="7"/>
        <v>8.625</v>
      </c>
      <c r="G58" t="s">
        <v>333</v>
      </c>
      <c r="I58" t="str">
        <f t="shared" si="4"/>
        <v>&lt;note time="10.998" string="1" fret="4" /&gt;</v>
      </c>
      <c r="J58" t="str">
        <f t="shared" si="5"/>
        <v>7.125</v>
      </c>
      <c r="K58" t="s">
        <v>1025</v>
      </c>
    </row>
    <row r="59" spans="1:11" x14ac:dyDescent="0.45">
      <c r="A59" t="str">
        <f t="shared" si="0"/>
        <v>&lt;chord time="11.154" chordId="3" highDensity="1" &gt;&lt;chordNote time="11.154" string="1" fret="4" leftHand="1" /&gt;&lt;chordNote time="11.154" string="2" fret="6" leftHand="3" /&gt;&lt;chordNote time="11.154" string="3" fret="6" leftHand="4" /&gt;&lt;/chord&gt;</v>
      </c>
      <c r="D59" s="3">
        <f t="shared" si="1"/>
        <v>11.154</v>
      </c>
      <c r="E59" s="3">
        <f t="shared" si="2"/>
        <v>8.9499999999999993</v>
      </c>
      <c r="F59" t="str">
        <f t="shared" si="7"/>
        <v>8.750</v>
      </c>
      <c r="G59" t="s">
        <v>334</v>
      </c>
      <c r="I59" t="str">
        <f t="shared" si="4"/>
        <v>&lt;note time="11.154" string="1" fret="7" /&gt;</v>
      </c>
      <c r="J59" t="str">
        <f t="shared" si="5"/>
        <v>7.250</v>
      </c>
      <c r="K59" t="s">
        <v>1026</v>
      </c>
    </row>
    <row r="60" spans="1:11" x14ac:dyDescent="0.45">
      <c r="A60" t="str">
        <f t="shared" si="0"/>
        <v>&lt;chord time="11.311" chordId="3" highDensity="1" &gt;&lt;chordNote time="11.311" string="1" fret="4" leftHand="1" /&gt;&lt;chordNote time="11.311" string="2" fret="6" leftHand="3" /&gt;&lt;chordNote time="11.311" string="3" fret="6" leftHand="4" /&gt;&lt;/chord&gt;</v>
      </c>
      <c r="D60" s="3">
        <f t="shared" si="1"/>
        <v>11.311</v>
      </c>
      <c r="E60" s="3">
        <f t="shared" si="2"/>
        <v>9.0749999999999993</v>
      </c>
      <c r="F60" t="str">
        <f t="shared" si="7"/>
        <v>8.875</v>
      </c>
      <c r="G60" t="s">
        <v>335</v>
      </c>
      <c r="I60" t="str">
        <f t="shared" si="4"/>
        <v>&lt;note time="11.311" string="1" fret="4" /&gt;</v>
      </c>
      <c r="J60" t="str">
        <f t="shared" si="5"/>
        <v>7.375</v>
      </c>
      <c r="K60" t="s">
        <v>1027</v>
      </c>
    </row>
    <row r="61" spans="1:11" x14ac:dyDescent="0.45">
      <c r="A61" t="str">
        <f t="shared" si="0"/>
        <v>&lt;chord time="11.467" chordId="3" highDensity="1" &gt;&lt;chordNote time="11.467" string="1" fret="4" leftHand="1" /&gt;&lt;chordNote time="11.467" string="2" fret="6" leftHand="3" /&gt;&lt;chordNote time="11.467" string="3" fret="6" leftHand="4" /&gt;&lt;/chord&gt;</v>
      </c>
      <c r="D61" s="3">
        <f t="shared" si="1"/>
        <v>11.467000000000001</v>
      </c>
      <c r="E61" s="3">
        <f t="shared" si="2"/>
        <v>9.1999999999999993</v>
      </c>
      <c r="F61" t="str">
        <f t="shared" si="7"/>
        <v>9.000</v>
      </c>
      <c r="G61" t="s">
        <v>336</v>
      </c>
      <c r="I61" t="str">
        <f t="shared" si="4"/>
        <v>&lt;note time="11.467" string="2" fret="4" /&gt;</v>
      </c>
      <c r="J61" t="str">
        <f t="shared" si="5"/>
        <v>7.500</v>
      </c>
      <c r="K61" t="s">
        <v>1028</v>
      </c>
    </row>
    <row r="62" spans="1:11" x14ac:dyDescent="0.45">
      <c r="A62" t="str">
        <f t="shared" si="0"/>
        <v>&lt;chord time="11.624" chordId="3" highDensity="1" &gt;&lt;chordNote time="11.624" string="1" fret="4" leftHand="1" /&gt;&lt;chordNote time="11.624" string="2" fret="6" leftHand="3" /&gt;&lt;chordNote time="11.624" string="3" fret="6" leftHand="4" /&gt;&lt;/chord&gt;</v>
      </c>
      <c r="D62" s="3">
        <f t="shared" si="1"/>
        <v>11.624000000000001</v>
      </c>
      <c r="E62" s="3">
        <f t="shared" si="2"/>
        <v>9.3249999999999993</v>
      </c>
      <c r="F62" t="str">
        <f t="shared" si="7"/>
        <v>9.125</v>
      </c>
      <c r="G62" t="s">
        <v>337</v>
      </c>
      <c r="I62" t="str">
        <f t="shared" si="4"/>
        <v>&lt;note time="11.624" string="1" fret="7" /&gt;</v>
      </c>
      <c r="J62" t="str">
        <f t="shared" si="5"/>
        <v>7.625</v>
      </c>
      <c r="K62" t="s">
        <v>1029</v>
      </c>
    </row>
    <row r="63" spans="1:11" x14ac:dyDescent="0.45">
      <c r="A63" t="str">
        <f t="shared" si="0"/>
        <v>&lt;chord time="11.780" chordId="3" highDensity="1" &gt;&lt;chordNote time="11.780" string="1" fret="4" leftHand="1" /&gt;&lt;chordNote time="11.780" string="2" fret="6" leftHand="3" /&gt;&lt;chordNote time="11.780" string="3" fret="6" leftHand="4" /&gt;&lt;/chord&gt;</v>
      </c>
      <c r="D63" s="3">
        <f t="shared" si="1"/>
        <v>11.78</v>
      </c>
      <c r="E63" s="3">
        <f t="shared" si="2"/>
        <v>9.4499999999999993</v>
      </c>
      <c r="F63" t="str">
        <f t="shared" si="7"/>
        <v>9.250</v>
      </c>
      <c r="G63" t="s">
        <v>338</v>
      </c>
      <c r="I63" t="str">
        <f t="shared" si="4"/>
        <v>&lt;note time="11.780" string="1" fret="4" /&gt;</v>
      </c>
      <c r="J63" t="str">
        <f t="shared" si="5"/>
        <v>7.750</v>
      </c>
      <c r="K63" t="s">
        <v>1030</v>
      </c>
    </row>
    <row r="64" spans="1:11" x14ac:dyDescent="0.45">
      <c r="A64" t="str">
        <f t="shared" si="0"/>
        <v>&lt;chord time="11.937" chordId="3" highDensity="1" &gt;&lt;chordNote time="11.937" string="1" fret="4" leftHand="1" /&gt;&lt;chordNote time="11.937" string="2" fret="6" leftHand="3" /&gt;&lt;chordNote time="11.937" string="3" fret="6" leftHand="4" /&gt;&lt;/chord&gt;</v>
      </c>
      <c r="D64" s="3">
        <f t="shared" si="1"/>
        <v>11.936999999999999</v>
      </c>
      <c r="E64" s="3">
        <f t="shared" si="2"/>
        <v>9.5749999999999993</v>
      </c>
      <c r="F64" t="str">
        <f t="shared" si="7"/>
        <v>9.375</v>
      </c>
      <c r="G64" t="s">
        <v>339</v>
      </c>
      <c r="I64" t="str">
        <f t="shared" si="4"/>
        <v>&lt;note time="11.937" string="0" fret="7" /&gt;</v>
      </c>
      <c r="J64" t="str">
        <f t="shared" si="5"/>
        <v>7.875</v>
      </c>
      <c r="K64" t="s">
        <v>1031</v>
      </c>
    </row>
    <row r="65" spans="1:11" x14ac:dyDescent="0.45">
      <c r="A65" t="str">
        <f t="shared" si="0"/>
        <v>&lt;chord time="12.093" chordId="3" highDensity="1" &gt;&lt;chordNote time="12.093" string="1" fret="4" leftHand="1" /&gt;&lt;chordNote time="12.093" string="2" fret="6" leftHand="3" /&gt;&lt;chordNote time="12.093" string="3" fret="6" leftHand="4" /&gt;&lt;/chord&gt;</v>
      </c>
      <c r="D65" s="3">
        <f t="shared" si="1"/>
        <v>12.093</v>
      </c>
      <c r="E65" s="3">
        <f t="shared" si="2"/>
        <v>9.6999999999999993</v>
      </c>
      <c r="F65" t="str">
        <f t="shared" si="7"/>
        <v>9.500</v>
      </c>
      <c r="G65" t="s">
        <v>340</v>
      </c>
      <c r="I65" t="str">
        <f t="shared" si="4"/>
        <v>&lt;note time="12.093" string="1" fret="4" /&gt;</v>
      </c>
      <c r="J65" t="str">
        <f t="shared" si="5"/>
        <v>8.000</v>
      </c>
      <c r="K65" t="s">
        <v>1032</v>
      </c>
    </row>
    <row r="66" spans="1:11" x14ac:dyDescent="0.45">
      <c r="A66" t="str">
        <f t="shared" ref="A66:A129" si="8">SUBSTITUTE(G66,F66,TEXT(D66,"0.000"))</f>
        <v>&lt;chord time="12.250" chordId="3" highDensity="1" &gt;&lt;chordNote time="12.250" string="1" fret="4" leftHand="1" /&gt;&lt;chordNote time="12.250" string="2" fret="6" leftHand="3" /&gt;&lt;chordNote time="12.250" string="3" fret="6" leftHand="4" /&gt;&lt;/chord&gt;</v>
      </c>
      <c r="D66" s="3">
        <f t="shared" ref="D66:D129" si="9">ROUNDDOWN(E66-($C$3*(E66-$E$1)/100),3)</f>
        <v>12.25</v>
      </c>
      <c r="E66" s="3">
        <f t="shared" ref="E66:E129" si="10">0.2+F66</f>
        <v>9.8249999999999993</v>
      </c>
      <c r="F66" t="str">
        <f t="shared" si="7"/>
        <v>9.625</v>
      </c>
      <c r="G66" t="s">
        <v>341</v>
      </c>
      <c r="I66" t="str">
        <f t="shared" ref="I66:I129" si="11">SUBSTITUTE(K66,J66,TEXT(D66,"0.000"))</f>
        <v>&lt;note time="12.250" string="1" fret="4" /&gt;</v>
      </c>
      <c r="J66" t="str">
        <f t="shared" ref="J66:J80" si="12">RIGHT(LEFT(K66,17),5)</f>
        <v>8.125</v>
      </c>
      <c r="K66" t="s">
        <v>1033</v>
      </c>
    </row>
    <row r="67" spans="1:11" x14ac:dyDescent="0.45">
      <c r="A67" t="str">
        <f t="shared" si="8"/>
        <v>&lt;chord time="12.406" chordId="3" highDensity="1" &gt;&lt;chordNote time="12.406" string="1" fret="4" leftHand="1" /&gt;&lt;chordNote time="12.406" string="2" fret="6" leftHand="3" /&gt;&lt;chordNote time="12.406" string="3" fret="6" leftHand="4" /&gt;&lt;/chord&gt;</v>
      </c>
      <c r="D67" s="3">
        <f t="shared" si="9"/>
        <v>12.406000000000001</v>
      </c>
      <c r="E67" s="3">
        <f t="shared" si="10"/>
        <v>9.9499999999999993</v>
      </c>
      <c r="F67" t="str">
        <f t="shared" si="7"/>
        <v>9.750</v>
      </c>
      <c r="G67" t="s">
        <v>342</v>
      </c>
      <c r="I67" t="str">
        <f t="shared" si="11"/>
        <v>&lt;note time="12.406" string="1" fret="4" /&gt;</v>
      </c>
      <c r="J67" t="str">
        <f t="shared" si="12"/>
        <v>8.250</v>
      </c>
      <c r="K67" t="s">
        <v>1034</v>
      </c>
    </row>
    <row r="68" spans="1:11" x14ac:dyDescent="0.45">
      <c r="A68" t="str">
        <f t="shared" si="8"/>
        <v>&lt;chord time="12.563" chordId="3" highDensity="1" &gt;&lt;chordNote time="12.563" string="1" fret="4" leftHand="1" /&gt;&lt;chordNote time="12.563" string="2" fret="6" leftHand="3" /&gt;&lt;chordNote time="12.563" string="3" fret="6" leftHand="4" /&gt;&lt;/chord&gt;</v>
      </c>
      <c r="D68" s="3">
        <f t="shared" si="9"/>
        <v>12.563000000000001</v>
      </c>
      <c r="E68" s="3">
        <f t="shared" si="10"/>
        <v>10.074999999999999</v>
      </c>
      <c r="F68" t="str">
        <f t="shared" si="7"/>
        <v>9.875</v>
      </c>
      <c r="G68" t="s">
        <v>343</v>
      </c>
      <c r="I68" t="str">
        <f t="shared" si="11"/>
        <v>&lt;note time="12.563" string="1" fret="4" /&gt;</v>
      </c>
      <c r="J68" t="str">
        <f t="shared" si="12"/>
        <v>8.375</v>
      </c>
      <c r="K68" t="s">
        <v>1035</v>
      </c>
    </row>
    <row r="69" spans="1:11" x14ac:dyDescent="0.45">
      <c r="A69" t="str">
        <f t="shared" si="8"/>
        <v>&lt;chord time="12.719" chordId="4" &gt;&lt;chordNote time="12.719" string="1" fret="2" leftHand="1" /&gt;&lt;chordNote time="12.719" string="2" fret="4" leftHand="3" /&gt;&lt;chordNote time="12.719" string="3" fret="4" leftHand="4" /&gt;&lt;/chord&gt;</v>
      </c>
      <c r="D69" s="3">
        <f t="shared" si="9"/>
        <v>12.718999999999999</v>
      </c>
      <c r="E69" s="3">
        <f t="shared" si="10"/>
        <v>10.199999999999999</v>
      </c>
      <c r="F69" t="str">
        <f t="shared" ref="F69:F132" si="13">RIGHT(LEFT(G69,19),6)</f>
        <v>10.000</v>
      </c>
      <c r="G69" t="s">
        <v>344</v>
      </c>
      <c r="I69" t="str">
        <f t="shared" si="11"/>
        <v>&lt;note time="12.719" string="1" fret="4" /&gt;</v>
      </c>
      <c r="J69" t="str">
        <f t="shared" si="12"/>
        <v>8.500</v>
      </c>
      <c r="K69" t="s">
        <v>1036</v>
      </c>
    </row>
    <row r="70" spans="1:11" x14ac:dyDescent="0.45">
      <c r="A70" t="str">
        <f t="shared" si="8"/>
        <v>&lt;chord time="12.876" chordId="4" highDensity="1" &gt;&lt;chordNote time="12.876" string="1" fret="2" leftHand="1" /&gt;&lt;chordNote time="12.876" string="2" fret="4" leftHand="3" /&gt;&lt;chordNote time="12.876" string="3" fret="4" leftHand="4" /&gt;&lt;/chord&gt;</v>
      </c>
      <c r="D70" s="3">
        <f t="shared" si="9"/>
        <v>12.875999999999999</v>
      </c>
      <c r="E70" s="3">
        <f t="shared" si="10"/>
        <v>10.324999999999999</v>
      </c>
      <c r="F70" t="str">
        <f t="shared" si="13"/>
        <v>10.125</v>
      </c>
      <c r="G70" t="s">
        <v>345</v>
      </c>
      <c r="I70" t="str">
        <f t="shared" si="11"/>
        <v>&lt;note time="12.876" string="1" fret="4" /&gt;</v>
      </c>
      <c r="J70" t="str">
        <f t="shared" si="12"/>
        <v>8.625</v>
      </c>
      <c r="K70" t="s">
        <v>1037</v>
      </c>
    </row>
    <row r="71" spans="1:11" x14ac:dyDescent="0.45">
      <c r="A71" t="str">
        <f t="shared" si="8"/>
        <v>&lt;chord time="13.032" chordId="4" highDensity="1" &gt;&lt;chordNote time="13.032" string="1" fret="2" leftHand="1" /&gt;&lt;chordNote time="13.032" string="2" fret="4" leftHand="3" /&gt;&lt;chordNote time="13.032" string="3" fret="4" leftHand="4" /&gt;&lt;/chord&gt;</v>
      </c>
      <c r="D71" s="3">
        <f t="shared" si="9"/>
        <v>13.032</v>
      </c>
      <c r="E71" s="3">
        <f t="shared" si="10"/>
        <v>10.45</v>
      </c>
      <c r="F71" t="str">
        <f t="shared" si="13"/>
        <v>10.250</v>
      </c>
      <c r="G71" t="s">
        <v>346</v>
      </c>
      <c r="I71" t="str">
        <f t="shared" si="11"/>
        <v>&lt;note time="13.032" string="1" fret="4" /&gt;</v>
      </c>
      <c r="J71" t="str">
        <f t="shared" si="12"/>
        <v>8.750</v>
      </c>
      <c r="K71" t="s">
        <v>1038</v>
      </c>
    </row>
    <row r="72" spans="1:11" x14ac:dyDescent="0.45">
      <c r="A72" t="str">
        <f t="shared" si="8"/>
        <v>&lt;chord time="13.189" chordId="4" highDensity="1" &gt;&lt;chordNote time="13.189" string="1" fret="2" leftHand="1" /&gt;&lt;chordNote time="13.189" string="2" fret="4" leftHand="3" /&gt;&lt;chordNote time="13.189" string="3" fret="4" leftHand="4" /&gt;&lt;/chord&gt;</v>
      </c>
      <c r="D72" s="3">
        <f t="shared" si="9"/>
        <v>13.189</v>
      </c>
      <c r="E72" s="3">
        <f t="shared" si="10"/>
        <v>10.574999999999999</v>
      </c>
      <c r="F72" t="str">
        <f t="shared" si="13"/>
        <v>10.375</v>
      </c>
      <c r="G72" t="s">
        <v>347</v>
      </c>
      <c r="I72" t="str">
        <f t="shared" si="11"/>
        <v>&lt;note time="13.189" string="1" fret="4" /&gt;</v>
      </c>
      <c r="J72" t="str">
        <f t="shared" si="12"/>
        <v>8.875</v>
      </c>
      <c r="K72" t="s">
        <v>1039</v>
      </c>
    </row>
    <row r="73" spans="1:11" x14ac:dyDescent="0.45">
      <c r="A73" t="str">
        <f t="shared" si="8"/>
        <v>&lt;chord time="13.345" chordId="4" highDensity="1" &gt;&lt;chordNote time="13.345" string="1" fret="2" leftHand="1" /&gt;&lt;chordNote time="13.345" string="2" fret="4" leftHand="3" /&gt;&lt;chordNote time="13.345" string="3" fret="4" leftHand="4" /&gt;&lt;/chord&gt;</v>
      </c>
      <c r="D73" s="3">
        <f t="shared" si="9"/>
        <v>13.345000000000001</v>
      </c>
      <c r="E73" s="3">
        <f t="shared" si="10"/>
        <v>10.7</v>
      </c>
      <c r="F73" t="str">
        <f t="shared" si="13"/>
        <v>10.500</v>
      </c>
      <c r="G73" t="s">
        <v>348</v>
      </c>
      <c r="I73" t="str">
        <f t="shared" si="11"/>
        <v>&lt;note time="13.345" string="1" fret="4" /&gt;</v>
      </c>
      <c r="J73" t="str">
        <f t="shared" si="12"/>
        <v>9.000</v>
      </c>
      <c r="K73" t="s">
        <v>1040</v>
      </c>
    </row>
    <row r="74" spans="1:11" x14ac:dyDescent="0.45">
      <c r="A74" t="str">
        <f t="shared" si="8"/>
        <v>&lt;chord time="13.502" chordId="4" highDensity="1" &gt;&lt;chordNote time="13.502" string="1" fret="2" leftHand="1" /&gt;&lt;chordNote time="13.502" string="2" fret="4" leftHand="3" /&gt;&lt;chordNote time="13.502" string="3" fret="4" leftHand="4" /&gt;&lt;/chord&gt;</v>
      </c>
      <c r="D74" s="3">
        <f t="shared" si="9"/>
        <v>13.502000000000001</v>
      </c>
      <c r="E74" s="3">
        <f t="shared" si="10"/>
        <v>10.824999999999999</v>
      </c>
      <c r="F74" t="str">
        <f t="shared" si="13"/>
        <v>10.625</v>
      </c>
      <c r="G74" t="s">
        <v>349</v>
      </c>
      <c r="I74" t="str">
        <f t="shared" si="11"/>
        <v>&lt;note time="13.502" string="1" fret="4" /&gt;</v>
      </c>
      <c r="J74" t="str">
        <f t="shared" si="12"/>
        <v>9.125</v>
      </c>
      <c r="K74" t="s">
        <v>1041</v>
      </c>
    </row>
    <row r="75" spans="1:11" x14ac:dyDescent="0.45">
      <c r="A75" t="str">
        <f t="shared" si="8"/>
        <v>&lt;chord time="13.658" chordId="4" highDensity="1" &gt;&lt;chordNote time="13.658" string="1" fret="2" leftHand="1" /&gt;&lt;chordNote time="13.658" string="2" fret="4" leftHand="3" /&gt;&lt;chordNote time="13.658" string="3" fret="4" leftHand="4" /&gt;&lt;/chord&gt;</v>
      </c>
      <c r="D75" s="3">
        <f t="shared" si="9"/>
        <v>13.657999999999999</v>
      </c>
      <c r="E75" s="3">
        <f t="shared" si="10"/>
        <v>10.95</v>
      </c>
      <c r="F75" t="str">
        <f t="shared" si="13"/>
        <v>10.750</v>
      </c>
      <c r="G75" t="s">
        <v>350</v>
      </c>
      <c r="I75" t="str">
        <f t="shared" si="11"/>
        <v>&lt;note time="13.658" string="1" fret="4" /&gt;</v>
      </c>
      <c r="J75" t="str">
        <f t="shared" si="12"/>
        <v>9.250</v>
      </c>
      <c r="K75" t="s">
        <v>1042</v>
      </c>
    </row>
    <row r="76" spans="1:11" x14ac:dyDescent="0.45">
      <c r="A76" t="str">
        <f t="shared" si="8"/>
        <v>&lt;chord time="13.815" chordId="4" highDensity="1" &gt;&lt;chordNote time="13.815" string="1" fret="2" leftHand="1" /&gt;&lt;chordNote time="13.815" string="2" fret="4" leftHand="3" /&gt;&lt;chordNote time="13.815" string="3" fret="4" leftHand="4" /&gt;&lt;/chord&gt;</v>
      </c>
      <c r="D76" s="3">
        <f t="shared" si="9"/>
        <v>13.815</v>
      </c>
      <c r="E76" s="3">
        <f t="shared" si="10"/>
        <v>11.074999999999999</v>
      </c>
      <c r="F76" t="str">
        <f t="shared" si="13"/>
        <v>10.875</v>
      </c>
      <c r="G76" t="s">
        <v>351</v>
      </c>
      <c r="I76" t="str">
        <f t="shared" si="11"/>
        <v>&lt;note time="13.815" string="1" fret="4" /&gt;</v>
      </c>
      <c r="J76" t="str">
        <f t="shared" si="12"/>
        <v>9.375</v>
      </c>
      <c r="K76" t="s">
        <v>1043</v>
      </c>
    </row>
    <row r="77" spans="1:11" x14ac:dyDescent="0.45">
      <c r="A77" t="str">
        <f t="shared" si="8"/>
        <v>&lt;chord time="13.971" chordId="4" highDensity="1" &gt;&lt;chordNote time="13.971" string="1" fret="2" leftHand="1" /&gt;&lt;chordNote time="13.971" string="2" fret="4" leftHand="3" /&gt;&lt;chordNote time="13.971" string="3" fret="4" leftHand="4" /&gt;&lt;/chord&gt;</v>
      </c>
      <c r="B77" s="1"/>
      <c r="C77" s="1"/>
      <c r="D77" s="3">
        <f t="shared" si="9"/>
        <v>13.971</v>
      </c>
      <c r="E77" s="3">
        <f t="shared" si="10"/>
        <v>11.2</v>
      </c>
      <c r="F77" t="str">
        <f t="shared" si="13"/>
        <v>11.000</v>
      </c>
      <c r="G77" s="1" t="s">
        <v>352</v>
      </c>
      <c r="I77" t="str">
        <f t="shared" si="11"/>
        <v>&lt;note time="13.971" string="1" fret="4" /&gt;</v>
      </c>
      <c r="J77" t="str">
        <f t="shared" si="12"/>
        <v>9.500</v>
      </c>
      <c r="K77" t="s">
        <v>1044</v>
      </c>
    </row>
    <row r="78" spans="1:11" x14ac:dyDescent="0.45">
      <c r="A78" t="str">
        <f t="shared" si="8"/>
        <v>&lt;chord time="14.128" chordId="4" highDensity="1" &gt;&lt;chordNote time="14.128" string="1" fret="2" leftHand="1" /&gt;&lt;chordNote time="14.128" string="2" fret="4" leftHand="3" /&gt;&lt;chordNote time="14.128" string="3" fret="4" leftHand="4" /&gt;&lt;/chord&gt;</v>
      </c>
      <c r="D78" s="3">
        <f t="shared" si="9"/>
        <v>14.128</v>
      </c>
      <c r="E78" s="3">
        <f t="shared" si="10"/>
        <v>11.324999999999999</v>
      </c>
      <c r="F78" t="str">
        <f t="shared" si="13"/>
        <v>11.125</v>
      </c>
      <c r="G78" t="s">
        <v>353</v>
      </c>
      <c r="I78" t="str">
        <f t="shared" si="11"/>
        <v>&lt;note time="14.128" string="1" fret="4" /&gt;</v>
      </c>
      <c r="J78" t="str">
        <f t="shared" si="12"/>
        <v>9.625</v>
      </c>
      <c r="K78" t="s">
        <v>1045</v>
      </c>
    </row>
    <row r="79" spans="1:11" x14ac:dyDescent="0.45">
      <c r="A79" t="str">
        <f t="shared" si="8"/>
        <v>&lt;chord time="14.284" chordId="4" highDensity="1" &gt;&lt;chordNote time="14.284" string="1" fret="2" leftHand="1" /&gt;&lt;chordNote time="14.284" string="2" fret="4" leftHand="3" /&gt;&lt;chordNote time="14.284" string="3" fret="4" leftHand="4" /&gt;&lt;/chord&gt;</v>
      </c>
      <c r="D79" s="3">
        <f t="shared" si="9"/>
        <v>14.284000000000001</v>
      </c>
      <c r="E79" s="3">
        <f t="shared" si="10"/>
        <v>11.45</v>
      </c>
      <c r="F79" t="str">
        <f t="shared" si="13"/>
        <v>11.250</v>
      </c>
      <c r="G79" t="s">
        <v>354</v>
      </c>
      <c r="I79" t="str">
        <f t="shared" si="11"/>
        <v>&lt;note time="14.284" string="1" fret="4" /&gt;</v>
      </c>
      <c r="J79" t="str">
        <f t="shared" si="12"/>
        <v>9.750</v>
      </c>
      <c r="K79" t="s">
        <v>1046</v>
      </c>
    </row>
    <row r="80" spans="1:11" x14ac:dyDescent="0.45">
      <c r="A80" t="str">
        <f t="shared" si="8"/>
        <v>&lt;chord time="14.441" chordId="4" highDensity="1" &gt;&lt;chordNote time="14.441" string="1" fret="2" leftHand="1" /&gt;&lt;chordNote time="14.441" string="2" fret="4" leftHand="3" /&gt;&lt;chordNote time="14.441" string="3" fret="4" leftHand="4" /&gt;&lt;/chord&gt;</v>
      </c>
      <c r="D80" s="3">
        <f t="shared" si="9"/>
        <v>14.441000000000001</v>
      </c>
      <c r="E80" s="3">
        <f t="shared" si="10"/>
        <v>11.574999999999999</v>
      </c>
      <c r="F80" t="str">
        <f t="shared" si="13"/>
        <v>11.375</v>
      </c>
      <c r="G80" t="s">
        <v>355</v>
      </c>
      <c r="I80" t="str">
        <f t="shared" si="11"/>
        <v>&lt;note time="14.441" string="1" fret="4" /&gt;</v>
      </c>
      <c r="J80" t="str">
        <f t="shared" si="12"/>
        <v>9.875</v>
      </c>
      <c r="K80" t="s">
        <v>1047</v>
      </c>
    </row>
    <row r="81" spans="1:11" x14ac:dyDescent="0.45">
      <c r="A81" t="str">
        <f t="shared" si="8"/>
        <v>&lt;chord time="14.597" chordId="4" highDensity="1" &gt;&lt;chordNote time="14.597" string="1" fret="2" leftHand="1" /&gt;&lt;chordNote time="14.597" string="2" fret="4" leftHand="3" /&gt;&lt;chordNote time="14.597" string="3" fret="4" leftHand="4" /&gt;&lt;/chord&gt;</v>
      </c>
      <c r="D81" s="3">
        <f t="shared" si="9"/>
        <v>14.597</v>
      </c>
      <c r="E81" s="3">
        <f t="shared" si="10"/>
        <v>11.7</v>
      </c>
      <c r="F81" t="str">
        <f t="shared" si="13"/>
        <v>11.500</v>
      </c>
      <c r="G81" t="s">
        <v>356</v>
      </c>
      <c r="I81" t="str">
        <f t="shared" si="11"/>
        <v>&lt;note time="14.597" string="1" fret="2" /&gt;</v>
      </c>
      <c r="J81" t="str">
        <f>RIGHT(LEFT(K81,18),6)</f>
        <v>10.000</v>
      </c>
      <c r="K81" t="s">
        <v>1048</v>
      </c>
    </row>
    <row r="82" spans="1:11" x14ac:dyDescent="0.45">
      <c r="A82" t="str">
        <f t="shared" si="8"/>
        <v>&lt;chord time="14.754" chordId="4" highDensity="1" &gt;&lt;chordNote time="14.754" string="1" fret="2" leftHand="1" /&gt;&lt;chordNote time="14.754" string="2" fret="4" leftHand="3" /&gt;&lt;chordNote time="14.754" string="3" fret="4" leftHand="4" /&gt;&lt;/chord&gt;</v>
      </c>
      <c r="D82" s="3">
        <f t="shared" si="9"/>
        <v>14.754</v>
      </c>
      <c r="E82" s="3">
        <f t="shared" si="10"/>
        <v>11.824999999999999</v>
      </c>
      <c r="F82" t="str">
        <f t="shared" si="13"/>
        <v>11.625</v>
      </c>
      <c r="G82" t="s">
        <v>357</v>
      </c>
      <c r="I82" t="str">
        <f t="shared" si="11"/>
        <v>&lt;note time="14.754" string="1" fret="2" /&gt;</v>
      </c>
      <c r="J82" t="str">
        <f t="shared" ref="J82:J145" si="14">RIGHT(LEFT(K82,18),6)</f>
        <v>10.125</v>
      </c>
      <c r="K82" t="s">
        <v>1049</v>
      </c>
    </row>
    <row r="83" spans="1:11" x14ac:dyDescent="0.45">
      <c r="A83" t="str">
        <f t="shared" si="8"/>
        <v>&lt;chord time="14.910" chordId="4" highDensity="1" &gt;&lt;chordNote time="14.910" string="1" fret="2" leftHand="1" /&gt;&lt;chordNote time="14.910" string="2" fret="4" leftHand="3" /&gt;&lt;chordNote time="14.910" string="3" fret="4" leftHand="4" /&gt;&lt;/chord&gt;</v>
      </c>
      <c r="D83" s="3">
        <f t="shared" si="9"/>
        <v>14.91</v>
      </c>
      <c r="E83" s="3">
        <f t="shared" si="10"/>
        <v>11.95</v>
      </c>
      <c r="F83" t="str">
        <f t="shared" si="13"/>
        <v>11.750</v>
      </c>
      <c r="G83" t="s">
        <v>358</v>
      </c>
      <c r="I83" t="str">
        <f t="shared" si="11"/>
        <v>&lt;note time="14.910" string="1" fret="2" /&gt;</v>
      </c>
      <c r="J83" t="str">
        <f t="shared" si="14"/>
        <v>10.250</v>
      </c>
      <c r="K83" t="s">
        <v>1050</v>
      </c>
    </row>
    <row r="84" spans="1:11" x14ac:dyDescent="0.45">
      <c r="A84" t="str">
        <f t="shared" si="8"/>
        <v>&lt;chord time="15.067" chordId="4" highDensity="1" &gt;&lt;chordNote time="15.067" string="1" fret="2" leftHand="1" /&gt;&lt;chordNote time="15.067" string="2" fret="4" leftHand="3" /&gt;&lt;chordNote time="15.067" string="3" fret="4" leftHand="4" /&gt;&lt;/chord&gt;</v>
      </c>
      <c r="D84" s="3">
        <f t="shared" si="9"/>
        <v>15.067</v>
      </c>
      <c r="E84" s="3">
        <f t="shared" si="10"/>
        <v>12.074999999999999</v>
      </c>
      <c r="F84" t="str">
        <f t="shared" si="13"/>
        <v>11.875</v>
      </c>
      <c r="G84" t="s">
        <v>359</v>
      </c>
      <c r="I84" t="str">
        <f t="shared" si="11"/>
        <v>&lt;note time="15.067" string="1" fret="2" /&gt;</v>
      </c>
      <c r="J84" t="str">
        <f t="shared" si="14"/>
        <v>10.375</v>
      </c>
      <c r="K84" t="s">
        <v>1051</v>
      </c>
    </row>
    <row r="85" spans="1:11" x14ac:dyDescent="0.45">
      <c r="A85" t="str">
        <f t="shared" si="8"/>
        <v>&lt;chord time="15.223" chordId="0" &gt;&lt;chordNote time="15.223" string="1" fret="7" leftHand="1" /&gt;&lt;chordNote time="15.223" string="2" fret="9" leftHand="3" /&gt;&lt;chordNote time="15.223" string="3" fret="9" leftHand="4" /&gt;&lt;/chord&gt;</v>
      </c>
      <c r="D85" s="3">
        <f t="shared" si="9"/>
        <v>15.223000000000001</v>
      </c>
      <c r="E85" s="3">
        <f t="shared" si="10"/>
        <v>12.2</v>
      </c>
      <c r="F85" t="str">
        <f t="shared" si="13"/>
        <v>12.000</v>
      </c>
      <c r="G85" t="s">
        <v>360</v>
      </c>
      <c r="I85" t="str">
        <f t="shared" si="11"/>
        <v>&lt;note time="15.223" string="1" fret="2" /&gt;</v>
      </c>
      <c r="J85" t="str">
        <f t="shared" si="14"/>
        <v>10.500</v>
      </c>
      <c r="K85" t="s">
        <v>1052</v>
      </c>
    </row>
    <row r="86" spans="1:11" x14ac:dyDescent="0.45">
      <c r="A86" t="str">
        <f t="shared" si="8"/>
        <v>&lt;chord time="15.380" chordId="0" highDensity="1" &gt;&lt;chordNote time="15.380" string="1" fret="7" leftHand="1" /&gt;&lt;chordNote time="15.380" string="2" fret="9" leftHand="3" /&gt;&lt;chordNote time="15.380" string="3" fret="9" leftHand="4" /&gt;&lt;/chord&gt;</v>
      </c>
      <c r="D86" s="3">
        <f t="shared" si="9"/>
        <v>15.38</v>
      </c>
      <c r="E86" s="3">
        <f t="shared" si="10"/>
        <v>12.324999999999999</v>
      </c>
      <c r="F86" t="str">
        <f t="shared" si="13"/>
        <v>12.125</v>
      </c>
      <c r="G86" t="s">
        <v>361</v>
      </c>
      <c r="I86" t="str">
        <f t="shared" si="11"/>
        <v>&lt;note time="15.380" string="1" fret="2" /&gt;</v>
      </c>
      <c r="J86" t="str">
        <f t="shared" si="14"/>
        <v>10.625</v>
      </c>
      <c r="K86" t="s">
        <v>1053</v>
      </c>
    </row>
    <row r="87" spans="1:11" x14ac:dyDescent="0.45">
      <c r="A87" t="str">
        <f t="shared" si="8"/>
        <v>&lt;chord time="15.536" chordId="0" highDensity="1" &gt;&lt;chordNote time="15.536" string="1" fret="7" leftHand="1" /&gt;&lt;chordNote time="15.536" string="2" fret="9" leftHand="3" /&gt;&lt;chordNote time="15.536" string="3" fret="9" leftHand="4" /&gt;&lt;/chord&gt;</v>
      </c>
      <c r="D87" s="3">
        <f t="shared" si="9"/>
        <v>15.536</v>
      </c>
      <c r="E87" s="3">
        <f t="shared" si="10"/>
        <v>12.45</v>
      </c>
      <c r="F87" t="str">
        <f t="shared" si="13"/>
        <v>12.250</v>
      </c>
      <c r="G87" t="s">
        <v>362</v>
      </c>
      <c r="I87" t="str">
        <f t="shared" si="11"/>
        <v>&lt;note time="15.536" string="1" fret="2" /&gt;</v>
      </c>
      <c r="J87" t="str">
        <f t="shared" si="14"/>
        <v>10.750</v>
      </c>
      <c r="K87" t="s">
        <v>1054</v>
      </c>
    </row>
    <row r="88" spans="1:11" x14ac:dyDescent="0.45">
      <c r="A88" t="str">
        <f t="shared" si="8"/>
        <v>&lt;chord time="15.693" chordId="0" highDensity="1" &gt;&lt;chordNote time="15.693" string="1" fret="7" leftHand="1" /&gt;&lt;chordNote time="15.693" string="2" fret="9" leftHand="3" /&gt;&lt;chordNote time="15.693" string="3" fret="9" leftHand="4" /&gt;&lt;/chord&gt;</v>
      </c>
      <c r="D88" s="3">
        <f t="shared" si="9"/>
        <v>15.693</v>
      </c>
      <c r="E88" s="3">
        <f t="shared" si="10"/>
        <v>12.574999999999999</v>
      </c>
      <c r="F88" t="str">
        <f t="shared" si="13"/>
        <v>12.375</v>
      </c>
      <c r="G88" t="s">
        <v>363</v>
      </c>
      <c r="I88" t="str">
        <f t="shared" si="11"/>
        <v>&lt;note time="15.693" string="1" fret="2" /&gt;</v>
      </c>
      <c r="J88" t="str">
        <f t="shared" si="14"/>
        <v>10.875</v>
      </c>
      <c r="K88" t="s">
        <v>1055</v>
      </c>
    </row>
    <row r="89" spans="1:11" x14ac:dyDescent="0.45">
      <c r="A89" t="str">
        <f t="shared" si="8"/>
        <v>&lt;chord time="15.849" chordId="0" highDensity="1" &gt;&lt;chordNote time="15.849" string="1" fret="7" leftHand="1" /&gt;&lt;chordNote time="15.849" string="2" fret="9" leftHand="3" /&gt;&lt;chordNote time="15.849" string="3" fret="9" leftHand="4" /&gt;&lt;/chord&gt;</v>
      </c>
      <c r="D89" s="3">
        <f t="shared" si="9"/>
        <v>15.849</v>
      </c>
      <c r="E89" s="3">
        <f t="shared" si="10"/>
        <v>12.7</v>
      </c>
      <c r="F89" t="str">
        <f t="shared" si="13"/>
        <v>12.500</v>
      </c>
      <c r="G89" t="s">
        <v>364</v>
      </c>
      <c r="I89" t="str">
        <f t="shared" si="11"/>
        <v>&lt;note time="15.849" string="1" fret="2" /&gt;</v>
      </c>
      <c r="J89" t="str">
        <f t="shared" si="14"/>
        <v>11.000</v>
      </c>
      <c r="K89" t="s">
        <v>1056</v>
      </c>
    </row>
    <row r="90" spans="1:11" x14ac:dyDescent="0.45">
      <c r="A90" t="str">
        <f t="shared" si="8"/>
        <v>&lt;chord time="16.006" chordId="0" highDensity="1" &gt;&lt;chordNote time="16.006" string="1" fret="7" leftHand="1" /&gt;&lt;chordNote time="16.006" string="2" fret="9" leftHand="3" /&gt;&lt;chordNote time="16.006" string="3" fret="9" leftHand="4" /&gt;&lt;/chord&gt;</v>
      </c>
      <c r="D90" s="3">
        <f t="shared" si="9"/>
        <v>16.006</v>
      </c>
      <c r="E90" s="3">
        <f t="shared" si="10"/>
        <v>12.824999999999999</v>
      </c>
      <c r="F90" t="str">
        <f t="shared" si="13"/>
        <v>12.625</v>
      </c>
      <c r="G90" t="s">
        <v>365</v>
      </c>
      <c r="I90" t="str">
        <f t="shared" si="11"/>
        <v>&lt;note time="16.006" string="1" fret="2" /&gt;</v>
      </c>
      <c r="J90" t="str">
        <f t="shared" si="14"/>
        <v>11.125</v>
      </c>
      <c r="K90" t="s">
        <v>1057</v>
      </c>
    </row>
    <row r="91" spans="1:11" x14ac:dyDescent="0.45">
      <c r="A91" t="str">
        <f t="shared" si="8"/>
        <v>&lt;chord time="16.162" chordId="0" highDensity="1" &gt;&lt;chordNote time="16.162" string="1" fret="7" leftHand="1" /&gt;&lt;chordNote time="16.162" string="2" fret="9" leftHand="3" /&gt;&lt;chordNote time="16.162" string="3" fret="9" leftHand="4" /&gt;&lt;/chord&gt;</v>
      </c>
      <c r="D91" s="3">
        <f t="shared" si="9"/>
        <v>16.161999999999999</v>
      </c>
      <c r="E91" s="3">
        <f t="shared" si="10"/>
        <v>12.95</v>
      </c>
      <c r="F91" t="str">
        <f t="shared" si="13"/>
        <v>12.750</v>
      </c>
      <c r="G91" t="s">
        <v>366</v>
      </c>
      <c r="I91" t="str">
        <f t="shared" si="11"/>
        <v>&lt;note time="16.162" string="1" fret="2" /&gt;</v>
      </c>
      <c r="J91" t="str">
        <f t="shared" si="14"/>
        <v>11.250</v>
      </c>
      <c r="K91" t="s">
        <v>1058</v>
      </c>
    </row>
    <row r="92" spans="1:11" x14ac:dyDescent="0.45">
      <c r="A92" t="str">
        <f t="shared" si="8"/>
        <v>&lt;chord time="16.319" chordId="0" highDensity="1" &gt;&lt;chordNote time="16.319" string="1" fret="7" leftHand="1" /&gt;&lt;chordNote time="16.319" string="2" fret="9" leftHand="3" /&gt;&lt;chordNote time="16.319" string="3" fret="9" leftHand="4" /&gt;&lt;/chord&gt;</v>
      </c>
      <c r="D92" s="3">
        <f t="shared" si="9"/>
        <v>16.318999999999999</v>
      </c>
      <c r="E92" s="3">
        <f t="shared" si="10"/>
        <v>13.074999999999999</v>
      </c>
      <c r="F92" t="str">
        <f t="shared" si="13"/>
        <v>12.875</v>
      </c>
      <c r="G92" t="s">
        <v>367</v>
      </c>
      <c r="I92" t="str">
        <f t="shared" si="11"/>
        <v>&lt;note time="16.319" string="1" fret="2" /&gt;</v>
      </c>
      <c r="J92" t="str">
        <f t="shared" si="14"/>
        <v>11.375</v>
      </c>
      <c r="K92" t="s">
        <v>1059</v>
      </c>
    </row>
    <row r="93" spans="1:11" x14ac:dyDescent="0.45">
      <c r="A93" t="str">
        <f t="shared" si="8"/>
        <v>&lt;chord time="16.475" chordId="0" highDensity="1" &gt;&lt;chordNote time="16.475" string="1" fret="7" leftHand="1" /&gt;&lt;chordNote time="16.475" string="2" fret="9" leftHand="3" /&gt;&lt;chordNote time="16.475" string="3" fret="9" leftHand="4" /&gt;&lt;/chord&gt;</v>
      </c>
      <c r="D93" s="3">
        <f t="shared" si="9"/>
        <v>16.475000000000001</v>
      </c>
      <c r="E93" s="3">
        <f t="shared" si="10"/>
        <v>13.2</v>
      </c>
      <c r="F93" t="str">
        <f t="shared" si="13"/>
        <v>13.000</v>
      </c>
      <c r="G93" t="s">
        <v>368</v>
      </c>
      <c r="I93" t="str">
        <f t="shared" si="11"/>
        <v>&lt;note time="16.475" string="1" fret="2" /&gt;</v>
      </c>
      <c r="J93" t="str">
        <f t="shared" si="14"/>
        <v>11.500</v>
      </c>
      <c r="K93" t="s">
        <v>1060</v>
      </c>
    </row>
    <row r="94" spans="1:11" x14ac:dyDescent="0.45">
      <c r="A94" t="str">
        <f t="shared" si="8"/>
        <v>&lt;chord time="16.632" chordId="0" highDensity="1" &gt;&lt;chordNote time="16.632" string="1" fret="7" leftHand="1" /&gt;&lt;chordNote time="16.632" string="2" fret="9" leftHand="3" /&gt;&lt;chordNote time="16.632" string="3" fret="9" leftHand="4" /&gt;&lt;/chord&gt;</v>
      </c>
      <c r="D94" s="3">
        <f t="shared" si="9"/>
        <v>16.632000000000001</v>
      </c>
      <c r="E94" s="3">
        <f t="shared" si="10"/>
        <v>13.324999999999999</v>
      </c>
      <c r="F94" t="str">
        <f t="shared" si="13"/>
        <v>13.125</v>
      </c>
      <c r="G94" t="s">
        <v>369</v>
      </c>
      <c r="I94" t="str">
        <f t="shared" si="11"/>
        <v>&lt;note time="16.632" string="1" fret="2" /&gt;</v>
      </c>
      <c r="J94" t="str">
        <f t="shared" si="14"/>
        <v>11.625</v>
      </c>
      <c r="K94" t="s">
        <v>1061</v>
      </c>
    </row>
    <row r="95" spans="1:11" x14ac:dyDescent="0.45">
      <c r="A95" t="str">
        <f t="shared" si="8"/>
        <v>&lt;chord time="16.788" chordId="0" highDensity="1" &gt;&lt;chordNote time="16.788" string="1" fret="7" leftHand="1" /&gt;&lt;chordNote time="16.788" string="2" fret="9" leftHand="3" /&gt;&lt;chordNote time="16.788" string="3" fret="9" leftHand="4" /&gt;&lt;/chord&gt;</v>
      </c>
      <c r="D95" s="3">
        <f t="shared" si="9"/>
        <v>16.788</v>
      </c>
      <c r="E95" s="3">
        <f t="shared" si="10"/>
        <v>13.45</v>
      </c>
      <c r="F95" t="str">
        <f t="shared" si="13"/>
        <v>13.250</v>
      </c>
      <c r="G95" t="s">
        <v>370</v>
      </c>
      <c r="I95" t="str">
        <f t="shared" si="11"/>
        <v>&lt;note time="16.788" string="1" fret="2" /&gt;</v>
      </c>
      <c r="J95" t="str">
        <f t="shared" si="14"/>
        <v>11.750</v>
      </c>
      <c r="K95" t="s">
        <v>1062</v>
      </c>
    </row>
    <row r="96" spans="1:11" x14ac:dyDescent="0.45">
      <c r="A96" t="str">
        <f t="shared" si="8"/>
        <v>&lt;chord time="16.945" chordId="0" highDensity="1" &gt;&lt;chordNote time="16.945" string="1" fret="7" leftHand="1" /&gt;&lt;chordNote time="16.945" string="2" fret="9" leftHand="3" /&gt;&lt;chordNote time="16.945" string="3" fret="9" leftHand="4" /&gt;&lt;/chord&gt;</v>
      </c>
      <c r="D96" s="3">
        <f t="shared" si="9"/>
        <v>16.945</v>
      </c>
      <c r="E96" s="3">
        <f t="shared" si="10"/>
        <v>13.574999999999999</v>
      </c>
      <c r="F96" t="str">
        <f t="shared" si="13"/>
        <v>13.375</v>
      </c>
      <c r="G96" t="s">
        <v>371</v>
      </c>
      <c r="I96" t="str">
        <f t="shared" si="11"/>
        <v>&lt;note time="16.945" string="1" fret="2" /&gt;</v>
      </c>
      <c r="J96" t="str">
        <f t="shared" si="14"/>
        <v>11.875</v>
      </c>
      <c r="K96" t="s">
        <v>1063</v>
      </c>
    </row>
    <row r="97" spans="1:11" x14ac:dyDescent="0.45">
      <c r="A97" t="str">
        <f t="shared" si="8"/>
        <v>&lt;chord time="17.101" chordId="0" highDensity="1" &gt;&lt;chordNote time="17.101" string="1" fret="7" leftHand="1" /&gt;&lt;chordNote time="17.101" string="2" fret="9" leftHand="3" /&gt;&lt;chordNote time="17.101" string="3" fret="9" leftHand="4" /&gt;&lt;/chord&gt;</v>
      </c>
      <c r="D97" s="3">
        <f t="shared" si="9"/>
        <v>17.100999999999999</v>
      </c>
      <c r="E97" s="3">
        <f t="shared" si="10"/>
        <v>13.7</v>
      </c>
      <c r="F97" t="str">
        <f t="shared" si="13"/>
        <v>13.500</v>
      </c>
      <c r="G97" t="s">
        <v>372</v>
      </c>
      <c r="I97" t="str">
        <f t="shared" si="11"/>
        <v>&lt;note time="17.101" string="1" fret="7" /&gt;</v>
      </c>
      <c r="J97" t="str">
        <f t="shared" si="14"/>
        <v>12.000</v>
      </c>
      <c r="K97" t="s">
        <v>1064</v>
      </c>
    </row>
    <row r="98" spans="1:11" x14ac:dyDescent="0.45">
      <c r="A98" t="str">
        <f t="shared" si="8"/>
        <v>&lt;chord time="17.258" chordId="0" highDensity="1" &gt;&lt;chordNote time="17.258" string="1" fret="7" leftHand="1" /&gt;&lt;chordNote time="17.258" string="2" fret="9" leftHand="3" /&gt;&lt;chordNote time="17.258" string="3" fret="9" leftHand="4" /&gt;&lt;/chord&gt;</v>
      </c>
      <c r="D98" s="3">
        <f t="shared" si="9"/>
        <v>17.257999999999999</v>
      </c>
      <c r="E98" s="3">
        <f t="shared" si="10"/>
        <v>13.824999999999999</v>
      </c>
      <c r="F98" t="str">
        <f t="shared" si="13"/>
        <v>13.625</v>
      </c>
      <c r="G98" t="s">
        <v>373</v>
      </c>
      <c r="I98" t="str">
        <f t="shared" si="11"/>
        <v>&lt;note time="17.258" string="1" fret="7" /&gt;</v>
      </c>
      <c r="J98" t="str">
        <f t="shared" si="14"/>
        <v>12.125</v>
      </c>
      <c r="K98" t="s">
        <v>1065</v>
      </c>
    </row>
    <row r="99" spans="1:11" x14ac:dyDescent="0.45">
      <c r="A99" t="str">
        <f t="shared" si="8"/>
        <v>&lt;chord time="17.414" chordId="0" highDensity="1" &gt;&lt;chordNote time="17.414" string="1" fret="7" leftHand="1" /&gt;&lt;chordNote time="17.414" string="2" fret="9" leftHand="3" /&gt;&lt;chordNote time="17.414" string="3" fret="9" leftHand="4" /&gt;&lt;/chord&gt;</v>
      </c>
      <c r="D99" s="3">
        <f t="shared" si="9"/>
        <v>17.414000000000001</v>
      </c>
      <c r="E99" s="3">
        <f t="shared" si="10"/>
        <v>13.95</v>
      </c>
      <c r="F99" t="str">
        <f t="shared" si="13"/>
        <v>13.750</v>
      </c>
      <c r="G99" t="s">
        <v>374</v>
      </c>
      <c r="I99" t="str">
        <f t="shared" si="11"/>
        <v>&lt;note time="17.414" string="1" fret="7" /&gt;</v>
      </c>
      <c r="J99" t="str">
        <f t="shared" si="14"/>
        <v>12.250</v>
      </c>
      <c r="K99" t="s">
        <v>1066</v>
      </c>
    </row>
    <row r="100" spans="1:11" x14ac:dyDescent="0.45">
      <c r="A100" t="str">
        <f t="shared" si="8"/>
        <v>&lt;chord time="17.571" chordId="0" highDensity="1" &gt;&lt;chordNote time="17.571" string="1" fret="7" leftHand="1" /&gt;&lt;chordNote time="17.571" string="2" fret="9" leftHand="3" /&gt;&lt;chordNote time="17.571" string="3" fret="9" leftHand="4" /&gt;&lt;/chord&gt;</v>
      </c>
      <c r="D100" s="3">
        <f t="shared" si="9"/>
        <v>17.571000000000002</v>
      </c>
      <c r="E100" s="3">
        <f t="shared" si="10"/>
        <v>14.074999999999999</v>
      </c>
      <c r="F100" t="str">
        <f t="shared" si="13"/>
        <v>13.875</v>
      </c>
      <c r="G100" t="s">
        <v>375</v>
      </c>
      <c r="I100" t="str">
        <f t="shared" si="11"/>
        <v>&lt;note time="17.571" string="1" fret="7" /&gt;</v>
      </c>
      <c r="J100" t="str">
        <f t="shared" si="14"/>
        <v>12.375</v>
      </c>
      <c r="K100" t="s">
        <v>1067</v>
      </c>
    </row>
    <row r="101" spans="1:11" x14ac:dyDescent="0.45">
      <c r="A101" t="str">
        <f t="shared" si="8"/>
        <v>&lt;chord time="17.727" chordId="1" &gt;&lt;chordNote time="17.727" string="1" fret="9" leftHand="1" /&gt;&lt;chordNote time="17.727" string="2" fret="11" leftHand="3" /&gt;&lt;chordNote time="17.727" string="3" fret="11" leftHand="4" /&gt;&lt;/chord&gt;</v>
      </c>
      <c r="D101" s="3">
        <f t="shared" si="9"/>
        <v>17.727</v>
      </c>
      <c r="E101" s="3">
        <f t="shared" si="10"/>
        <v>14.2</v>
      </c>
      <c r="F101" t="str">
        <f t="shared" si="13"/>
        <v>14.000</v>
      </c>
      <c r="G101" t="s">
        <v>376</v>
      </c>
      <c r="I101" t="str">
        <f t="shared" si="11"/>
        <v>&lt;note time="17.727" string="1" fret="7" /&gt;</v>
      </c>
      <c r="J101" t="str">
        <f t="shared" si="14"/>
        <v>12.500</v>
      </c>
      <c r="K101" t="s">
        <v>1068</v>
      </c>
    </row>
    <row r="102" spans="1:11" x14ac:dyDescent="0.45">
      <c r="A102" t="str">
        <f t="shared" si="8"/>
        <v>&lt;chord time="17.884" chordId="1" highDensity="1" &gt;&lt;chordNote time="17.884" string="1" fret="9" leftHand="1" /&gt;&lt;chordNote time="17.884" string="2" fret="11" leftHand="3" /&gt;&lt;chordNote time="17.884" string="3" fret="11" leftHand="4" /&gt;&lt;/chord&gt;</v>
      </c>
      <c r="D102" s="3">
        <f t="shared" si="9"/>
        <v>17.884</v>
      </c>
      <c r="E102" s="3">
        <f t="shared" si="10"/>
        <v>14.324999999999999</v>
      </c>
      <c r="F102" t="str">
        <f t="shared" si="13"/>
        <v>14.125</v>
      </c>
      <c r="G102" t="s">
        <v>377</v>
      </c>
      <c r="I102" t="str">
        <f t="shared" si="11"/>
        <v>&lt;note time="17.884" string="1" fret="7" /&gt;</v>
      </c>
      <c r="J102" t="str">
        <f t="shared" si="14"/>
        <v>12.625</v>
      </c>
      <c r="K102" t="s">
        <v>1069</v>
      </c>
    </row>
    <row r="103" spans="1:11" x14ac:dyDescent="0.45">
      <c r="A103" t="str">
        <f t="shared" si="8"/>
        <v>&lt;chord time="18.040" chordId="1" highDensity="1" &gt;&lt;chordNote time="18.040" string="1" fret="9" leftHand="1" /&gt;&lt;chordNote time="18.040" string="2" fret="11" leftHand="3" /&gt;&lt;chordNote time="18.040" string="3" fret="11" leftHand="4" /&gt;&lt;/chord&gt;</v>
      </c>
      <c r="D103" s="3">
        <f t="shared" si="9"/>
        <v>18.04</v>
      </c>
      <c r="E103" s="3">
        <f t="shared" si="10"/>
        <v>14.45</v>
      </c>
      <c r="F103" t="str">
        <f t="shared" si="13"/>
        <v>14.250</v>
      </c>
      <c r="G103" t="s">
        <v>378</v>
      </c>
      <c r="I103" t="str">
        <f t="shared" si="11"/>
        <v>&lt;note time="18.040" string="1" fret="7" /&gt;</v>
      </c>
      <c r="J103" t="str">
        <f t="shared" si="14"/>
        <v>12.750</v>
      </c>
      <c r="K103" t="s">
        <v>1070</v>
      </c>
    </row>
    <row r="104" spans="1:11" x14ac:dyDescent="0.45">
      <c r="A104" t="str">
        <f t="shared" si="8"/>
        <v>&lt;chord time="18.197" chordId="1" highDensity="1" &gt;&lt;chordNote time="18.197" string="1" fret="9" leftHand="1" /&gt;&lt;chordNote time="18.197" string="2" fret="11" leftHand="3" /&gt;&lt;chordNote time="18.197" string="3" fret="11" leftHand="4" /&gt;&lt;/chord&gt;</v>
      </c>
      <c r="D104" s="3">
        <f t="shared" si="9"/>
        <v>18.196999999999999</v>
      </c>
      <c r="E104" s="3">
        <f t="shared" si="10"/>
        <v>14.574999999999999</v>
      </c>
      <c r="F104" t="str">
        <f t="shared" si="13"/>
        <v>14.375</v>
      </c>
      <c r="G104" t="s">
        <v>379</v>
      </c>
      <c r="I104" t="str">
        <f t="shared" si="11"/>
        <v>&lt;note time="18.197" string="1" fret="7" /&gt;</v>
      </c>
      <c r="J104" t="str">
        <f t="shared" si="14"/>
        <v>12.875</v>
      </c>
      <c r="K104" t="s">
        <v>1071</v>
      </c>
    </row>
    <row r="105" spans="1:11" x14ac:dyDescent="0.45">
      <c r="A105" t="str">
        <f t="shared" si="8"/>
        <v>&lt;chord time="18.353" chordId="1" highDensity="1" &gt;&lt;chordNote time="18.353" string="1" fret="9" leftHand="1" /&gt;&lt;chordNote time="18.353" string="2" fret="11" leftHand="3" /&gt;&lt;chordNote time="18.353" string="3" fret="11" leftHand="4" /&gt;&lt;/chord&gt;</v>
      </c>
      <c r="D105" s="3">
        <f t="shared" si="9"/>
        <v>18.353000000000002</v>
      </c>
      <c r="E105" s="3">
        <f t="shared" si="10"/>
        <v>14.7</v>
      </c>
      <c r="F105" t="str">
        <f t="shared" si="13"/>
        <v>14.500</v>
      </c>
      <c r="G105" t="s">
        <v>380</v>
      </c>
      <c r="I105" t="str">
        <f t="shared" si="11"/>
        <v>&lt;note time="18.353" string="1" fret="7" /&gt;</v>
      </c>
      <c r="J105" t="str">
        <f t="shared" si="14"/>
        <v>13.000</v>
      </c>
      <c r="K105" t="s">
        <v>1072</v>
      </c>
    </row>
    <row r="106" spans="1:11" x14ac:dyDescent="0.45">
      <c r="A106" t="str">
        <f t="shared" si="8"/>
        <v>&lt;chord time="18.510" chordId="1" highDensity="1" &gt;&lt;chordNote time="18.510" string="1" fret="9" leftHand="1" /&gt;&lt;chordNote time="18.510" string="2" fret="11" leftHand="3" /&gt;&lt;chordNote time="18.510" string="3" fret="11" leftHand="4" /&gt;&lt;/chord&gt;</v>
      </c>
      <c r="D106" s="3">
        <f t="shared" si="9"/>
        <v>18.510000000000002</v>
      </c>
      <c r="E106" s="3">
        <f t="shared" si="10"/>
        <v>14.824999999999999</v>
      </c>
      <c r="F106" t="str">
        <f t="shared" si="13"/>
        <v>14.625</v>
      </c>
      <c r="G106" t="s">
        <v>381</v>
      </c>
      <c r="I106" t="str">
        <f t="shared" si="11"/>
        <v>&lt;note time="18.510" string="1" fret="7" /&gt;</v>
      </c>
      <c r="J106" t="str">
        <f t="shared" si="14"/>
        <v>13.125</v>
      </c>
      <c r="K106" t="s">
        <v>1073</v>
      </c>
    </row>
    <row r="107" spans="1:11" x14ac:dyDescent="0.45">
      <c r="A107" t="str">
        <f t="shared" si="8"/>
        <v>&lt;chord time="18.666" chordId="1" highDensity="1" &gt;&lt;chordNote time="18.666" string="1" fret="9" leftHand="1" /&gt;&lt;chordNote time="18.666" string="2" fret="11" leftHand="3" /&gt;&lt;chordNote time="18.666" string="3" fret="11" leftHand="4" /&gt;&lt;/chord&gt;</v>
      </c>
      <c r="D107" s="3">
        <f t="shared" si="9"/>
        <v>18.666</v>
      </c>
      <c r="E107" s="3">
        <f t="shared" si="10"/>
        <v>14.95</v>
      </c>
      <c r="F107" t="str">
        <f t="shared" si="13"/>
        <v>14.750</v>
      </c>
      <c r="G107" t="s">
        <v>382</v>
      </c>
      <c r="I107" t="str">
        <f t="shared" si="11"/>
        <v>&lt;note time="18.666" string="1" fret="7" /&gt;</v>
      </c>
      <c r="J107" t="str">
        <f t="shared" si="14"/>
        <v>13.250</v>
      </c>
      <c r="K107" t="s">
        <v>1074</v>
      </c>
    </row>
    <row r="108" spans="1:11" x14ac:dyDescent="0.45">
      <c r="A108" t="str">
        <f t="shared" si="8"/>
        <v>&lt;chord time="18.823" chordId="1" highDensity="1" &gt;&lt;chordNote time="18.823" string="1" fret="9" leftHand="1" /&gt;&lt;chordNote time="18.823" string="2" fret="11" leftHand="3" /&gt;&lt;chordNote time="18.823" string="3" fret="11" leftHand="4" /&gt;&lt;/chord&gt;</v>
      </c>
      <c r="D108" s="3">
        <f t="shared" si="9"/>
        <v>18.823</v>
      </c>
      <c r="E108" s="3">
        <f t="shared" si="10"/>
        <v>15.074999999999999</v>
      </c>
      <c r="F108" t="str">
        <f t="shared" si="13"/>
        <v>14.875</v>
      </c>
      <c r="G108" t="s">
        <v>383</v>
      </c>
      <c r="I108" t="str">
        <f t="shared" si="11"/>
        <v>&lt;note time="18.823" string="1" fret="7" /&gt;</v>
      </c>
      <c r="J108" t="str">
        <f t="shared" si="14"/>
        <v>13.375</v>
      </c>
      <c r="K108" t="s">
        <v>1075</v>
      </c>
    </row>
    <row r="109" spans="1:11" x14ac:dyDescent="0.45">
      <c r="A109" t="str">
        <f t="shared" si="8"/>
        <v>&lt;chord time="18.979" chordId="1" highDensity="1" &gt;&lt;chordNote time="18.979" string="1" fret="9" leftHand="1" /&gt;&lt;chordNote time="18.979" string="2" fret="11" leftHand="3" /&gt;&lt;chordNote time="18.979" string="3" fret="11" leftHand="4" /&gt;&lt;/chord&gt;</v>
      </c>
      <c r="D109" s="3">
        <f t="shared" si="9"/>
        <v>18.978999999999999</v>
      </c>
      <c r="E109" s="3">
        <f t="shared" si="10"/>
        <v>15.2</v>
      </c>
      <c r="F109" t="str">
        <f t="shared" si="13"/>
        <v>15.000</v>
      </c>
      <c r="G109" t="s">
        <v>384</v>
      </c>
      <c r="I109" t="str">
        <f t="shared" si="11"/>
        <v>&lt;note time="18.979" string="1" fret="7" /&gt;</v>
      </c>
      <c r="J109" t="str">
        <f t="shared" si="14"/>
        <v>13.500</v>
      </c>
      <c r="K109" t="s">
        <v>1076</v>
      </c>
    </row>
    <row r="110" spans="1:11" x14ac:dyDescent="0.45">
      <c r="A110" t="str">
        <f t="shared" si="8"/>
        <v>&lt;chord time="19.136" chordId="1" highDensity="1" &gt;&lt;chordNote time="19.136" string="1" fret="9" leftHand="1" /&gt;&lt;chordNote time="19.136" string="2" fret="11" leftHand="3" /&gt;&lt;chordNote time="19.136" string="3" fret="11" leftHand="4" /&gt;&lt;/chord&gt;</v>
      </c>
      <c r="D110" s="3">
        <f t="shared" si="9"/>
        <v>19.135999999999999</v>
      </c>
      <c r="E110" s="3">
        <f t="shared" si="10"/>
        <v>15.324999999999999</v>
      </c>
      <c r="F110" t="str">
        <f t="shared" si="13"/>
        <v>15.125</v>
      </c>
      <c r="G110" t="s">
        <v>385</v>
      </c>
      <c r="I110" t="str">
        <f t="shared" si="11"/>
        <v>&lt;note time="19.136" string="1" fret="7" /&gt;</v>
      </c>
      <c r="J110" t="str">
        <f t="shared" si="14"/>
        <v>13.625</v>
      </c>
      <c r="K110" t="s">
        <v>1077</v>
      </c>
    </row>
    <row r="111" spans="1:11" x14ac:dyDescent="0.45">
      <c r="A111" t="str">
        <f t="shared" si="8"/>
        <v>&lt;chord time="19.292" chordId="1" highDensity="1" &gt;&lt;chordNote time="19.292" string="1" fret="9" leftHand="1" /&gt;&lt;chordNote time="19.292" string="2" fret="11" leftHand="3" /&gt;&lt;chordNote time="19.292" string="3" fret="11" leftHand="4" /&gt;&lt;/chord&gt;</v>
      </c>
      <c r="D111" s="3">
        <f t="shared" si="9"/>
        <v>19.292000000000002</v>
      </c>
      <c r="E111" s="3">
        <f t="shared" si="10"/>
        <v>15.45</v>
      </c>
      <c r="F111" t="str">
        <f t="shared" si="13"/>
        <v>15.250</v>
      </c>
      <c r="G111" t="s">
        <v>386</v>
      </c>
      <c r="I111" t="str">
        <f t="shared" si="11"/>
        <v>&lt;note time="19.292" string="1" fret="7" /&gt;</v>
      </c>
      <c r="J111" t="str">
        <f t="shared" si="14"/>
        <v>13.750</v>
      </c>
      <c r="K111" t="s">
        <v>1078</v>
      </c>
    </row>
    <row r="112" spans="1:11" x14ac:dyDescent="0.45">
      <c r="A112" t="str">
        <f t="shared" si="8"/>
        <v>&lt;chord time="19.449" chordId="1" highDensity="1" &gt;&lt;chordNote time="19.449" string="1" fret="9" leftHand="1" /&gt;&lt;chordNote time="19.449" string="2" fret="11" leftHand="3" /&gt;&lt;chordNote time="19.449" string="3" fret="11" leftHand="4" /&gt;&lt;/chord&gt;</v>
      </c>
      <c r="D112" s="3">
        <f t="shared" si="9"/>
        <v>19.449000000000002</v>
      </c>
      <c r="E112" s="3">
        <f t="shared" si="10"/>
        <v>15.574999999999999</v>
      </c>
      <c r="F112" t="str">
        <f t="shared" si="13"/>
        <v>15.375</v>
      </c>
      <c r="G112" t="s">
        <v>387</v>
      </c>
      <c r="I112" t="str">
        <f t="shared" si="11"/>
        <v>&lt;note time="19.449" string="1" fret="7" /&gt;</v>
      </c>
      <c r="J112" t="str">
        <f t="shared" si="14"/>
        <v>13.875</v>
      </c>
      <c r="K112" t="s">
        <v>1079</v>
      </c>
    </row>
    <row r="113" spans="1:11" x14ac:dyDescent="0.45">
      <c r="A113" t="str">
        <f t="shared" si="8"/>
        <v>&lt;chord time="19.605" chordId="1" highDensity="1" &gt;&lt;chordNote time="19.605" string="1" fret="9" leftHand="1" /&gt;&lt;chordNote time="19.605" string="2" fret="11" leftHand="3" /&gt;&lt;chordNote time="19.605" string="3" fret="11" leftHand="4" /&gt;&lt;/chord&gt;</v>
      </c>
      <c r="D113" s="3">
        <f t="shared" si="9"/>
        <v>19.605</v>
      </c>
      <c r="E113" s="3">
        <f t="shared" si="10"/>
        <v>15.7</v>
      </c>
      <c r="F113" t="str">
        <f t="shared" si="13"/>
        <v>15.500</v>
      </c>
      <c r="G113" t="s">
        <v>388</v>
      </c>
      <c r="I113" t="str">
        <f t="shared" si="11"/>
        <v>&lt;note time="19.605" string="1" fret="9" /&gt;</v>
      </c>
      <c r="J113" t="str">
        <f t="shared" si="14"/>
        <v>14.000</v>
      </c>
      <c r="K113" t="s">
        <v>1080</v>
      </c>
    </row>
    <row r="114" spans="1:11" x14ac:dyDescent="0.45">
      <c r="A114" t="str">
        <f t="shared" si="8"/>
        <v>&lt;chord time="19.762" chordId="1" highDensity="1" &gt;&lt;chordNote time="19.762" string="1" fret="9" leftHand="1" /&gt;&lt;chordNote time="19.762" string="2" fret="11" leftHand="3" /&gt;&lt;chordNote time="19.762" string="3" fret="11" leftHand="4" /&gt;&lt;/chord&gt;</v>
      </c>
      <c r="D114" s="3">
        <f t="shared" si="9"/>
        <v>19.762</v>
      </c>
      <c r="E114" s="3">
        <f t="shared" si="10"/>
        <v>15.824999999999999</v>
      </c>
      <c r="F114" t="str">
        <f t="shared" si="13"/>
        <v>15.625</v>
      </c>
      <c r="G114" t="s">
        <v>389</v>
      </c>
      <c r="I114" t="str">
        <f t="shared" si="11"/>
        <v>&lt;note time="19.762" string="1" fret="9" /&gt;</v>
      </c>
      <c r="J114" t="str">
        <f t="shared" si="14"/>
        <v>14.125</v>
      </c>
      <c r="K114" t="s">
        <v>1081</v>
      </c>
    </row>
    <row r="115" spans="1:11" x14ac:dyDescent="0.45">
      <c r="A115" t="str">
        <f t="shared" si="8"/>
        <v>&lt;chord time="19.918" chordId="1" highDensity="1" &gt;&lt;chordNote time="19.918" string="1" fret="9" leftHand="1" /&gt;&lt;chordNote time="19.918" string="2" fret="11" leftHand="3" /&gt;&lt;chordNote time="19.918" string="3" fret="11" leftHand="4" /&gt;&lt;/chord&gt;</v>
      </c>
      <c r="D115" s="3">
        <f t="shared" si="9"/>
        <v>19.917999999999999</v>
      </c>
      <c r="E115" s="3">
        <f t="shared" si="10"/>
        <v>15.95</v>
      </c>
      <c r="F115" t="str">
        <f t="shared" si="13"/>
        <v>15.750</v>
      </c>
      <c r="G115" t="s">
        <v>390</v>
      </c>
      <c r="I115" t="str">
        <f t="shared" si="11"/>
        <v>&lt;note time="19.918" string="1" fret="9" /&gt;</v>
      </c>
      <c r="J115" t="str">
        <f t="shared" si="14"/>
        <v>14.250</v>
      </c>
      <c r="K115" t="s">
        <v>1082</v>
      </c>
    </row>
    <row r="116" spans="1:11" x14ac:dyDescent="0.45">
      <c r="A116" t="str">
        <f t="shared" si="8"/>
        <v>&lt;chord time="20.075" chordId="1" highDensity="1" &gt;&lt;chordNote time="20.075" string="1" fret="9" leftHand="1" /&gt;&lt;chordNote time="20.075" string="2" fret="11" leftHand="3" /&gt;&lt;chordNote time="20.075" string="3" fret="11" leftHand="4" /&gt;&lt;/chord&gt;</v>
      </c>
      <c r="D116" s="3">
        <f t="shared" si="9"/>
        <v>20.074999999999999</v>
      </c>
      <c r="E116" s="3">
        <f t="shared" si="10"/>
        <v>16.074999999999999</v>
      </c>
      <c r="F116" t="str">
        <f t="shared" si="13"/>
        <v>15.875</v>
      </c>
      <c r="G116" t="s">
        <v>391</v>
      </c>
      <c r="I116" t="str">
        <f t="shared" si="11"/>
        <v>&lt;note time="20.075" string="1" fret="9" /&gt;</v>
      </c>
      <c r="J116" t="str">
        <f t="shared" si="14"/>
        <v>14.375</v>
      </c>
      <c r="K116" t="s">
        <v>1083</v>
      </c>
    </row>
    <row r="117" spans="1:11" x14ac:dyDescent="0.45">
      <c r="A117" t="str">
        <f t="shared" si="8"/>
        <v>&lt;chord time="20.231" chordId="3" &gt;&lt;chordNote time="20.231" string="1" fret="4" leftHand="1" /&gt;&lt;chordNote time="20.231" string="2" fret="6" leftHand="3" /&gt;&lt;chordNote time="20.231" string="3" fret="6" leftHand="4" /&gt;&lt;/chord&gt;</v>
      </c>
      <c r="D117" s="3">
        <f t="shared" si="9"/>
        <v>20.231000000000002</v>
      </c>
      <c r="E117" s="3">
        <f t="shared" si="10"/>
        <v>16.2</v>
      </c>
      <c r="F117" t="str">
        <f t="shared" si="13"/>
        <v>16.000</v>
      </c>
      <c r="G117" t="s">
        <v>392</v>
      </c>
      <c r="I117" t="str">
        <f t="shared" si="11"/>
        <v>&lt;note time="20.231" string="1" fret="9" /&gt;</v>
      </c>
      <c r="J117" t="str">
        <f t="shared" si="14"/>
        <v>14.500</v>
      </c>
      <c r="K117" t="s">
        <v>1084</v>
      </c>
    </row>
    <row r="118" spans="1:11" x14ac:dyDescent="0.45">
      <c r="A118" t="str">
        <f t="shared" si="8"/>
        <v>&lt;chord time="20.388" chordId="3" highDensity="1" &gt;&lt;chordNote time="20.388" string="1" fret="4" leftHand="1" /&gt;&lt;chordNote time="20.388" string="2" fret="6" leftHand="3" /&gt;&lt;chordNote time="20.388" string="3" fret="6" leftHand="4" /&gt;&lt;/chord&gt;</v>
      </c>
      <c r="D118" s="3">
        <f t="shared" si="9"/>
        <v>20.388000000000002</v>
      </c>
      <c r="E118" s="3">
        <f t="shared" si="10"/>
        <v>16.324999999999999</v>
      </c>
      <c r="F118" t="str">
        <f t="shared" si="13"/>
        <v>16.125</v>
      </c>
      <c r="G118" t="s">
        <v>393</v>
      </c>
      <c r="I118" t="str">
        <f t="shared" si="11"/>
        <v>&lt;note time="20.388" string="1" fret="9" /&gt;</v>
      </c>
      <c r="J118" t="str">
        <f t="shared" si="14"/>
        <v>14.625</v>
      </c>
      <c r="K118" t="s">
        <v>1085</v>
      </c>
    </row>
    <row r="119" spans="1:11" x14ac:dyDescent="0.45">
      <c r="A119" t="str">
        <f t="shared" si="8"/>
        <v>&lt;chord time="20.544" chordId="3" highDensity="1" &gt;&lt;chordNote time="20.544" string="1" fret="4" leftHand="1" /&gt;&lt;chordNote time="20.544" string="2" fret="6" leftHand="3" /&gt;&lt;chordNote time="20.544" string="3" fret="6" leftHand="4" /&gt;&lt;/chord&gt;</v>
      </c>
      <c r="D119" s="3">
        <f t="shared" si="9"/>
        <v>20.544</v>
      </c>
      <c r="E119" s="3">
        <f t="shared" si="10"/>
        <v>16.45</v>
      </c>
      <c r="F119" t="str">
        <f t="shared" si="13"/>
        <v>16.250</v>
      </c>
      <c r="G119" t="s">
        <v>394</v>
      </c>
      <c r="I119" t="str">
        <f t="shared" si="11"/>
        <v>&lt;note time="20.544" string="1" fret="9" /&gt;</v>
      </c>
      <c r="J119" t="str">
        <f t="shared" si="14"/>
        <v>14.750</v>
      </c>
      <c r="K119" t="s">
        <v>1086</v>
      </c>
    </row>
    <row r="120" spans="1:11" x14ac:dyDescent="0.45">
      <c r="A120" t="str">
        <f t="shared" si="8"/>
        <v>&lt;chord time="20.701" chordId="3" highDensity="1" &gt;&lt;chordNote time="20.701" string="1" fret="4" leftHand="1" /&gt;&lt;chordNote time="20.701" string="2" fret="6" leftHand="3" /&gt;&lt;chordNote time="20.701" string="3" fret="6" leftHand="4" /&gt;&lt;/chord&gt;</v>
      </c>
      <c r="B120" s="1"/>
      <c r="C120" s="1"/>
      <c r="D120" s="3">
        <f t="shared" si="9"/>
        <v>20.701000000000001</v>
      </c>
      <c r="E120" s="3">
        <f t="shared" si="10"/>
        <v>16.574999999999999</v>
      </c>
      <c r="F120" t="str">
        <f t="shared" si="13"/>
        <v>16.375</v>
      </c>
      <c r="G120" s="1" t="s">
        <v>395</v>
      </c>
      <c r="I120" t="str">
        <f t="shared" si="11"/>
        <v>&lt;note time="20.701" string="1" fret="9" /&gt;</v>
      </c>
      <c r="J120" t="str">
        <f t="shared" si="14"/>
        <v>14.875</v>
      </c>
      <c r="K120" t="s">
        <v>1087</v>
      </c>
    </row>
    <row r="121" spans="1:11" x14ac:dyDescent="0.45">
      <c r="A121" t="str">
        <f t="shared" si="8"/>
        <v>&lt;chord time="20.857" chordId="3" highDensity="1" &gt;&lt;chordNote time="20.857" string="1" fret="4" leftHand="1" /&gt;&lt;chordNote time="20.857" string="2" fret="6" leftHand="3" /&gt;&lt;chordNote time="20.857" string="3" fret="6" leftHand="4" /&gt;&lt;/chord&gt;</v>
      </c>
      <c r="D121" s="3">
        <f t="shared" si="9"/>
        <v>20.856999999999999</v>
      </c>
      <c r="E121" s="3">
        <f t="shared" si="10"/>
        <v>16.7</v>
      </c>
      <c r="F121" t="str">
        <f t="shared" si="13"/>
        <v>16.500</v>
      </c>
      <c r="G121" t="s">
        <v>396</v>
      </c>
      <c r="I121" t="str">
        <f t="shared" si="11"/>
        <v>&lt;note time="20.857" string="1" fret="9" /&gt;</v>
      </c>
      <c r="J121" t="str">
        <f t="shared" si="14"/>
        <v>15.000</v>
      </c>
      <c r="K121" t="s">
        <v>1088</v>
      </c>
    </row>
    <row r="122" spans="1:11" x14ac:dyDescent="0.45">
      <c r="A122" t="str">
        <f t="shared" si="8"/>
        <v>&lt;chord time="21.014" chordId="3" highDensity="1" &gt;&lt;chordNote time="21.014" string="1" fret="4" leftHand="1" /&gt;&lt;chordNote time="21.014" string="2" fret="6" leftHand="3" /&gt;&lt;chordNote time="21.014" string="3" fret="6" leftHand="4" /&gt;&lt;/chord&gt;</v>
      </c>
      <c r="D122" s="3">
        <f t="shared" si="9"/>
        <v>21.013999999999999</v>
      </c>
      <c r="E122" s="3">
        <f t="shared" si="10"/>
        <v>16.824999999999999</v>
      </c>
      <c r="F122" t="str">
        <f t="shared" si="13"/>
        <v>16.625</v>
      </c>
      <c r="G122" t="s">
        <v>397</v>
      </c>
      <c r="I122" t="str">
        <f t="shared" si="11"/>
        <v>&lt;note time="21.014" string="1" fret="9" /&gt;</v>
      </c>
      <c r="J122" t="str">
        <f t="shared" si="14"/>
        <v>15.125</v>
      </c>
      <c r="K122" t="s">
        <v>1089</v>
      </c>
    </row>
    <row r="123" spans="1:11" x14ac:dyDescent="0.45">
      <c r="A123" t="str">
        <f t="shared" si="8"/>
        <v>&lt;chord time="21.170" chordId="3" highDensity="1" &gt;&lt;chordNote time="21.170" string="1" fret="4" leftHand="1" /&gt;&lt;chordNote time="21.170" string="2" fret="6" leftHand="3" /&gt;&lt;chordNote time="21.170" string="3" fret="6" leftHand="4" /&gt;&lt;/chord&gt;</v>
      </c>
      <c r="D123" s="3">
        <f t="shared" si="9"/>
        <v>21.17</v>
      </c>
      <c r="E123" s="3">
        <f t="shared" si="10"/>
        <v>16.95</v>
      </c>
      <c r="F123" t="str">
        <f t="shared" si="13"/>
        <v>16.750</v>
      </c>
      <c r="G123" t="s">
        <v>398</v>
      </c>
      <c r="I123" t="str">
        <f t="shared" si="11"/>
        <v>&lt;note time="21.170" string="1" fret="9" /&gt;</v>
      </c>
      <c r="J123" t="str">
        <f t="shared" si="14"/>
        <v>15.250</v>
      </c>
      <c r="K123" t="s">
        <v>1090</v>
      </c>
    </row>
    <row r="124" spans="1:11" x14ac:dyDescent="0.45">
      <c r="A124" t="str">
        <f t="shared" si="8"/>
        <v>&lt;chord time="21.327" chordId="3" highDensity="1" &gt;&lt;chordNote time="21.327" string="1" fret="4" leftHand="1" /&gt;&lt;chordNote time="21.327" string="2" fret="6" leftHand="3" /&gt;&lt;chordNote time="21.327" string="3" fret="6" leftHand="4" /&gt;&lt;/chord&gt;</v>
      </c>
      <c r="D124" s="3">
        <f t="shared" si="9"/>
        <v>21.327000000000002</v>
      </c>
      <c r="E124" s="3">
        <f t="shared" si="10"/>
        <v>17.074999999999999</v>
      </c>
      <c r="F124" t="str">
        <f t="shared" si="13"/>
        <v>16.875</v>
      </c>
      <c r="G124" t="s">
        <v>399</v>
      </c>
      <c r="I124" t="str">
        <f t="shared" si="11"/>
        <v>&lt;note time="21.327" string="1" fret="9" /&gt;</v>
      </c>
      <c r="J124" t="str">
        <f t="shared" si="14"/>
        <v>15.375</v>
      </c>
      <c r="K124" t="s">
        <v>1091</v>
      </c>
    </row>
    <row r="125" spans="1:11" x14ac:dyDescent="0.45">
      <c r="A125" t="str">
        <f t="shared" si="8"/>
        <v>&lt;chord time="21.483" chordId="3" highDensity="1" &gt;&lt;chordNote time="21.483" string="1" fret="4" leftHand="1" /&gt;&lt;chordNote time="21.483" string="2" fret="6" leftHand="3" /&gt;&lt;chordNote time="21.483" string="3" fret="6" leftHand="4" /&gt;&lt;/chord&gt;</v>
      </c>
      <c r="D125" s="3">
        <f t="shared" si="9"/>
        <v>21.483000000000001</v>
      </c>
      <c r="E125" s="3">
        <f t="shared" si="10"/>
        <v>17.2</v>
      </c>
      <c r="F125" t="str">
        <f t="shared" si="13"/>
        <v>17.000</v>
      </c>
      <c r="G125" t="s">
        <v>400</v>
      </c>
      <c r="I125" t="str">
        <f t="shared" si="11"/>
        <v>&lt;note time="21.483" string="1" fret="9" /&gt;</v>
      </c>
      <c r="J125" t="str">
        <f t="shared" si="14"/>
        <v>15.500</v>
      </c>
      <c r="K125" t="s">
        <v>1092</v>
      </c>
    </row>
    <row r="126" spans="1:11" x14ac:dyDescent="0.45">
      <c r="A126" t="str">
        <f t="shared" si="8"/>
        <v>&lt;chord time="21.640" chordId="3" highDensity="1" &gt;&lt;chordNote time="21.640" string="1" fret="4" leftHand="1" /&gt;&lt;chordNote time="21.640" string="2" fret="6" leftHand="3" /&gt;&lt;chordNote time="21.640" string="3" fret="6" leftHand="4" /&gt;&lt;/chord&gt;</v>
      </c>
      <c r="D126" s="3">
        <f t="shared" si="9"/>
        <v>21.64</v>
      </c>
      <c r="E126" s="3">
        <f t="shared" si="10"/>
        <v>17.324999999999999</v>
      </c>
      <c r="F126" t="str">
        <f t="shared" si="13"/>
        <v>17.125</v>
      </c>
      <c r="G126" t="s">
        <v>401</v>
      </c>
      <c r="I126" t="str">
        <f t="shared" si="11"/>
        <v>&lt;note time="21.640" string="1" fret="9" /&gt;</v>
      </c>
      <c r="J126" t="str">
        <f t="shared" si="14"/>
        <v>15.625</v>
      </c>
      <c r="K126" t="s">
        <v>1093</v>
      </c>
    </row>
    <row r="127" spans="1:11" x14ac:dyDescent="0.45">
      <c r="A127" t="str">
        <f t="shared" si="8"/>
        <v>&lt;chord time="21.796" chordId="3" highDensity="1" &gt;&lt;chordNote time="21.796" string="1" fret="4" leftHand="1" /&gt;&lt;chordNote time="21.796" string="2" fret="6" leftHand="3" /&gt;&lt;chordNote time="21.796" string="3" fret="6" leftHand="4" /&gt;&lt;/chord&gt;</v>
      </c>
      <c r="D127" s="3">
        <f t="shared" si="9"/>
        <v>21.795999999999999</v>
      </c>
      <c r="E127" s="3">
        <f t="shared" si="10"/>
        <v>17.45</v>
      </c>
      <c r="F127" t="str">
        <f t="shared" si="13"/>
        <v>17.250</v>
      </c>
      <c r="G127" t="s">
        <v>402</v>
      </c>
      <c r="I127" t="str">
        <f t="shared" si="11"/>
        <v>&lt;note time="21.796" string="1" fret="9" /&gt;</v>
      </c>
      <c r="J127" t="str">
        <f t="shared" si="14"/>
        <v>15.750</v>
      </c>
      <c r="K127" t="s">
        <v>1094</v>
      </c>
    </row>
    <row r="128" spans="1:11" x14ac:dyDescent="0.45">
      <c r="A128" t="str">
        <f t="shared" si="8"/>
        <v>&lt;chord time="21.953" chordId="3" highDensity="1" &gt;&lt;chordNote time="21.953" string="1" fret="4" leftHand="1" /&gt;&lt;chordNote time="21.953" string="2" fret="6" leftHand="3" /&gt;&lt;chordNote time="21.953" string="3" fret="6" leftHand="4" /&gt;&lt;/chord&gt;</v>
      </c>
      <c r="D128" s="3">
        <f t="shared" si="9"/>
        <v>21.952999999999999</v>
      </c>
      <c r="E128" s="3">
        <f t="shared" si="10"/>
        <v>17.574999999999999</v>
      </c>
      <c r="F128" t="str">
        <f t="shared" si="13"/>
        <v>17.375</v>
      </c>
      <c r="G128" t="s">
        <v>403</v>
      </c>
      <c r="I128" t="str">
        <f t="shared" si="11"/>
        <v>&lt;note time="21.953" string="1" fret="9" /&gt;</v>
      </c>
      <c r="J128" t="str">
        <f t="shared" si="14"/>
        <v>15.875</v>
      </c>
      <c r="K128" t="s">
        <v>1095</v>
      </c>
    </row>
    <row r="129" spans="1:11" x14ac:dyDescent="0.45">
      <c r="A129" t="str">
        <f t="shared" si="8"/>
        <v>&lt;chord time="22.109" chordId="3" highDensity="1" &gt;&lt;chordNote time="22.109" string="1" fret="4" leftHand="1" /&gt;&lt;chordNote time="22.109" string="2" fret="6" leftHand="3" /&gt;&lt;chordNote time="22.109" string="3" fret="6" leftHand="4" /&gt;&lt;/chord&gt;</v>
      </c>
      <c r="D129" s="3">
        <f t="shared" si="9"/>
        <v>22.109000000000002</v>
      </c>
      <c r="E129" s="3">
        <f t="shared" si="10"/>
        <v>17.7</v>
      </c>
      <c r="F129" t="str">
        <f t="shared" si="13"/>
        <v>17.500</v>
      </c>
      <c r="G129" t="s">
        <v>404</v>
      </c>
      <c r="I129" t="str">
        <f t="shared" si="11"/>
        <v>&lt;note time="22.109" string="1" fret="4" /&gt;</v>
      </c>
      <c r="J129" t="str">
        <f t="shared" si="14"/>
        <v>16.000</v>
      </c>
      <c r="K129" t="s">
        <v>1096</v>
      </c>
    </row>
    <row r="130" spans="1:11" x14ac:dyDescent="0.45">
      <c r="A130" t="str">
        <f t="shared" ref="A130:A193" si="15">SUBSTITUTE(G130,F130,TEXT(D130,"0.000"))</f>
        <v>&lt;chord time="22.266" chordId="3" highDensity="1" &gt;&lt;chordNote time="22.266" string="1" fret="4" leftHand="1" /&gt;&lt;chordNote time="22.266" string="2" fret="6" leftHand="3" /&gt;&lt;chordNote time="22.266" string="3" fret="6" leftHand="4" /&gt;&lt;/chord&gt;</v>
      </c>
      <c r="D130" s="3">
        <f t="shared" ref="D130:D193" si="16">ROUNDDOWN(E130-($C$3*(E130-$E$1)/100),3)</f>
        <v>22.265999999999998</v>
      </c>
      <c r="E130" s="3">
        <f t="shared" ref="E130:E193" si="17">0.2+F130</f>
        <v>17.824999999999999</v>
      </c>
      <c r="F130" t="str">
        <f t="shared" si="13"/>
        <v>17.625</v>
      </c>
      <c r="G130" t="s">
        <v>405</v>
      </c>
      <c r="I130" t="str">
        <f t="shared" ref="I130:I193" si="18">SUBSTITUTE(K130,J130,TEXT(D130,"0.000"))</f>
        <v>&lt;note time="22.266" string="1" fret="4" /&gt;</v>
      </c>
      <c r="J130" t="str">
        <f t="shared" si="14"/>
        <v>16.125</v>
      </c>
      <c r="K130" t="s">
        <v>1097</v>
      </c>
    </row>
    <row r="131" spans="1:11" x14ac:dyDescent="0.45">
      <c r="A131" t="str">
        <f t="shared" si="15"/>
        <v>&lt;chord time="22.422" chordId="3" highDensity="1" &gt;&lt;chordNote time="22.422" string="1" fret="4" leftHand="1" /&gt;&lt;chordNote time="22.422" string="2" fret="6" leftHand="3" /&gt;&lt;chordNote time="22.422" string="3" fret="6" leftHand="4" /&gt;&lt;/chord&gt;</v>
      </c>
      <c r="D131" s="3">
        <f t="shared" si="16"/>
        <v>22.422000000000001</v>
      </c>
      <c r="E131" s="3">
        <f t="shared" si="17"/>
        <v>17.95</v>
      </c>
      <c r="F131" t="str">
        <f t="shared" si="13"/>
        <v>17.750</v>
      </c>
      <c r="G131" t="s">
        <v>406</v>
      </c>
      <c r="I131" t="str">
        <f t="shared" si="18"/>
        <v>&lt;note time="22.422" string="1" fret="4" /&gt;</v>
      </c>
      <c r="J131" t="str">
        <f t="shared" si="14"/>
        <v>16.250</v>
      </c>
      <c r="K131" t="s">
        <v>1098</v>
      </c>
    </row>
    <row r="132" spans="1:11" x14ac:dyDescent="0.45">
      <c r="A132" t="str">
        <f t="shared" si="15"/>
        <v>&lt;chord time="22.579" chordId="3" highDensity="1" &gt;&lt;chordNote time="22.579" string="1" fret="4" leftHand="1" /&gt;&lt;chordNote time="22.579" string="2" fret="6" leftHand="3" /&gt;&lt;chordNote time="22.579" string="3" fret="6" leftHand="4" /&gt;&lt;/chord&gt;</v>
      </c>
      <c r="D132" s="3">
        <f t="shared" si="16"/>
        <v>22.579000000000001</v>
      </c>
      <c r="E132" s="3">
        <f t="shared" si="17"/>
        <v>18.074999999999999</v>
      </c>
      <c r="F132" t="str">
        <f t="shared" si="13"/>
        <v>17.875</v>
      </c>
      <c r="G132" t="s">
        <v>407</v>
      </c>
      <c r="I132" t="str">
        <f t="shared" si="18"/>
        <v>&lt;note time="22.579" string="1" fret="4" /&gt;</v>
      </c>
      <c r="J132" t="str">
        <f t="shared" si="14"/>
        <v>16.375</v>
      </c>
      <c r="K132" t="s">
        <v>1099</v>
      </c>
    </row>
    <row r="133" spans="1:11" x14ac:dyDescent="0.45">
      <c r="A133" t="str">
        <f t="shared" si="15"/>
        <v>&lt;chord time="22.735" chordId="4" &gt;&lt;chordNote time="22.735" string="1" fret="2" leftHand="1" /&gt;&lt;chordNote time="22.735" string="2" fret="4" leftHand="3" /&gt;&lt;chordNote time="22.735" string="3" fret="4" leftHand="4" /&gt;&lt;/chord&gt;</v>
      </c>
      <c r="D133" s="3">
        <f t="shared" si="16"/>
        <v>22.734999999999999</v>
      </c>
      <c r="E133" s="3">
        <f t="shared" si="17"/>
        <v>18.2</v>
      </c>
      <c r="F133" t="str">
        <f t="shared" ref="F133:F196" si="19">RIGHT(LEFT(G133,19),6)</f>
        <v>18.000</v>
      </c>
      <c r="G133" t="s">
        <v>408</v>
      </c>
      <c r="I133" t="str">
        <f t="shared" si="18"/>
        <v>&lt;note time="22.735" string="1" fret="4" /&gt;</v>
      </c>
      <c r="J133" t="str">
        <f t="shared" si="14"/>
        <v>16.500</v>
      </c>
      <c r="K133" t="s">
        <v>1100</v>
      </c>
    </row>
    <row r="134" spans="1:11" x14ac:dyDescent="0.45">
      <c r="A134" t="str">
        <f t="shared" si="15"/>
        <v>&lt;chord time="22.892" chordId="4" highDensity="1" &gt;&lt;chordNote time="22.892" string="1" fret="2" leftHand="1" /&gt;&lt;chordNote time="22.892" string="2" fret="4" leftHand="3" /&gt;&lt;chordNote time="22.892" string="3" fret="4" leftHand="4" /&gt;&lt;/chord&gt;</v>
      </c>
      <c r="D134" s="3">
        <f t="shared" si="16"/>
        <v>22.891999999999999</v>
      </c>
      <c r="E134" s="3">
        <f t="shared" si="17"/>
        <v>18.324999999999999</v>
      </c>
      <c r="F134" t="str">
        <f t="shared" si="19"/>
        <v>18.125</v>
      </c>
      <c r="G134" t="s">
        <v>409</v>
      </c>
      <c r="I134" t="str">
        <f t="shared" si="18"/>
        <v>&lt;note time="22.892" string="1" fret="4" /&gt;</v>
      </c>
      <c r="J134" t="str">
        <f t="shared" si="14"/>
        <v>16.625</v>
      </c>
      <c r="K134" t="s">
        <v>1101</v>
      </c>
    </row>
    <row r="135" spans="1:11" x14ac:dyDescent="0.45">
      <c r="A135" t="str">
        <f t="shared" si="15"/>
        <v>&lt;chord time="23.048" chordId="4" highDensity="1" &gt;&lt;chordNote time="23.048" string="1" fret="2" leftHand="1" /&gt;&lt;chordNote time="23.048" string="2" fret="4" leftHand="3" /&gt;&lt;chordNote time="23.048" string="3" fret="4" leftHand="4" /&gt;&lt;/chord&gt;</v>
      </c>
      <c r="D135" s="3">
        <f t="shared" si="16"/>
        <v>23.047999999999998</v>
      </c>
      <c r="E135" s="3">
        <f t="shared" si="17"/>
        <v>18.45</v>
      </c>
      <c r="F135" t="str">
        <f t="shared" si="19"/>
        <v>18.250</v>
      </c>
      <c r="G135" t="s">
        <v>410</v>
      </c>
      <c r="I135" t="str">
        <f t="shared" si="18"/>
        <v>&lt;note time="23.048" string="1" fret="4" /&gt;</v>
      </c>
      <c r="J135" t="str">
        <f t="shared" si="14"/>
        <v>16.750</v>
      </c>
      <c r="K135" t="s">
        <v>1102</v>
      </c>
    </row>
    <row r="136" spans="1:11" x14ac:dyDescent="0.45">
      <c r="A136" t="str">
        <f t="shared" si="15"/>
        <v>&lt;chord time="23.205" chordId="4" highDensity="1" &gt;&lt;chordNote time="23.205" string="1" fret="2" leftHand="1" /&gt;&lt;chordNote time="23.205" string="2" fret="4" leftHand="3" /&gt;&lt;chordNote time="23.205" string="3" fret="4" leftHand="4" /&gt;&lt;/chord&gt;</v>
      </c>
      <c r="D136" s="3">
        <f t="shared" si="16"/>
        <v>23.204999999999998</v>
      </c>
      <c r="E136" s="3">
        <f t="shared" si="17"/>
        <v>18.574999999999999</v>
      </c>
      <c r="F136" t="str">
        <f t="shared" si="19"/>
        <v>18.375</v>
      </c>
      <c r="G136" t="s">
        <v>411</v>
      </c>
      <c r="I136" t="str">
        <f t="shared" si="18"/>
        <v>&lt;note time="23.205" string="1" fret="4" /&gt;</v>
      </c>
      <c r="J136" t="str">
        <f t="shared" si="14"/>
        <v>16.875</v>
      </c>
      <c r="K136" t="s">
        <v>1103</v>
      </c>
    </row>
    <row r="137" spans="1:11" x14ac:dyDescent="0.45">
      <c r="A137" t="str">
        <f t="shared" si="15"/>
        <v>&lt;chord time="23.361" chordId="4" highDensity="1" &gt;&lt;chordNote time="23.361" string="1" fret="2" leftHand="1" /&gt;&lt;chordNote time="23.361" string="2" fret="4" leftHand="3" /&gt;&lt;chordNote time="23.361" string="3" fret="4" leftHand="4" /&gt;&lt;/chord&gt;</v>
      </c>
      <c r="D137" s="3">
        <f t="shared" si="16"/>
        <v>23.361000000000001</v>
      </c>
      <c r="E137" s="3">
        <f t="shared" si="17"/>
        <v>18.7</v>
      </c>
      <c r="F137" t="str">
        <f t="shared" si="19"/>
        <v>18.500</v>
      </c>
      <c r="G137" t="s">
        <v>412</v>
      </c>
      <c r="I137" t="str">
        <f t="shared" si="18"/>
        <v>&lt;note time="23.361" string="1" fret="4" /&gt;</v>
      </c>
      <c r="J137" t="str">
        <f t="shared" si="14"/>
        <v>17.000</v>
      </c>
      <c r="K137" t="s">
        <v>1104</v>
      </c>
    </row>
    <row r="138" spans="1:11" x14ac:dyDescent="0.45">
      <c r="A138" t="str">
        <f t="shared" si="15"/>
        <v>&lt;chord time="23.518" chordId="4" highDensity="1" &gt;&lt;chordNote time="23.518" string="1" fret="2" leftHand="1" /&gt;&lt;chordNote time="23.518" string="2" fret="4" leftHand="3" /&gt;&lt;chordNote time="23.518" string="3" fret="4" leftHand="4" /&gt;&lt;/chord&gt;</v>
      </c>
      <c r="D138" s="3">
        <f t="shared" si="16"/>
        <v>23.518000000000001</v>
      </c>
      <c r="E138" s="3">
        <f t="shared" si="17"/>
        <v>18.824999999999999</v>
      </c>
      <c r="F138" t="str">
        <f t="shared" si="19"/>
        <v>18.625</v>
      </c>
      <c r="G138" t="s">
        <v>413</v>
      </c>
      <c r="I138" t="str">
        <f t="shared" si="18"/>
        <v>&lt;note time="23.518" string="1" fret="4" /&gt;</v>
      </c>
      <c r="J138" t="str">
        <f t="shared" si="14"/>
        <v>17.125</v>
      </c>
      <c r="K138" t="s">
        <v>1105</v>
      </c>
    </row>
    <row r="139" spans="1:11" x14ac:dyDescent="0.45">
      <c r="A139" t="str">
        <f t="shared" si="15"/>
        <v>&lt;chord time="23.674" chordId="4" highDensity="1" &gt;&lt;chordNote time="23.674" string="1" fret="2" leftHand="1" /&gt;&lt;chordNote time="23.674" string="2" fret="4" leftHand="3" /&gt;&lt;chordNote time="23.674" string="3" fret="4" leftHand="4" /&gt;&lt;/chord&gt;</v>
      </c>
      <c r="D139" s="3">
        <f t="shared" si="16"/>
        <v>23.673999999999999</v>
      </c>
      <c r="E139" s="3">
        <f t="shared" si="17"/>
        <v>18.95</v>
      </c>
      <c r="F139" t="str">
        <f t="shared" si="19"/>
        <v>18.750</v>
      </c>
      <c r="G139" t="s">
        <v>414</v>
      </c>
      <c r="I139" t="str">
        <f t="shared" si="18"/>
        <v>&lt;note time="23.674" string="1" fret="4" /&gt;</v>
      </c>
      <c r="J139" t="str">
        <f t="shared" si="14"/>
        <v>17.250</v>
      </c>
      <c r="K139" t="s">
        <v>1106</v>
      </c>
    </row>
    <row r="140" spans="1:11" x14ac:dyDescent="0.45">
      <c r="A140" t="str">
        <f t="shared" si="15"/>
        <v>&lt;chord time="23.831" chordId="4" highDensity="1" &gt;&lt;chordNote time="23.831" string="1" fret="2" leftHand="1" /&gt;&lt;chordNote time="23.831" string="2" fret="4" leftHand="3" /&gt;&lt;chordNote time="23.831" string="3" fret="4" leftHand="4" /&gt;&lt;/chord&gt;</v>
      </c>
      <c r="D140" s="3">
        <f t="shared" si="16"/>
        <v>23.831</v>
      </c>
      <c r="E140" s="3">
        <f t="shared" si="17"/>
        <v>19.074999999999999</v>
      </c>
      <c r="F140" t="str">
        <f t="shared" si="19"/>
        <v>18.875</v>
      </c>
      <c r="G140" t="s">
        <v>415</v>
      </c>
      <c r="I140" t="str">
        <f t="shared" si="18"/>
        <v>&lt;note time="23.831" string="1" fret="4" /&gt;</v>
      </c>
      <c r="J140" t="str">
        <f t="shared" si="14"/>
        <v>17.375</v>
      </c>
      <c r="K140" t="s">
        <v>1107</v>
      </c>
    </row>
    <row r="141" spans="1:11" x14ac:dyDescent="0.45">
      <c r="A141" t="str">
        <f t="shared" si="15"/>
        <v>&lt;chord time="23.987" chordId="4" highDensity="1" &gt;&lt;chordNote time="23.987" string="1" fret="2" leftHand="1" /&gt;&lt;chordNote time="23.987" string="2" fret="4" leftHand="3" /&gt;&lt;chordNote time="23.987" string="3" fret="4" leftHand="4" /&gt;&lt;/chord&gt;</v>
      </c>
      <c r="D141" s="3">
        <f t="shared" si="16"/>
        <v>23.986999999999998</v>
      </c>
      <c r="E141" s="3">
        <f t="shared" si="17"/>
        <v>19.2</v>
      </c>
      <c r="F141" t="str">
        <f t="shared" si="19"/>
        <v>19.000</v>
      </c>
      <c r="G141" t="s">
        <v>416</v>
      </c>
      <c r="I141" t="str">
        <f t="shared" si="18"/>
        <v>&lt;note time="23.987" string="1" fret="4" /&gt;</v>
      </c>
      <c r="J141" t="str">
        <f t="shared" si="14"/>
        <v>17.500</v>
      </c>
      <c r="K141" t="s">
        <v>1108</v>
      </c>
    </row>
    <row r="142" spans="1:11" x14ac:dyDescent="0.45">
      <c r="A142" t="str">
        <f t="shared" si="15"/>
        <v>&lt;chord time="24.144" chordId="4" highDensity="1" &gt;&lt;chordNote time="24.144" string="1" fret="2" leftHand="1" /&gt;&lt;chordNote time="24.144" string="2" fret="4" leftHand="3" /&gt;&lt;chordNote time="24.144" string="3" fret="4" leftHand="4" /&gt;&lt;/chord&gt;</v>
      </c>
      <c r="D142" s="3">
        <f t="shared" si="16"/>
        <v>24.143999999999998</v>
      </c>
      <c r="E142" s="3">
        <f t="shared" si="17"/>
        <v>19.324999999999999</v>
      </c>
      <c r="F142" t="str">
        <f t="shared" si="19"/>
        <v>19.125</v>
      </c>
      <c r="G142" t="s">
        <v>417</v>
      </c>
      <c r="I142" t="str">
        <f t="shared" si="18"/>
        <v>&lt;note time="24.144" string="1" fret="4" /&gt;</v>
      </c>
      <c r="J142" t="str">
        <f t="shared" si="14"/>
        <v>17.625</v>
      </c>
      <c r="K142" t="s">
        <v>1109</v>
      </c>
    </row>
    <row r="143" spans="1:11" x14ac:dyDescent="0.45">
      <c r="A143" t="str">
        <f t="shared" si="15"/>
        <v>&lt;chord time="24.300" chordId="4" highDensity="1" &gt;&lt;chordNote time="24.300" string="1" fret="2" leftHand="1" /&gt;&lt;chordNote time="24.300" string="2" fret="4" leftHand="3" /&gt;&lt;chordNote time="24.300" string="3" fret="4" leftHand="4" /&gt;&lt;/chord&gt;</v>
      </c>
      <c r="D143" s="3">
        <f t="shared" si="16"/>
        <v>24.3</v>
      </c>
      <c r="E143" s="3">
        <f t="shared" si="17"/>
        <v>19.45</v>
      </c>
      <c r="F143" t="str">
        <f t="shared" si="19"/>
        <v>19.250</v>
      </c>
      <c r="G143" t="s">
        <v>418</v>
      </c>
      <c r="I143" t="str">
        <f t="shared" si="18"/>
        <v>&lt;note time="24.300" string="1" fret="4" /&gt;</v>
      </c>
      <c r="J143" t="str">
        <f t="shared" si="14"/>
        <v>17.750</v>
      </c>
      <c r="K143" t="s">
        <v>1110</v>
      </c>
    </row>
    <row r="144" spans="1:11" x14ac:dyDescent="0.45">
      <c r="A144" t="str">
        <f t="shared" si="15"/>
        <v>&lt;chord time="24.457" chordId="4" highDensity="1" &gt;&lt;chordNote time="24.457" string="1" fret="2" leftHand="1" /&gt;&lt;chordNote time="24.457" string="2" fret="4" leftHand="3" /&gt;&lt;chordNote time="24.457" string="3" fret="4" leftHand="4" /&gt;&lt;/chord&gt;</v>
      </c>
      <c r="D144" s="3">
        <f t="shared" si="16"/>
        <v>24.457000000000001</v>
      </c>
      <c r="E144" s="3">
        <f t="shared" si="17"/>
        <v>19.574999999999999</v>
      </c>
      <c r="F144" t="str">
        <f t="shared" si="19"/>
        <v>19.375</v>
      </c>
      <c r="G144" t="s">
        <v>419</v>
      </c>
      <c r="I144" t="str">
        <f t="shared" si="18"/>
        <v>&lt;note time="24.457" string="1" fret="4" /&gt;</v>
      </c>
      <c r="J144" t="str">
        <f t="shared" si="14"/>
        <v>17.875</v>
      </c>
      <c r="K144" t="s">
        <v>1111</v>
      </c>
    </row>
    <row r="145" spans="1:11" x14ac:dyDescent="0.45">
      <c r="A145" t="str">
        <f t="shared" si="15"/>
        <v>&lt;chord time="24.613" chordId="4" highDensity="1" &gt;&lt;chordNote time="24.613" string="1" fret="2" leftHand="1" /&gt;&lt;chordNote time="24.613" string="2" fret="4" leftHand="3" /&gt;&lt;chordNote time="24.613" string="3" fret="4" leftHand="4" /&gt;&lt;/chord&gt;</v>
      </c>
      <c r="D145" s="3">
        <f t="shared" si="16"/>
        <v>24.613</v>
      </c>
      <c r="E145" s="3">
        <f t="shared" si="17"/>
        <v>19.7</v>
      </c>
      <c r="F145" t="str">
        <f t="shared" si="19"/>
        <v>19.500</v>
      </c>
      <c r="G145" t="s">
        <v>420</v>
      </c>
      <c r="I145" t="str">
        <f t="shared" si="18"/>
        <v>&lt;note time="24.613" string="1" fret="2" /&gt;</v>
      </c>
      <c r="J145" t="str">
        <f t="shared" si="14"/>
        <v>18.000</v>
      </c>
      <c r="K145" t="s">
        <v>1112</v>
      </c>
    </row>
    <row r="146" spans="1:11" x14ac:dyDescent="0.45">
      <c r="A146" t="str">
        <f t="shared" si="15"/>
        <v>&lt;chord time="24.770" chordId="4" highDensity="1" &gt;&lt;chordNote time="24.770" string="1" fret="2" leftHand="1" /&gt;&lt;chordNote time="24.770" string="2" fret="4" leftHand="3" /&gt;&lt;chordNote time="24.770" string="3" fret="4" leftHand="4" /&gt;&lt;/chord&gt;</v>
      </c>
      <c r="D146" s="3">
        <f t="shared" si="16"/>
        <v>24.77</v>
      </c>
      <c r="E146" s="3">
        <f t="shared" si="17"/>
        <v>19.824999999999999</v>
      </c>
      <c r="F146" t="str">
        <f t="shared" si="19"/>
        <v>19.625</v>
      </c>
      <c r="G146" t="s">
        <v>421</v>
      </c>
      <c r="I146" t="str">
        <f t="shared" si="18"/>
        <v>&lt;note time="24.770" string="1" fret="2" /&gt;</v>
      </c>
      <c r="J146" t="str">
        <f t="shared" ref="J146:J209" si="20">RIGHT(LEFT(K146,18),6)</f>
        <v>18.125</v>
      </c>
      <c r="K146" t="s">
        <v>1113</v>
      </c>
    </row>
    <row r="147" spans="1:11" x14ac:dyDescent="0.45">
      <c r="A147" t="str">
        <f t="shared" si="15"/>
        <v>&lt;chord time="24.926" chordId="4" highDensity="1" &gt;&lt;chordNote time="24.926" string="1" fret="2" leftHand="1" /&gt;&lt;chordNote time="24.926" string="2" fret="4" leftHand="3" /&gt;&lt;chordNote time="24.926" string="3" fret="4" leftHand="4" /&gt;&lt;/chord&gt;</v>
      </c>
      <c r="D147" s="3">
        <f t="shared" si="16"/>
        <v>24.925999999999998</v>
      </c>
      <c r="E147" s="3">
        <f t="shared" si="17"/>
        <v>19.95</v>
      </c>
      <c r="F147" t="str">
        <f t="shared" si="19"/>
        <v>19.750</v>
      </c>
      <c r="G147" t="s">
        <v>422</v>
      </c>
      <c r="I147" t="str">
        <f t="shared" si="18"/>
        <v>&lt;note time="24.926" string="1" fret="2" /&gt;</v>
      </c>
      <c r="J147" t="str">
        <f t="shared" si="20"/>
        <v>18.250</v>
      </c>
      <c r="K147" t="s">
        <v>1114</v>
      </c>
    </row>
    <row r="148" spans="1:11" x14ac:dyDescent="0.45">
      <c r="A148" t="str">
        <f t="shared" si="15"/>
        <v>&lt;chord time="25.083" chordId="4" highDensity="1" &gt;&lt;chordNote time="25.083" string="1" fret="2" leftHand="1" /&gt;&lt;chordNote time="25.083" string="2" fret="4" leftHand="3" /&gt;&lt;chordNote time="25.083" string="3" fret="4" leftHand="4" /&gt;&lt;/chord&gt;</v>
      </c>
      <c r="D148" s="3">
        <f t="shared" si="16"/>
        <v>25.082999999999998</v>
      </c>
      <c r="E148" s="3">
        <f t="shared" si="17"/>
        <v>20.074999999999999</v>
      </c>
      <c r="F148" t="str">
        <f t="shared" si="19"/>
        <v>19.875</v>
      </c>
      <c r="G148" t="s">
        <v>423</v>
      </c>
      <c r="I148" t="str">
        <f t="shared" si="18"/>
        <v>&lt;note time="25.083" string="1" fret="2" /&gt;</v>
      </c>
      <c r="J148" t="str">
        <f t="shared" si="20"/>
        <v>18.375</v>
      </c>
      <c r="K148" t="s">
        <v>1115</v>
      </c>
    </row>
    <row r="149" spans="1:11" x14ac:dyDescent="0.45">
      <c r="A149" t="str">
        <f t="shared" si="15"/>
        <v>&lt;chord time="25.239" chordId="0" &gt;&lt;chordNote time="25.239" string="1" fret="7" leftHand="1" /&gt;&lt;chordNote time="25.239" string="2" fret="9" leftHand="3" /&gt;&lt;chordNote time="25.239" string="3" fret="9" leftHand="4" /&gt;&lt;/chord&gt;</v>
      </c>
      <c r="D149" s="3">
        <f t="shared" si="16"/>
        <v>25.239000000000001</v>
      </c>
      <c r="E149" s="3">
        <f t="shared" si="17"/>
        <v>20.2</v>
      </c>
      <c r="F149" t="str">
        <f t="shared" si="19"/>
        <v>20.000</v>
      </c>
      <c r="G149" t="s">
        <v>424</v>
      </c>
      <c r="I149" t="str">
        <f t="shared" si="18"/>
        <v>&lt;note time="25.239" string="1" fret="2" /&gt;</v>
      </c>
      <c r="J149" t="str">
        <f t="shared" si="20"/>
        <v>18.500</v>
      </c>
      <c r="K149" t="s">
        <v>1116</v>
      </c>
    </row>
    <row r="150" spans="1:11" x14ac:dyDescent="0.45">
      <c r="A150" t="str">
        <f t="shared" si="15"/>
        <v>&lt;chord time="25.396" chordId="0" highDensity="1" &gt;&lt;chordNote time="25.396" string="1" fret="7" leftHand="1" /&gt;&lt;chordNote time="25.396" string="2" fret="9" leftHand="3" /&gt;&lt;chordNote time="25.396" string="3" fret="9" leftHand="4" /&gt;&lt;/chord&gt;</v>
      </c>
      <c r="D150" s="3">
        <f t="shared" si="16"/>
        <v>25.396000000000001</v>
      </c>
      <c r="E150" s="3">
        <f t="shared" si="17"/>
        <v>20.324999999999999</v>
      </c>
      <c r="F150" t="str">
        <f t="shared" si="19"/>
        <v>20.125</v>
      </c>
      <c r="G150" t="s">
        <v>425</v>
      </c>
      <c r="I150" t="str">
        <f t="shared" si="18"/>
        <v>&lt;note time="25.396" string="1" fret="2" /&gt;</v>
      </c>
      <c r="J150" t="str">
        <f t="shared" si="20"/>
        <v>18.625</v>
      </c>
      <c r="K150" t="s">
        <v>1117</v>
      </c>
    </row>
    <row r="151" spans="1:11" x14ac:dyDescent="0.45">
      <c r="A151" t="str">
        <f t="shared" si="15"/>
        <v>&lt;chord time="25.552" chordId="0" highDensity="1" &gt;&lt;chordNote time="25.552" string="1" fret="7" leftHand="1" /&gt;&lt;chordNote time="25.552" string="2" fret="9" leftHand="3" /&gt;&lt;chordNote time="25.552" string="3" fret="9" leftHand="4" /&gt;&lt;/chord&gt;</v>
      </c>
      <c r="D151" s="3">
        <f t="shared" si="16"/>
        <v>25.552</v>
      </c>
      <c r="E151" s="3">
        <f t="shared" si="17"/>
        <v>20.45</v>
      </c>
      <c r="F151" t="str">
        <f t="shared" si="19"/>
        <v>20.250</v>
      </c>
      <c r="G151" t="s">
        <v>426</v>
      </c>
      <c r="I151" t="str">
        <f t="shared" si="18"/>
        <v>&lt;note time="25.552" string="1" fret="2" /&gt;</v>
      </c>
      <c r="J151" t="str">
        <f t="shared" si="20"/>
        <v>18.750</v>
      </c>
      <c r="K151" t="s">
        <v>1118</v>
      </c>
    </row>
    <row r="152" spans="1:11" x14ac:dyDescent="0.45">
      <c r="A152" t="str">
        <f t="shared" si="15"/>
        <v>&lt;chord time="25.709" chordId="0" highDensity="1" &gt;&lt;chordNote time="25.709" string="1" fret="7" leftHand="1" /&gt;&lt;chordNote time="25.709" string="2" fret="9" leftHand="3" /&gt;&lt;chordNote time="25.709" string="3" fret="9" leftHand="4" /&gt;&lt;/chord&gt;</v>
      </c>
      <c r="D152" s="3">
        <f t="shared" si="16"/>
        <v>25.709</v>
      </c>
      <c r="E152" s="3">
        <f t="shared" si="17"/>
        <v>20.574999999999999</v>
      </c>
      <c r="F152" t="str">
        <f t="shared" si="19"/>
        <v>20.375</v>
      </c>
      <c r="G152" t="s">
        <v>427</v>
      </c>
      <c r="I152" t="str">
        <f t="shared" si="18"/>
        <v>&lt;note time="25.709" string="1" fret="2" /&gt;</v>
      </c>
      <c r="J152" t="str">
        <f t="shared" si="20"/>
        <v>18.875</v>
      </c>
      <c r="K152" t="s">
        <v>1119</v>
      </c>
    </row>
    <row r="153" spans="1:11" x14ac:dyDescent="0.45">
      <c r="A153" t="str">
        <f t="shared" si="15"/>
        <v>&lt;chord time="25.865" chordId="0" highDensity="1" &gt;&lt;chordNote time="25.865" string="1" fret="7" leftHand="1" /&gt;&lt;chordNote time="25.865" string="2" fret="9" leftHand="3" /&gt;&lt;chordNote time="25.865" string="3" fret="9" leftHand="4" /&gt;&lt;/chord&gt;</v>
      </c>
      <c r="D153" s="3">
        <f t="shared" si="16"/>
        <v>25.864999999999998</v>
      </c>
      <c r="E153" s="3">
        <f t="shared" si="17"/>
        <v>20.7</v>
      </c>
      <c r="F153" t="str">
        <f t="shared" si="19"/>
        <v>20.500</v>
      </c>
      <c r="G153" t="s">
        <v>428</v>
      </c>
      <c r="I153" t="str">
        <f t="shared" si="18"/>
        <v>&lt;note time="25.865" string="1" fret="2" /&gt;</v>
      </c>
      <c r="J153" t="str">
        <f t="shared" si="20"/>
        <v>19.000</v>
      </c>
      <c r="K153" t="s">
        <v>1120</v>
      </c>
    </row>
    <row r="154" spans="1:11" x14ac:dyDescent="0.45">
      <c r="A154" t="str">
        <f t="shared" si="15"/>
        <v>&lt;chord time="26.022" chordId="0" highDensity="1" &gt;&lt;chordNote time="26.022" string="1" fret="7" leftHand="1" /&gt;&lt;chordNote time="26.022" string="2" fret="9" leftHand="3" /&gt;&lt;chordNote time="26.022" string="3" fret="9" leftHand="4" /&gt;&lt;/chord&gt;</v>
      </c>
      <c r="D154" s="3">
        <f t="shared" si="16"/>
        <v>26.021999999999998</v>
      </c>
      <c r="E154" s="3">
        <f t="shared" si="17"/>
        <v>20.824999999999999</v>
      </c>
      <c r="F154" t="str">
        <f t="shared" si="19"/>
        <v>20.625</v>
      </c>
      <c r="G154" t="s">
        <v>429</v>
      </c>
      <c r="I154" t="str">
        <f t="shared" si="18"/>
        <v>&lt;note time="26.022" string="1" fret="2" /&gt;</v>
      </c>
      <c r="J154" t="str">
        <f t="shared" si="20"/>
        <v>19.125</v>
      </c>
      <c r="K154" t="s">
        <v>1121</v>
      </c>
    </row>
    <row r="155" spans="1:11" x14ac:dyDescent="0.45">
      <c r="A155" t="str">
        <f t="shared" si="15"/>
        <v>&lt;chord time="26.178" chordId="0" highDensity="1" &gt;&lt;chordNote time="26.178" string="1" fret="7" leftHand="1" /&gt;&lt;chordNote time="26.178" string="2" fret="9" leftHand="3" /&gt;&lt;chordNote time="26.178" string="3" fret="9" leftHand="4" /&gt;&lt;/chord&gt;</v>
      </c>
      <c r="D155" s="3">
        <f t="shared" si="16"/>
        <v>26.178000000000001</v>
      </c>
      <c r="E155" s="3">
        <f t="shared" si="17"/>
        <v>20.95</v>
      </c>
      <c r="F155" t="str">
        <f t="shared" si="19"/>
        <v>20.750</v>
      </c>
      <c r="G155" t="s">
        <v>430</v>
      </c>
      <c r="I155" t="str">
        <f t="shared" si="18"/>
        <v>&lt;note time="26.178" string="1" fret="2" /&gt;</v>
      </c>
      <c r="J155" t="str">
        <f t="shared" si="20"/>
        <v>19.250</v>
      </c>
      <c r="K155" t="s">
        <v>1122</v>
      </c>
    </row>
    <row r="156" spans="1:11" x14ac:dyDescent="0.45">
      <c r="A156" t="str">
        <f t="shared" si="15"/>
        <v>&lt;chord time="26.335" chordId="0" highDensity="1" &gt;&lt;chordNote time="26.335" string="1" fret="7" leftHand="1" /&gt;&lt;chordNote time="26.335" string="2" fret="9" leftHand="3" /&gt;&lt;chordNote time="26.335" string="3" fret="9" leftHand="4" /&gt;&lt;/chord&gt;</v>
      </c>
      <c r="D156" s="3">
        <f t="shared" si="16"/>
        <v>26.335000000000001</v>
      </c>
      <c r="E156" s="3">
        <f t="shared" si="17"/>
        <v>21.074999999999999</v>
      </c>
      <c r="F156" t="str">
        <f t="shared" si="19"/>
        <v>20.875</v>
      </c>
      <c r="G156" t="s">
        <v>431</v>
      </c>
      <c r="I156" t="str">
        <f t="shared" si="18"/>
        <v>&lt;note time="26.335" string="1" fret="2" /&gt;</v>
      </c>
      <c r="J156" t="str">
        <f t="shared" si="20"/>
        <v>19.375</v>
      </c>
      <c r="K156" t="s">
        <v>1123</v>
      </c>
    </row>
    <row r="157" spans="1:11" x14ac:dyDescent="0.45">
      <c r="A157" t="str">
        <f t="shared" si="15"/>
        <v>&lt;chord time="26.491" chordId="0" highDensity="1" &gt;&lt;chordNote time="26.491" string="1" fret="7" leftHand="1" /&gt;&lt;chordNote time="26.491" string="2" fret="9" leftHand="3" /&gt;&lt;chordNote time="26.491" string="3" fret="9" leftHand="4" /&gt;&lt;/chord&gt;</v>
      </c>
      <c r="D157" s="3">
        <f t="shared" si="16"/>
        <v>26.491</v>
      </c>
      <c r="E157" s="3">
        <f t="shared" si="17"/>
        <v>21.2</v>
      </c>
      <c r="F157" t="str">
        <f t="shared" si="19"/>
        <v>21.000</v>
      </c>
      <c r="G157" t="s">
        <v>432</v>
      </c>
      <c r="I157" t="str">
        <f t="shared" si="18"/>
        <v>&lt;note time="26.491" string="1" fret="2" /&gt;</v>
      </c>
      <c r="J157" t="str">
        <f t="shared" si="20"/>
        <v>19.500</v>
      </c>
      <c r="K157" t="s">
        <v>1124</v>
      </c>
    </row>
    <row r="158" spans="1:11" x14ac:dyDescent="0.45">
      <c r="A158" t="str">
        <f t="shared" si="15"/>
        <v>&lt;chord time="26.648" chordId="0" highDensity="1" &gt;&lt;chordNote time="26.648" string="1" fret="7" leftHand="1" /&gt;&lt;chordNote time="26.648" string="2" fret="9" leftHand="3" /&gt;&lt;chordNote time="26.648" string="3" fret="9" leftHand="4" /&gt;&lt;/chord&gt;</v>
      </c>
      <c r="D158" s="3">
        <f t="shared" si="16"/>
        <v>26.648</v>
      </c>
      <c r="E158" s="3">
        <f t="shared" si="17"/>
        <v>21.324999999999999</v>
      </c>
      <c r="F158" t="str">
        <f t="shared" si="19"/>
        <v>21.125</v>
      </c>
      <c r="G158" t="s">
        <v>433</v>
      </c>
      <c r="I158" t="str">
        <f t="shared" si="18"/>
        <v>&lt;note time="26.648" string="1" fret="2" /&gt;</v>
      </c>
      <c r="J158" t="str">
        <f t="shared" si="20"/>
        <v>19.625</v>
      </c>
      <c r="K158" t="s">
        <v>1125</v>
      </c>
    </row>
    <row r="159" spans="1:11" x14ac:dyDescent="0.45">
      <c r="A159" t="str">
        <f t="shared" si="15"/>
        <v>&lt;chord time="26.804" chordId="0" highDensity="1" &gt;&lt;chordNote time="26.804" string="1" fret="7" leftHand="1" /&gt;&lt;chordNote time="26.804" string="2" fret="9" leftHand="3" /&gt;&lt;chordNote time="26.804" string="3" fret="9" leftHand="4" /&gt;&lt;/chord&gt;</v>
      </c>
      <c r="D159" s="3">
        <f t="shared" si="16"/>
        <v>26.803999999999998</v>
      </c>
      <c r="E159" s="3">
        <f t="shared" si="17"/>
        <v>21.45</v>
      </c>
      <c r="F159" t="str">
        <f t="shared" si="19"/>
        <v>21.250</v>
      </c>
      <c r="G159" t="s">
        <v>434</v>
      </c>
      <c r="I159" t="str">
        <f t="shared" si="18"/>
        <v>&lt;note time="26.804" string="1" fret="2" /&gt;</v>
      </c>
      <c r="J159" t="str">
        <f t="shared" si="20"/>
        <v>19.750</v>
      </c>
      <c r="K159" t="s">
        <v>1126</v>
      </c>
    </row>
    <row r="160" spans="1:11" x14ac:dyDescent="0.45">
      <c r="A160" t="str">
        <f t="shared" si="15"/>
        <v>&lt;chord time="26.961" chordId="0" highDensity="1" &gt;&lt;chordNote time="26.961" string="1" fret="7" leftHand="1" /&gt;&lt;chordNote time="26.961" string="2" fret="9" leftHand="3" /&gt;&lt;chordNote time="26.961" string="3" fret="9" leftHand="4" /&gt;&lt;/chord&gt;</v>
      </c>
      <c r="D160" s="3">
        <f t="shared" si="16"/>
        <v>26.960999999999999</v>
      </c>
      <c r="E160" s="3">
        <f t="shared" si="17"/>
        <v>21.574999999999999</v>
      </c>
      <c r="F160" t="str">
        <f t="shared" si="19"/>
        <v>21.375</v>
      </c>
      <c r="G160" t="s">
        <v>435</v>
      </c>
      <c r="I160" t="str">
        <f t="shared" si="18"/>
        <v>&lt;note time="26.961" string="1" fret="2" /&gt;</v>
      </c>
      <c r="J160" t="str">
        <f t="shared" si="20"/>
        <v>19.875</v>
      </c>
      <c r="K160" t="s">
        <v>1127</v>
      </c>
    </row>
    <row r="161" spans="1:11" x14ac:dyDescent="0.45">
      <c r="A161" t="str">
        <f t="shared" si="15"/>
        <v>&lt;chord time="27.117" chordId="0" highDensity="1" &gt;&lt;chordNote time="27.117" string="1" fret="7" leftHand="1" /&gt;&lt;chordNote time="27.117" string="2" fret="9" leftHand="3" /&gt;&lt;chordNote time="27.117" string="3" fret="9" leftHand="4" /&gt;&lt;/chord&gt;</v>
      </c>
      <c r="D161" s="3">
        <f t="shared" si="16"/>
        <v>27.117000000000001</v>
      </c>
      <c r="E161" s="3">
        <f t="shared" si="17"/>
        <v>21.7</v>
      </c>
      <c r="F161" t="str">
        <f t="shared" si="19"/>
        <v>21.500</v>
      </c>
      <c r="G161" t="s">
        <v>436</v>
      </c>
      <c r="I161" t="str">
        <f t="shared" si="18"/>
        <v>&lt;note time="27.117" string="1" fret="7" /&gt;</v>
      </c>
      <c r="J161" t="str">
        <f t="shared" si="20"/>
        <v>20.000</v>
      </c>
      <c r="K161" t="s">
        <v>1128</v>
      </c>
    </row>
    <row r="162" spans="1:11" x14ac:dyDescent="0.45">
      <c r="A162" t="str">
        <f t="shared" si="15"/>
        <v>&lt;chord time="27.274" chordId="0" highDensity="1" &gt;&lt;chordNote time="27.274" string="1" fret="7" leftHand="1" /&gt;&lt;chordNote time="27.274" string="2" fret="9" leftHand="3" /&gt;&lt;chordNote time="27.274" string="3" fret="9" leftHand="4" /&gt;&lt;/chord&gt;</v>
      </c>
      <c r="D162" s="3">
        <f t="shared" si="16"/>
        <v>27.274000000000001</v>
      </c>
      <c r="E162" s="3">
        <f t="shared" si="17"/>
        <v>21.824999999999999</v>
      </c>
      <c r="F162" t="str">
        <f t="shared" si="19"/>
        <v>21.625</v>
      </c>
      <c r="G162" t="s">
        <v>437</v>
      </c>
      <c r="I162" t="str">
        <f t="shared" si="18"/>
        <v>&lt;note time="27.274" string="1" fret="7" /&gt;</v>
      </c>
      <c r="J162" t="str">
        <f t="shared" si="20"/>
        <v>20.125</v>
      </c>
      <c r="K162" t="s">
        <v>1129</v>
      </c>
    </row>
    <row r="163" spans="1:11" x14ac:dyDescent="0.45">
      <c r="A163" t="str">
        <f t="shared" si="15"/>
        <v>&lt;chord time="27.430" chordId="0" highDensity="1" &gt;&lt;chordNote time="27.430" string="1" fret="7" leftHand="1" /&gt;&lt;chordNote time="27.430" string="2" fret="9" leftHand="3" /&gt;&lt;chordNote time="27.430" string="3" fret="9" leftHand="4" /&gt;&lt;/chord&gt;</v>
      </c>
      <c r="D163" s="3">
        <f t="shared" si="16"/>
        <v>27.43</v>
      </c>
      <c r="E163" s="3">
        <f t="shared" si="17"/>
        <v>21.95</v>
      </c>
      <c r="F163" t="str">
        <f t="shared" si="19"/>
        <v>21.750</v>
      </c>
      <c r="G163" t="s">
        <v>438</v>
      </c>
      <c r="I163" t="str">
        <f t="shared" si="18"/>
        <v>&lt;note time="27.430" string="1" fret="7" /&gt;</v>
      </c>
      <c r="J163" t="str">
        <f t="shared" si="20"/>
        <v>20.250</v>
      </c>
      <c r="K163" t="s">
        <v>1130</v>
      </c>
    </row>
    <row r="164" spans="1:11" x14ac:dyDescent="0.45">
      <c r="A164" t="str">
        <f t="shared" si="15"/>
        <v>&lt;chord time="27.587" chordId="0" highDensity="1" &gt;&lt;chordNote time="27.587" string="1" fret="7" leftHand="1" /&gt;&lt;chordNote time="27.587" string="2" fret="9" leftHand="3" /&gt;&lt;chordNote time="27.587" string="3" fret="9" leftHand="4" /&gt;&lt;/chord&gt;</v>
      </c>
      <c r="D164" s="3">
        <f t="shared" si="16"/>
        <v>27.587</v>
      </c>
      <c r="E164" s="3">
        <f t="shared" si="17"/>
        <v>22.074999999999999</v>
      </c>
      <c r="F164" t="str">
        <f t="shared" si="19"/>
        <v>21.875</v>
      </c>
      <c r="G164" t="s">
        <v>439</v>
      </c>
      <c r="I164" t="str">
        <f t="shared" si="18"/>
        <v>&lt;note time="27.587" string="1" fret="7" /&gt;</v>
      </c>
      <c r="J164" t="str">
        <f t="shared" si="20"/>
        <v>20.375</v>
      </c>
      <c r="K164" t="s">
        <v>1131</v>
      </c>
    </row>
    <row r="165" spans="1:11" x14ac:dyDescent="0.45">
      <c r="A165" t="str">
        <f t="shared" si="15"/>
        <v>&lt;chord time="27.743" chordId="1" &gt;&lt;chordNote time="27.743" string="1" fret="9" leftHand="1" /&gt;&lt;chordNote time="27.743" string="2" fret="11" leftHand="3" /&gt;&lt;chordNote time="27.743" string="3" fret="11" leftHand="4" /&gt;&lt;/chord&gt;</v>
      </c>
      <c r="D165" s="3">
        <f t="shared" si="16"/>
        <v>27.742999999999999</v>
      </c>
      <c r="E165" s="3">
        <f t="shared" si="17"/>
        <v>22.2</v>
      </c>
      <c r="F165" t="str">
        <f t="shared" si="19"/>
        <v>22.000</v>
      </c>
      <c r="G165" t="s">
        <v>440</v>
      </c>
      <c r="I165" t="str">
        <f t="shared" si="18"/>
        <v>&lt;note time="27.743" string="1" fret="7" /&gt;</v>
      </c>
      <c r="J165" t="str">
        <f t="shared" si="20"/>
        <v>20.500</v>
      </c>
      <c r="K165" t="s">
        <v>1132</v>
      </c>
    </row>
    <row r="166" spans="1:11" x14ac:dyDescent="0.45">
      <c r="A166" t="str">
        <f t="shared" si="15"/>
        <v>&lt;chord time="27.900" chordId="1" highDensity="1" &gt;&lt;chordNote time="27.900" string="1" fret="9" leftHand="1" /&gt;&lt;chordNote time="27.900" string="2" fret="11" leftHand="3" /&gt;&lt;chordNote time="27.900" string="3" fret="11" leftHand="4" /&gt;&lt;/chord&gt;</v>
      </c>
      <c r="D166" s="3">
        <f t="shared" si="16"/>
        <v>27.9</v>
      </c>
      <c r="E166" s="3">
        <f t="shared" si="17"/>
        <v>22.324999999999999</v>
      </c>
      <c r="F166" t="str">
        <f t="shared" si="19"/>
        <v>22.125</v>
      </c>
      <c r="G166" t="s">
        <v>441</v>
      </c>
      <c r="I166" t="str">
        <f t="shared" si="18"/>
        <v>&lt;note time="27.900" string="1" fret="7" /&gt;</v>
      </c>
      <c r="J166" t="str">
        <f t="shared" si="20"/>
        <v>20.625</v>
      </c>
      <c r="K166" t="s">
        <v>1133</v>
      </c>
    </row>
    <row r="167" spans="1:11" x14ac:dyDescent="0.45">
      <c r="A167" t="str">
        <f t="shared" si="15"/>
        <v>&lt;chord time="28.056" chordId="1" highDensity="1" &gt;&lt;chordNote time="28.056" string="1" fret="9" leftHand="1" /&gt;&lt;chordNote time="28.056" string="2" fret="11" leftHand="3" /&gt;&lt;chordNote time="28.056" string="3" fret="11" leftHand="4" /&gt;&lt;/chord&gt;</v>
      </c>
      <c r="D167" s="3">
        <f t="shared" si="16"/>
        <v>28.056000000000001</v>
      </c>
      <c r="E167" s="3">
        <f t="shared" si="17"/>
        <v>22.45</v>
      </c>
      <c r="F167" t="str">
        <f t="shared" si="19"/>
        <v>22.250</v>
      </c>
      <c r="G167" t="s">
        <v>442</v>
      </c>
      <c r="I167" t="str">
        <f t="shared" si="18"/>
        <v>&lt;note time="28.056" string="1" fret="7" /&gt;</v>
      </c>
      <c r="J167" t="str">
        <f t="shared" si="20"/>
        <v>20.750</v>
      </c>
      <c r="K167" t="s">
        <v>1134</v>
      </c>
    </row>
    <row r="168" spans="1:11" x14ac:dyDescent="0.45">
      <c r="A168" t="str">
        <f t="shared" si="15"/>
        <v>&lt;chord time="28.213" chordId="1" highDensity="1" &gt;&lt;chordNote time="28.213" string="1" fret="9" leftHand="1" /&gt;&lt;chordNote time="28.213" string="2" fret="11" leftHand="3" /&gt;&lt;chordNote time="28.213" string="3" fret="11" leftHand="4" /&gt;&lt;/chord&gt;</v>
      </c>
      <c r="D168" s="3">
        <f t="shared" si="16"/>
        <v>28.213000000000001</v>
      </c>
      <c r="E168" s="3">
        <f t="shared" si="17"/>
        <v>22.574999999999999</v>
      </c>
      <c r="F168" t="str">
        <f t="shared" si="19"/>
        <v>22.375</v>
      </c>
      <c r="G168" t="s">
        <v>443</v>
      </c>
      <c r="I168" t="str">
        <f t="shared" si="18"/>
        <v>&lt;note time="28.213" string="1" fret="7" /&gt;</v>
      </c>
      <c r="J168" t="str">
        <f t="shared" si="20"/>
        <v>20.875</v>
      </c>
      <c r="K168" t="s">
        <v>1135</v>
      </c>
    </row>
    <row r="169" spans="1:11" x14ac:dyDescent="0.45">
      <c r="A169" t="str">
        <f t="shared" si="15"/>
        <v>&lt;chord time="28.369" chordId="1" highDensity="1" &gt;&lt;chordNote time="28.369" string="1" fret="9" leftHand="1" /&gt;&lt;chordNote time="28.369" string="2" fret="11" leftHand="3" /&gt;&lt;chordNote time="28.369" string="3" fret="11" leftHand="4" /&gt;&lt;/chord&gt;</v>
      </c>
      <c r="D169" s="3">
        <f t="shared" si="16"/>
        <v>28.369</v>
      </c>
      <c r="E169" s="3">
        <f t="shared" si="17"/>
        <v>22.7</v>
      </c>
      <c r="F169" t="str">
        <f t="shared" si="19"/>
        <v>22.500</v>
      </c>
      <c r="G169" t="s">
        <v>444</v>
      </c>
      <c r="I169" t="str">
        <f t="shared" si="18"/>
        <v>&lt;note time="28.369" string="1" fret="7" /&gt;</v>
      </c>
      <c r="J169" t="str">
        <f t="shared" si="20"/>
        <v>21.000</v>
      </c>
      <c r="K169" t="s">
        <v>1136</v>
      </c>
    </row>
    <row r="170" spans="1:11" x14ac:dyDescent="0.45">
      <c r="A170" t="str">
        <f t="shared" si="15"/>
        <v>&lt;chord time="28.526" chordId="1" highDensity="1" &gt;&lt;chordNote time="28.526" string="1" fret="9" leftHand="1" /&gt;&lt;chordNote time="28.526" string="2" fret="11" leftHand="3" /&gt;&lt;chordNote time="28.526" string="3" fret="11" leftHand="4" /&gt;&lt;/chord&gt;</v>
      </c>
      <c r="D170" s="3">
        <f t="shared" si="16"/>
        <v>28.526</v>
      </c>
      <c r="E170" s="3">
        <f t="shared" si="17"/>
        <v>22.824999999999999</v>
      </c>
      <c r="F170" t="str">
        <f t="shared" si="19"/>
        <v>22.625</v>
      </c>
      <c r="G170" t="s">
        <v>445</v>
      </c>
      <c r="I170" t="str">
        <f t="shared" si="18"/>
        <v>&lt;note time="28.526" string="1" fret="7" /&gt;</v>
      </c>
      <c r="J170" t="str">
        <f t="shared" si="20"/>
        <v>21.125</v>
      </c>
      <c r="K170" t="s">
        <v>1137</v>
      </c>
    </row>
    <row r="171" spans="1:11" x14ac:dyDescent="0.45">
      <c r="A171" t="str">
        <f t="shared" si="15"/>
        <v>&lt;chord time="28.682" chordId="1" highDensity="1" &gt;&lt;chordNote time="28.682" string="1" fret="9" leftHand="1" /&gt;&lt;chordNote time="28.682" string="2" fret="11" leftHand="3" /&gt;&lt;chordNote time="28.682" string="3" fret="11" leftHand="4" /&gt;&lt;/chord&gt;</v>
      </c>
      <c r="D171" s="3">
        <f t="shared" si="16"/>
        <v>28.681999999999999</v>
      </c>
      <c r="E171" s="3">
        <f t="shared" si="17"/>
        <v>22.95</v>
      </c>
      <c r="F171" t="str">
        <f t="shared" si="19"/>
        <v>22.750</v>
      </c>
      <c r="G171" t="s">
        <v>446</v>
      </c>
      <c r="I171" t="str">
        <f t="shared" si="18"/>
        <v>&lt;note time="28.682" string="1" fret="7" /&gt;</v>
      </c>
      <c r="J171" t="str">
        <f t="shared" si="20"/>
        <v>21.250</v>
      </c>
      <c r="K171" t="s">
        <v>1138</v>
      </c>
    </row>
    <row r="172" spans="1:11" x14ac:dyDescent="0.45">
      <c r="A172" t="str">
        <f t="shared" si="15"/>
        <v>&lt;chord time="28.839" chordId="1" highDensity="1" &gt;&lt;chordNote time="28.839" string="1" fret="9" leftHand="1" /&gt;&lt;chordNote time="28.839" string="2" fret="11" leftHand="3" /&gt;&lt;chordNote time="28.839" string="3" fret="11" leftHand="4" /&gt;&lt;/chord&gt;</v>
      </c>
      <c r="D172" s="3">
        <f t="shared" si="16"/>
        <v>28.838999999999999</v>
      </c>
      <c r="E172" s="3">
        <f t="shared" si="17"/>
        <v>23.074999999999999</v>
      </c>
      <c r="F172" t="str">
        <f t="shared" si="19"/>
        <v>22.875</v>
      </c>
      <c r="G172" t="s">
        <v>447</v>
      </c>
      <c r="I172" t="str">
        <f t="shared" si="18"/>
        <v>&lt;note time="28.839" string="1" fret="7" /&gt;</v>
      </c>
      <c r="J172" t="str">
        <f t="shared" si="20"/>
        <v>21.375</v>
      </c>
      <c r="K172" t="s">
        <v>1139</v>
      </c>
    </row>
    <row r="173" spans="1:11" x14ac:dyDescent="0.45">
      <c r="A173" t="str">
        <f t="shared" si="15"/>
        <v>&lt;chord time="28.995" chordId="1" highDensity="1" &gt;&lt;chordNote time="28.995" string="1" fret="9" leftHand="1" /&gt;&lt;chordNote time="28.995" string="2" fret="11" leftHand="3" /&gt;&lt;chordNote time="28.995" string="3" fret="11" leftHand="4" /&gt;&lt;/chord&gt;</v>
      </c>
      <c r="D173" s="3">
        <f t="shared" si="16"/>
        <v>28.995000000000001</v>
      </c>
      <c r="E173" s="3">
        <f t="shared" si="17"/>
        <v>23.2</v>
      </c>
      <c r="F173" t="str">
        <f t="shared" si="19"/>
        <v>23.000</v>
      </c>
      <c r="G173" t="s">
        <v>448</v>
      </c>
      <c r="I173" t="str">
        <f t="shared" si="18"/>
        <v>&lt;note time="28.995" string="1" fret="7" /&gt;</v>
      </c>
      <c r="J173" t="str">
        <f t="shared" si="20"/>
        <v>21.500</v>
      </c>
      <c r="K173" t="s">
        <v>1140</v>
      </c>
    </row>
    <row r="174" spans="1:11" x14ac:dyDescent="0.45">
      <c r="A174" t="str">
        <f t="shared" si="15"/>
        <v>&lt;chord time="29.152" chordId="1" highDensity="1" &gt;&lt;chordNote time="29.152" string="1" fret="9" leftHand="1" /&gt;&lt;chordNote time="29.152" string="2" fret="11" leftHand="3" /&gt;&lt;chordNote time="29.152" string="3" fret="11" leftHand="4" /&gt;&lt;/chord&gt;</v>
      </c>
      <c r="D174" s="3">
        <f t="shared" si="16"/>
        <v>29.152000000000001</v>
      </c>
      <c r="E174" s="3">
        <f t="shared" si="17"/>
        <v>23.324999999999999</v>
      </c>
      <c r="F174" t="str">
        <f t="shared" si="19"/>
        <v>23.125</v>
      </c>
      <c r="G174" t="s">
        <v>449</v>
      </c>
      <c r="I174" t="str">
        <f t="shared" si="18"/>
        <v>&lt;note time="29.152" string="1" fret="7" /&gt;</v>
      </c>
      <c r="J174" t="str">
        <f t="shared" si="20"/>
        <v>21.625</v>
      </c>
      <c r="K174" t="s">
        <v>1141</v>
      </c>
    </row>
    <row r="175" spans="1:11" x14ac:dyDescent="0.45">
      <c r="A175" t="str">
        <f t="shared" si="15"/>
        <v>&lt;chord time="29.308" chordId="1" highDensity="1" &gt;&lt;chordNote time="29.308" string="1" fret="9" leftHand="1" /&gt;&lt;chordNote time="29.308" string="2" fret="11" leftHand="3" /&gt;&lt;chordNote time="29.308" string="3" fret="11" leftHand="4" /&gt;&lt;/chord&gt;</v>
      </c>
      <c r="D175" s="3">
        <f t="shared" si="16"/>
        <v>29.308</v>
      </c>
      <c r="E175" s="3">
        <f t="shared" si="17"/>
        <v>23.45</v>
      </c>
      <c r="F175" t="str">
        <f t="shared" si="19"/>
        <v>23.250</v>
      </c>
      <c r="G175" t="s">
        <v>450</v>
      </c>
      <c r="I175" t="str">
        <f t="shared" si="18"/>
        <v>&lt;note time="29.308" string="1" fret="7" /&gt;</v>
      </c>
      <c r="J175" t="str">
        <f t="shared" si="20"/>
        <v>21.750</v>
      </c>
      <c r="K175" t="s">
        <v>1142</v>
      </c>
    </row>
    <row r="176" spans="1:11" x14ac:dyDescent="0.45">
      <c r="A176" t="str">
        <f t="shared" si="15"/>
        <v>&lt;chord time="29.465" chordId="1" highDensity="1" &gt;&lt;chordNote time="29.465" string="1" fret="9" leftHand="1" /&gt;&lt;chordNote time="29.465" string="2" fret="11" leftHand="3" /&gt;&lt;chordNote time="29.465" string="3" fret="11" leftHand="4" /&gt;&lt;/chord&gt;</v>
      </c>
      <c r="D176" s="3">
        <f t="shared" si="16"/>
        <v>29.465</v>
      </c>
      <c r="E176" s="3">
        <f t="shared" si="17"/>
        <v>23.574999999999999</v>
      </c>
      <c r="F176" t="str">
        <f t="shared" si="19"/>
        <v>23.375</v>
      </c>
      <c r="G176" t="s">
        <v>451</v>
      </c>
      <c r="I176" t="str">
        <f t="shared" si="18"/>
        <v>&lt;note time="29.465" string="1" fret="7" /&gt;</v>
      </c>
      <c r="J176" t="str">
        <f t="shared" si="20"/>
        <v>21.875</v>
      </c>
      <c r="K176" t="s">
        <v>1143</v>
      </c>
    </row>
    <row r="177" spans="1:11" x14ac:dyDescent="0.45">
      <c r="A177" t="str">
        <f t="shared" si="15"/>
        <v>&lt;chord time="29.621" chordId="1" highDensity="1" &gt;&lt;chordNote time="29.621" string="1" fret="9" leftHand="1" /&gt;&lt;chordNote time="29.621" string="2" fret="11" leftHand="3" /&gt;&lt;chordNote time="29.621" string="3" fret="11" leftHand="4" /&gt;&lt;/chord&gt;</v>
      </c>
      <c r="D177" s="3">
        <f t="shared" si="16"/>
        <v>29.620999999999999</v>
      </c>
      <c r="E177" s="3">
        <f t="shared" si="17"/>
        <v>23.7</v>
      </c>
      <c r="F177" t="str">
        <f t="shared" si="19"/>
        <v>23.500</v>
      </c>
      <c r="G177" t="s">
        <v>452</v>
      </c>
      <c r="I177" t="str">
        <f t="shared" si="18"/>
        <v>&lt;note time="29.621" string="1" fret="9" /&gt;</v>
      </c>
      <c r="J177" t="str">
        <f t="shared" si="20"/>
        <v>22.000</v>
      </c>
      <c r="K177" t="s">
        <v>1144</v>
      </c>
    </row>
    <row r="178" spans="1:11" x14ac:dyDescent="0.45">
      <c r="A178" t="str">
        <f t="shared" si="15"/>
        <v>&lt;chord time="29.778" chordId="1" highDensity="1" &gt;&lt;chordNote time="29.778" string="1" fret="9" leftHand="1" /&gt;&lt;chordNote time="29.778" string="2" fret="11" leftHand="3" /&gt;&lt;chordNote time="29.778" string="3" fret="11" leftHand="4" /&gt;&lt;/chord&gt;</v>
      </c>
      <c r="D178" s="3">
        <f t="shared" si="16"/>
        <v>29.777999999999999</v>
      </c>
      <c r="E178" s="3">
        <f t="shared" si="17"/>
        <v>23.824999999999999</v>
      </c>
      <c r="F178" t="str">
        <f t="shared" si="19"/>
        <v>23.625</v>
      </c>
      <c r="G178" t="s">
        <v>453</v>
      </c>
      <c r="I178" t="str">
        <f t="shared" si="18"/>
        <v>&lt;note time="29.778" string="1" fret="9" /&gt;</v>
      </c>
      <c r="J178" t="str">
        <f t="shared" si="20"/>
        <v>22.125</v>
      </c>
      <c r="K178" t="s">
        <v>1145</v>
      </c>
    </row>
    <row r="179" spans="1:11" x14ac:dyDescent="0.45">
      <c r="A179" t="str">
        <f t="shared" si="15"/>
        <v>&lt;chord time="29.934" chordId="1" highDensity="1" &gt;&lt;chordNote time="29.934" string="1" fret="9" leftHand="1" /&gt;&lt;chordNote time="29.934" string="2" fret="11" leftHand="3" /&gt;&lt;chordNote time="29.934" string="3" fret="11" leftHand="4" /&gt;&lt;/chord&gt;</v>
      </c>
      <c r="D179" s="3">
        <f t="shared" si="16"/>
        <v>29.934000000000001</v>
      </c>
      <c r="E179" s="3">
        <f t="shared" si="17"/>
        <v>23.95</v>
      </c>
      <c r="F179" t="str">
        <f t="shared" si="19"/>
        <v>23.750</v>
      </c>
      <c r="G179" t="s">
        <v>454</v>
      </c>
      <c r="I179" t="str">
        <f t="shared" si="18"/>
        <v>&lt;note time="29.934" string="1" fret="9" /&gt;</v>
      </c>
      <c r="J179" t="str">
        <f t="shared" si="20"/>
        <v>22.250</v>
      </c>
      <c r="K179" t="s">
        <v>1146</v>
      </c>
    </row>
    <row r="180" spans="1:11" x14ac:dyDescent="0.45">
      <c r="A180" t="str">
        <f t="shared" si="15"/>
        <v>&lt;chord time="30.091" chordId="1" highDensity="1" &gt;&lt;chordNote time="30.091" string="1" fret="9" leftHand="1" /&gt;&lt;chordNote time="30.091" string="2" fret="11" leftHand="3" /&gt;&lt;chordNote time="30.091" string="3" fret="11" leftHand="4" /&gt;&lt;/chord&gt;</v>
      </c>
      <c r="D180" s="3">
        <f t="shared" si="16"/>
        <v>30.091000000000001</v>
      </c>
      <c r="E180" s="3">
        <f t="shared" si="17"/>
        <v>24.074999999999999</v>
      </c>
      <c r="F180" t="str">
        <f t="shared" si="19"/>
        <v>23.875</v>
      </c>
      <c r="G180" t="s">
        <v>455</v>
      </c>
      <c r="I180" t="str">
        <f t="shared" si="18"/>
        <v>&lt;note time="30.091" string="1" fret="9" /&gt;</v>
      </c>
      <c r="J180" t="str">
        <f t="shared" si="20"/>
        <v>22.375</v>
      </c>
      <c r="K180" t="s">
        <v>1147</v>
      </c>
    </row>
    <row r="181" spans="1:11" x14ac:dyDescent="0.45">
      <c r="A181" t="str">
        <f t="shared" si="15"/>
        <v>&lt;chord time="30.247" chordId="3" &gt;&lt;chordNote time="30.247" string="1" fret="4" leftHand="1" /&gt;&lt;chordNote time="30.247" string="2" fret="6" leftHand="3" /&gt;&lt;chordNote time="30.247" string="3" fret="6" leftHand="4" /&gt;&lt;/chord&gt;</v>
      </c>
      <c r="D181" s="3">
        <f t="shared" si="16"/>
        <v>30.247</v>
      </c>
      <c r="E181" s="3">
        <f t="shared" si="17"/>
        <v>24.2</v>
      </c>
      <c r="F181" t="str">
        <f t="shared" si="19"/>
        <v>24.000</v>
      </c>
      <c r="G181" t="s">
        <v>456</v>
      </c>
      <c r="I181" t="str">
        <f t="shared" si="18"/>
        <v>&lt;note time="30.247" string="1" fret="9" /&gt;</v>
      </c>
      <c r="J181" t="str">
        <f t="shared" si="20"/>
        <v>22.500</v>
      </c>
      <c r="K181" t="s">
        <v>1148</v>
      </c>
    </row>
    <row r="182" spans="1:11" x14ac:dyDescent="0.45">
      <c r="A182" t="str">
        <f t="shared" si="15"/>
        <v>&lt;chord time="30.404" chordId="3" highDensity="1" &gt;&lt;chordNote time="30.404" string="1" fret="4" leftHand="1" /&gt;&lt;chordNote time="30.404" string="2" fret="6" leftHand="3" /&gt;&lt;chordNote time="30.404" string="3" fret="6" leftHand="4" /&gt;&lt;/chord&gt;</v>
      </c>
      <c r="D182" s="3">
        <f t="shared" si="16"/>
        <v>30.404</v>
      </c>
      <c r="E182" s="3">
        <f t="shared" si="17"/>
        <v>24.324999999999999</v>
      </c>
      <c r="F182" t="str">
        <f t="shared" si="19"/>
        <v>24.125</v>
      </c>
      <c r="G182" t="s">
        <v>457</v>
      </c>
      <c r="I182" t="str">
        <f t="shared" si="18"/>
        <v>&lt;note time="30.404" string="1" fret="9" /&gt;</v>
      </c>
      <c r="J182" t="str">
        <f t="shared" si="20"/>
        <v>22.625</v>
      </c>
      <c r="K182" t="s">
        <v>1149</v>
      </c>
    </row>
    <row r="183" spans="1:11" x14ac:dyDescent="0.45">
      <c r="A183" t="str">
        <f t="shared" si="15"/>
        <v>&lt;chord time="30.560" chordId="3" highDensity="1" &gt;&lt;chordNote time="30.560" string="1" fret="4" leftHand="1" /&gt;&lt;chordNote time="30.560" string="2" fret="6" leftHand="3" /&gt;&lt;chordNote time="30.560" string="3" fret="6" leftHand="4" /&gt;&lt;/chord&gt;</v>
      </c>
      <c r="D183" s="3">
        <f t="shared" si="16"/>
        <v>30.56</v>
      </c>
      <c r="E183" s="3">
        <f t="shared" si="17"/>
        <v>24.45</v>
      </c>
      <c r="F183" t="str">
        <f t="shared" si="19"/>
        <v>24.250</v>
      </c>
      <c r="G183" t="s">
        <v>458</v>
      </c>
      <c r="I183" t="str">
        <f t="shared" si="18"/>
        <v>&lt;note time="30.560" string="1" fret="9" /&gt;</v>
      </c>
      <c r="J183" t="str">
        <f t="shared" si="20"/>
        <v>22.750</v>
      </c>
      <c r="K183" t="s">
        <v>1150</v>
      </c>
    </row>
    <row r="184" spans="1:11" x14ac:dyDescent="0.45">
      <c r="A184" t="str">
        <f t="shared" si="15"/>
        <v>&lt;chord time="30.717" chordId="3" highDensity="1" &gt;&lt;chordNote time="30.717" string="1" fret="4" leftHand="1" /&gt;&lt;chordNote time="30.717" string="2" fret="6" leftHand="3" /&gt;&lt;chordNote time="30.717" string="3" fret="6" leftHand="4" /&gt;&lt;/chord&gt;</v>
      </c>
      <c r="D184" s="3">
        <f t="shared" si="16"/>
        <v>30.716999999999999</v>
      </c>
      <c r="E184" s="3">
        <f t="shared" si="17"/>
        <v>24.574999999999999</v>
      </c>
      <c r="F184" t="str">
        <f t="shared" si="19"/>
        <v>24.375</v>
      </c>
      <c r="G184" t="s">
        <v>459</v>
      </c>
      <c r="I184" t="str">
        <f t="shared" si="18"/>
        <v>&lt;note time="30.717" string="1" fret="9" /&gt;</v>
      </c>
      <c r="J184" t="str">
        <f t="shared" si="20"/>
        <v>22.875</v>
      </c>
      <c r="K184" t="s">
        <v>1151</v>
      </c>
    </row>
    <row r="185" spans="1:11" x14ac:dyDescent="0.45">
      <c r="A185" t="str">
        <f t="shared" si="15"/>
        <v>&lt;chord time="30.873" chordId="3" highDensity="1" &gt;&lt;chordNote time="30.873" string="1" fret="4" leftHand="1" /&gt;&lt;chordNote time="30.873" string="2" fret="6" leftHand="3" /&gt;&lt;chordNote time="30.873" string="3" fret="6" leftHand="4" /&gt;&lt;/chord&gt;</v>
      </c>
      <c r="D185" s="3">
        <f t="shared" si="16"/>
        <v>30.873000000000001</v>
      </c>
      <c r="E185" s="3">
        <f t="shared" si="17"/>
        <v>24.7</v>
      </c>
      <c r="F185" t="str">
        <f t="shared" si="19"/>
        <v>24.500</v>
      </c>
      <c r="G185" t="s">
        <v>460</v>
      </c>
      <c r="I185" t="str">
        <f t="shared" si="18"/>
        <v>&lt;note time="30.873" string="1" fret="9" /&gt;</v>
      </c>
      <c r="J185" t="str">
        <f t="shared" si="20"/>
        <v>23.000</v>
      </c>
      <c r="K185" t="s">
        <v>1152</v>
      </c>
    </row>
    <row r="186" spans="1:11" x14ac:dyDescent="0.45">
      <c r="A186" t="str">
        <f t="shared" si="15"/>
        <v>&lt;chord time="31.030" chordId="3" highDensity="1" &gt;&lt;chordNote time="31.030" string="1" fret="4" leftHand="1" /&gt;&lt;chordNote time="31.030" string="2" fret="6" leftHand="3" /&gt;&lt;chordNote time="31.030" string="3" fret="6" leftHand="4" /&gt;&lt;/chord&gt;</v>
      </c>
      <c r="D186" s="3">
        <f t="shared" si="16"/>
        <v>31.03</v>
      </c>
      <c r="E186" s="3">
        <f t="shared" si="17"/>
        <v>24.824999999999999</v>
      </c>
      <c r="F186" t="str">
        <f t="shared" si="19"/>
        <v>24.625</v>
      </c>
      <c r="G186" t="s">
        <v>461</v>
      </c>
      <c r="I186" t="str">
        <f t="shared" si="18"/>
        <v>&lt;note time="31.030" string="1" fret="9" /&gt;</v>
      </c>
      <c r="J186" t="str">
        <f t="shared" si="20"/>
        <v>23.125</v>
      </c>
      <c r="K186" t="s">
        <v>1153</v>
      </c>
    </row>
    <row r="187" spans="1:11" x14ac:dyDescent="0.45">
      <c r="A187" t="str">
        <f t="shared" si="15"/>
        <v>&lt;chord time="31.186" chordId="3" highDensity="1" &gt;&lt;chordNote time="31.186" string="1" fret="4" leftHand="1" /&gt;&lt;chordNote time="31.186" string="2" fret="6" leftHand="3" /&gt;&lt;chordNote time="31.186" string="3" fret="6" leftHand="4" /&gt;&lt;/chord&gt;</v>
      </c>
      <c r="D187" s="3">
        <f t="shared" si="16"/>
        <v>31.186</v>
      </c>
      <c r="E187" s="3">
        <f t="shared" si="17"/>
        <v>24.95</v>
      </c>
      <c r="F187" t="str">
        <f t="shared" si="19"/>
        <v>24.750</v>
      </c>
      <c r="G187" t="s">
        <v>462</v>
      </c>
      <c r="I187" t="str">
        <f t="shared" si="18"/>
        <v>&lt;note time="31.186" string="1" fret="9" /&gt;</v>
      </c>
      <c r="J187" t="str">
        <f t="shared" si="20"/>
        <v>23.250</v>
      </c>
      <c r="K187" t="s">
        <v>1154</v>
      </c>
    </row>
    <row r="188" spans="1:11" x14ac:dyDescent="0.45">
      <c r="A188" t="str">
        <f t="shared" si="15"/>
        <v>&lt;chord time="31.343" chordId="3" highDensity="1" &gt;&lt;chordNote time="31.343" string="1" fret="4" leftHand="1" /&gt;&lt;chordNote time="31.343" string="2" fret="6" leftHand="3" /&gt;&lt;chordNote time="31.343" string="3" fret="6" leftHand="4" /&gt;&lt;/chord&gt;</v>
      </c>
      <c r="D188" s="3">
        <f t="shared" si="16"/>
        <v>31.343</v>
      </c>
      <c r="E188" s="3">
        <f t="shared" si="17"/>
        <v>25.074999999999999</v>
      </c>
      <c r="F188" t="str">
        <f t="shared" si="19"/>
        <v>24.875</v>
      </c>
      <c r="G188" t="s">
        <v>463</v>
      </c>
      <c r="I188" t="str">
        <f t="shared" si="18"/>
        <v>&lt;note time="31.343" string="1" fret="9" /&gt;</v>
      </c>
      <c r="J188" t="str">
        <f t="shared" si="20"/>
        <v>23.375</v>
      </c>
      <c r="K188" t="s">
        <v>1155</v>
      </c>
    </row>
    <row r="189" spans="1:11" x14ac:dyDescent="0.45">
      <c r="A189" t="str">
        <f t="shared" si="15"/>
        <v>&lt;chord time="31.499" chordId="3" highDensity="1" &gt;&lt;chordNote time="31.499" string="1" fret="4" leftHand="1" /&gt;&lt;chordNote time="31.499" string="2" fret="6" leftHand="3" /&gt;&lt;chordNote time="31.499" string="3" fret="6" leftHand="4" /&gt;&lt;/chord&gt;</v>
      </c>
      <c r="D189" s="3">
        <f t="shared" si="16"/>
        <v>31.498999999999999</v>
      </c>
      <c r="E189" s="3">
        <f t="shared" si="17"/>
        <v>25.2</v>
      </c>
      <c r="F189" t="str">
        <f t="shared" si="19"/>
        <v>25.000</v>
      </c>
      <c r="G189" t="s">
        <v>464</v>
      </c>
      <c r="I189" t="str">
        <f t="shared" si="18"/>
        <v>&lt;note time="31.499" string="1" fret="9" /&gt;</v>
      </c>
      <c r="J189" t="str">
        <f t="shared" si="20"/>
        <v>23.500</v>
      </c>
      <c r="K189" t="s">
        <v>1156</v>
      </c>
    </row>
    <row r="190" spans="1:11" x14ac:dyDescent="0.45">
      <c r="A190" t="str">
        <f t="shared" si="15"/>
        <v>&lt;chord time="31.656" chordId="3" highDensity="1" &gt;&lt;chordNote time="31.656" string="1" fret="4" leftHand="1" /&gt;&lt;chordNote time="31.656" string="2" fret="6" leftHand="3" /&gt;&lt;chordNote time="31.656" string="3" fret="6" leftHand="4" /&gt;&lt;/chord&gt;</v>
      </c>
      <c r="D190" s="3">
        <f t="shared" si="16"/>
        <v>31.655999999999999</v>
      </c>
      <c r="E190" s="3">
        <f t="shared" si="17"/>
        <v>25.324999999999999</v>
      </c>
      <c r="F190" t="str">
        <f t="shared" si="19"/>
        <v>25.125</v>
      </c>
      <c r="G190" t="s">
        <v>465</v>
      </c>
      <c r="I190" t="str">
        <f t="shared" si="18"/>
        <v>&lt;note time="31.656" string="1" fret="9" /&gt;</v>
      </c>
      <c r="J190" t="str">
        <f t="shared" si="20"/>
        <v>23.625</v>
      </c>
      <c r="K190" t="s">
        <v>1157</v>
      </c>
    </row>
    <row r="191" spans="1:11" x14ac:dyDescent="0.45">
      <c r="A191" t="str">
        <f t="shared" si="15"/>
        <v>&lt;chord time="31.812" chordId="3" highDensity="1" &gt;&lt;chordNote time="31.812" string="1" fret="4" leftHand="1" /&gt;&lt;chordNote time="31.812" string="2" fret="6" leftHand="3" /&gt;&lt;chordNote time="31.812" string="3" fret="6" leftHand="4" /&gt;&lt;/chord&gt;</v>
      </c>
      <c r="D191" s="3">
        <f t="shared" si="16"/>
        <v>31.812000000000001</v>
      </c>
      <c r="E191" s="3">
        <f t="shared" si="17"/>
        <v>25.45</v>
      </c>
      <c r="F191" t="str">
        <f t="shared" si="19"/>
        <v>25.250</v>
      </c>
      <c r="G191" t="s">
        <v>466</v>
      </c>
      <c r="I191" t="str">
        <f t="shared" si="18"/>
        <v>&lt;note time="31.812" string="1" fret="9" /&gt;</v>
      </c>
      <c r="J191" t="str">
        <f t="shared" si="20"/>
        <v>23.750</v>
      </c>
      <c r="K191" t="s">
        <v>1158</v>
      </c>
    </row>
    <row r="192" spans="1:11" x14ac:dyDescent="0.45">
      <c r="A192" t="str">
        <f t="shared" si="15"/>
        <v>&lt;chord time="31.969" chordId="3" highDensity="1" &gt;&lt;chordNote time="31.969" string="1" fret="4" leftHand="1" /&gt;&lt;chordNote time="31.969" string="2" fret="6" leftHand="3" /&gt;&lt;chordNote time="31.969" string="3" fret="6" leftHand="4" /&gt;&lt;/chord&gt;</v>
      </c>
      <c r="D192" s="3">
        <f t="shared" si="16"/>
        <v>31.969000000000001</v>
      </c>
      <c r="E192" s="3">
        <f t="shared" si="17"/>
        <v>25.574999999999999</v>
      </c>
      <c r="F192" t="str">
        <f t="shared" si="19"/>
        <v>25.375</v>
      </c>
      <c r="G192" t="s">
        <v>467</v>
      </c>
      <c r="I192" t="str">
        <f t="shared" si="18"/>
        <v>&lt;note time="31.969" string="1" fret="9" /&gt;</v>
      </c>
      <c r="J192" t="str">
        <f t="shared" si="20"/>
        <v>23.875</v>
      </c>
      <c r="K192" t="s">
        <v>1159</v>
      </c>
    </row>
    <row r="193" spans="1:11" x14ac:dyDescent="0.45">
      <c r="A193" t="str">
        <f t="shared" si="15"/>
        <v>&lt;chord time="32.125" chordId="3" highDensity="1" &gt;&lt;chordNote time="32.125" string="1" fret="4" leftHand="1" /&gt;&lt;chordNote time="32.125" string="2" fret="6" leftHand="3" /&gt;&lt;chordNote time="32.125" string="3" fret="6" leftHand="4" /&gt;&lt;/chord&gt;</v>
      </c>
      <c r="D193" s="3">
        <f t="shared" si="16"/>
        <v>32.125</v>
      </c>
      <c r="E193" s="3">
        <f t="shared" si="17"/>
        <v>25.7</v>
      </c>
      <c r="F193" t="str">
        <f t="shared" si="19"/>
        <v>25.500</v>
      </c>
      <c r="G193" t="s">
        <v>468</v>
      </c>
      <c r="I193" t="str">
        <f t="shared" si="18"/>
        <v>&lt;note time="32.125" string="1" fret="4" /&gt;</v>
      </c>
      <c r="J193" t="str">
        <f t="shared" si="20"/>
        <v>24.000</v>
      </c>
      <c r="K193" t="s">
        <v>1160</v>
      </c>
    </row>
    <row r="194" spans="1:11" x14ac:dyDescent="0.45">
      <c r="A194" t="str">
        <f t="shared" ref="A194:A257" si="21">SUBSTITUTE(G194,F194,TEXT(D194,"0.000"))</f>
        <v>&lt;chord time="32.282" chordId="3" highDensity="1" &gt;&lt;chordNote time="32.282" string="1" fret="4" leftHand="1" /&gt;&lt;chordNote time="32.282" string="2" fret="6" leftHand="3" /&gt;&lt;chordNote time="32.282" string="3" fret="6" leftHand="4" /&gt;&lt;/chord&gt;</v>
      </c>
      <c r="D194" s="3">
        <f t="shared" ref="D194:D257" si="22">ROUNDDOWN(E194-($C$3*(E194-$E$1)/100),3)</f>
        <v>32.281999999999996</v>
      </c>
      <c r="E194" s="3">
        <f t="shared" ref="E194:E257" si="23">0.2+F194</f>
        <v>25.824999999999999</v>
      </c>
      <c r="F194" t="str">
        <f t="shared" si="19"/>
        <v>25.625</v>
      </c>
      <c r="G194" t="s">
        <v>469</v>
      </c>
      <c r="I194" t="str">
        <f t="shared" ref="I194:I257" si="24">SUBSTITUTE(K194,J194,TEXT(D194,"0.000"))</f>
        <v>&lt;note time="32.282" string="1" fret="4" /&gt;</v>
      </c>
      <c r="J194" t="str">
        <f t="shared" si="20"/>
        <v>24.125</v>
      </c>
      <c r="K194" t="s">
        <v>1161</v>
      </c>
    </row>
    <row r="195" spans="1:11" x14ac:dyDescent="0.45">
      <c r="A195" t="str">
        <f t="shared" si="21"/>
        <v>&lt;chord time="32.438" chordId="3" highDensity="1" &gt;&lt;chordNote time="32.438" string="1" fret="4" leftHand="1" /&gt;&lt;chordNote time="32.438" string="2" fret="6" leftHand="3" /&gt;&lt;chordNote time="32.438" string="3" fret="6" leftHand="4" /&gt;&lt;/chord&gt;</v>
      </c>
      <c r="D195" s="3">
        <f t="shared" si="22"/>
        <v>32.438000000000002</v>
      </c>
      <c r="E195" s="3">
        <f t="shared" si="23"/>
        <v>25.95</v>
      </c>
      <c r="F195" t="str">
        <f t="shared" si="19"/>
        <v>25.750</v>
      </c>
      <c r="G195" t="s">
        <v>470</v>
      </c>
      <c r="I195" t="str">
        <f t="shared" si="24"/>
        <v>&lt;note time="32.438" string="1" fret="4" /&gt;</v>
      </c>
      <c r="J195" t="str">
        <f t="shared" si="20"/>
        <v>24.250</v>
      </c>
      <c r="K195" t="s">
        <v>1162</v>
      </c>
    </row>
    <row r="196" spans="1:11" x14ac:dyDescent="0.45">
      <c r="A196" t="str">
        <f t="shared" si="21"/>
        <v>&lt;chord time="32.595" chordId="3" highDensity="1" &gt;&lt;chordNote time="32.595" string="1" fret="4" leftHand="1" /&gt;&lt;chordNote time="32.595" string="2" fret="6" leftHand="3" /&gt;&lt;chordNote time="32.595" string="3" fret="6" leftHand="4" /&gt;&lt;/chord&gt;</v>
      </c>
      <c r="D196" s="3">
        <f t="shared" si="22"/>
        <v>32.594999999999999</v>
      </c>
      <c r="E196" s="3">
        <f t="shared" si="23"/>
        <v>26.074999999999999</v>
      </c>
      <c r="F196" t="str">
        <f t="shared" si="19"/>
        <v>25.875</v>
      </c>
      <c r="G196" t="s">
        <v>471</v>
      </c>
      <c r="I196" t="str">
        <f t="shared" si="24"/>
        <v>&lt;note time="32.595" string="1" fret="4" /&gt;</v>
      </c>
      <c r="J196" t="str">
        <f t="shared" si="20"/>
        <v>24.375</v>
      </c>
      <c r="K196" t="s">
        <v>1163</v>
      </c>
    </row>
    <row r="197" spans="1:11" x14ac:dyDescent="0.45">
      <c r="A197" t="str">
        <f t="shared" si="21"/>
        <v>&lt;chord time="32.751" chordId="4" &gt;&lt;chordNote time="32.751" string="1" fret="2" leftHand="1" /&gt;&lt;chordNote time="32.751" string="2" fret="4" leftHand="3" /&gt;&lt;chordNote time="32.751" string="3" fret="4" leftHand="4" /&gt;&lt;/chord&gt;</v>
      </c>
      <c r="D197" s="3">
        <f t="shared" si="22"/>
        <v>32.750999999999998</v>
      </c>
      <c r="E197" s="3">
        <f t="shared" si="23"/>
        <v>26.2</v>
      </c>
      <c r="F197" t="str">
        <f t="shared" ref="F197:F260" si="25">RIGHT(LEFT(G197,19),6)</f>
        <v>26.000</v>
      </c>
      <c r="G197" t="s">
        <v>472</v>
      </c>
      <c r="I197" t="str">
        <f t="shared" si="24"/>
        <v>&lt;note time="32.751" string="1" fret="4" /&gt;</v>
      </c>
      <c r="J197" t="str">
        <f t="shared" si="20"/>
        <v>24.500</v>
      </c>
      <c r="K197" t="s">
        <v>1164</v>
      </c>
    </row>
    <row r="198" spans="1:11" x14ac:dyDescent="0.45">
      <c r="A198" t="str">
        <f t="shared" si="21"/>
        <v>&lt;chord time="32.908" chordId="4" highDensity="1" &gt;&lt;chordNote time="32.908" string="1" fret="2" leftHand="1" /&gt;&lt;chordNote time="32.908" string="2" fret="4" leftHand="3" /&gt;&lt;chordNote time="32.908" string="3" fret="4" leftHand="4" /&gt;&lt;/chord&gt;</v>
      </c>
      <c r="D198" s="3">
        <f t="shared" si="22"/>
        <v>32.908000000000001</v>
      </c>
      <c r="E198" s="3">
        <f t="shared" si="23"/>
        <v>26.324999999999999</v>
      </c>
      <c r="F198" t="str">
        <f t="shared" si="25"/>
        <v>26.125</v>
      </c>
      <c r="G198" t="s">
        <v>473</v>
      </c>
      <c r="I198" t="str">
        <f t="shared" si="24"/>
        <v>&lt;note time="32.908" string="1" fret="4" /&gt;</v>
      </c>
      <c r="J198" t="str">
        <f t="shared" si="20"/>
        <v>24.625</v>
      </c>
      <c r="K198" t="s">
        <v>1165</v>
      </c>
    </row>
    <row r="199" spans="1:11" x14ac:dyDescent="0.45">
      <c r="A199" t="str">
        <f t="shared" si="21"/>
        <v>&lt;chord time="33.064" chordId="4" highDensity="1" &gt;&lt;chordNote time="33.064" string="1" fret="2" leftHand="1" /&gt;&lt;chordNote time="33.064" string="2" fret="4" leftHand="3" /&gt;&lt;chordNote time="33.064" string="3" fret="4" leftHand="4" /&gt;&lt;/chord&gt;</v>
      </c>
      <c r="D199" s="3">
        <f t="shared" si="22"/>
        <v>33.064</v>
      </c>
      <c r="E199" s="3">
        <f t="shared" si="23"/>
        <v>26.45</v>
      </c>
      <c r="F199" t="str">
        <f t="shared" si="25"/>
        <v>26.250</v>
      </c>
      <c r="G199" t="s">
        <v>474</v>
      </c>
      <c r="I199" t="str">
        <f t="shared" si="24"/>
        <v>&lt;note time="33.064" string="1" fret="4" /&gt;</v>
      </c>
      <c r="J199" t="str">
        <f t="shared" si="20"/>
        <v>24.750</v>
      </c>
      <c r="K199" t="s">
        <v>1166</v>
      </c>
    </row>
    <row r="200" spans="1:11" x14ac:dyDescent="0.45">
      <c r="A200" t="str">
        <f t="shared" si="21"/>
        <v>&lt;chord time="33.221" chordId="4" highDensity="1" &gt;&lt;chordNote time="33.221" string="1" fret="2" leftHand="1" /&gt;&lt;chordNote time="33.221" string="2" fret="4" leftHand="3" /&gt;&lt;chordNote time="33.221" string="3" fret="4" leftHand="4" /&gt;&lt;/chord&gt;</v>
      </c>
      <c r="D200" s="3">
        <f t="shared" si="22"/>
        <v>33.220999999999997</v>
      </c>
      <c r="E200" s="3">
        <f t="shared" si="23"/>
        <v>26.574999999999999</v>
      </c>
      <c r="F200" t="str">
        <f t="shared" si="25"/>
        <v>26.375</v>
      </c>
      <c r="G200" t="s">
        <v>475</v>
      </c>
      <c r="I200" t="str">
        <f t="shared" si="24"/>
        <v>&lt;note time="33.221" string="1" fret="4" /&gt;</v>
      </c>
      <c r="J200" t="str">
        <f t="shared" si="20"/>
        <v>24.875</v>
      </c>
      <c r="K200" t="s">
        <v>1167</v>
      </c>
    </row>
    <row r="201" spans="1:11" x14ac:dyDescent="0.45">
      <c r="A201" t="str">
        <f t="shared" si="21"/>
        <v>&lt;chord time="33.377" chordId="4" highDensity="1" &gt;&lt;chordNote time="33.377" string="1" fret="2" leftHand="1" /&gt;&lt;chordNote time="33.377" string="2" fret="4" leftHand="3" /&gt;&lt;chordNote time="33.377" string="3" fret="4" leftHand="4" /&gt;&lt;/chord&gt;</v>
      </c>
      <c r="D201" s="3">
        <f t="shared" si="22"/>
        <v>33.377000000000002</v>
      </c>
      <c r="E201" s="3">
        <f t="shared" si="23"/>
        <v>26.7</v>
      </c>
      <c r="F201" t="str">
        <f t="shared" si="25"/>
        <v>26.500</v>
      </c>
      <c r="G201" t="s">
        <v>476</v>
      </c>
      <c r="I201" t="str">
        <f t="shared" si="24"/>
        <v>&lt;note time="33.377" string="1" fret="4" /&gt;</v>
      </c>
      <c r="J201" t="str">
        <f t="shared" si="20"/>
        <v>25.000</v>
      </c>
      <c r="K201" t="s">
        <v>1168</v>
      </c>
    </row>
    <row r="202" spans="1:11" x14ac:dyDescent="0.45">
      <c r="A202" t="str">
        <f t="shared" si="21"/>
        <v>&lt;chord time="33.534" chordId="4" highDensity="1" &gt;&lt;chordNote time="33.534" string="1" fret="2" leftHand="1" /&gt;&lt;chordNote time="33.534" string="2" fret="4" leftHand="3" /&gt;&lt;chordNote time="33.534" string="3" fret="4" leftHand="4" /&gt;&lt;/chord&gt;</v>
      </c>
      <c r="D202" s="3">
        <f t="shared" si="22"/>
        <v>33.533999999999999</v>
      </c>
      <c r="E202" s="3">
        <f t="shared" si="23"/>
        <v>26.824999999999999</v>
      </c>
      <c r="F202" t="str">
        <f t="shared" si="25"/>
        <v>26.625</v>
      </c>
      <c r="G202" t="s">
        <v>477</v>
      </c>
      <c r="I202" t="str">
        <f t="shared" si="24"/>
        <v>&lt;note time="33.534" string="1" fret="4" /&gt;</v>
      </c>
      <c r="J202" t="str">
        <f t="shared" si="20"/>
        <v>25.125</v>
      </c>
      <c r="K202" t="s">
        <v>1169</v>
      </c>
    </row>
    <row r="203" spans="1:11" x14ac:dyDescent="0.45">
      <c r="A203" t="str">
        <f t="shared" si="21"/>
        <v>&lt;chord time="33.690" chordId="4" highDensity="1" &gt;&lt;chordNote time="33.690" string="1" fret="2" leftHand="1" /&gt;&lt;chordNote time="33.690" string="2" fret="4" leftHand="3" /&gt;&lt;chordNote time="33.690" string="3" fret="4" leftHand="4" /&gt;&lt;/chord&gt;</v>
      </c>
      <c r="D203" s="3">
        <f t="shared" si="22"/>
        <v>33.69</v>
      </c>
      <c r="E203" s="3">
        <f t="shared" si="23"/>
        <v>26.95</v>
      </c>
      <c r="F203" t="str">
        <f t="shared" si="25"/>
        <v>26.750</v>
      </c>
      <c r="G203" t="s">
        <v>478</v>
      </c>
      <c r="I203" t="str">
        <f t="shared" si="24"/>
        <v>&lt;note time="33.690" string="1" fret="4" /&gt;</v>
      </c>
      <c r="J203" t="str">
        <f t="shared" si="20"/>
        <v>25.250</v>
      </c>
      <c r="K203" t="s">
        <v>1170</v>
      </c>
    </row>
    <row r="204" spans="1:11" x14ac:dyDescent="0.45">
      <c r="A204" t="str">
        <f t="shared" si="21"/>
        <v>&lt;chord time="33.847" chordId="4" highDensity="1" &gt;&lt;chordNote time="33.847" string="1" fret="2" leftHand="1" /&gt;&lt;chordNote time="33.847" string="2" fret="4" leftHand="3" /&gt;&lt;chordNote time="33.847" string="3" fret="4" leftHand="4" /&gt;&lt;/chord&gt;</v>
      </c>
      <c r="D204" s="3">
        <f t="shared" si="22"/>
        <v>33.847000000000001</v>
      </c>
      <c r="E204" s="3">
        <f t="shared" si="23"/>
        <v>27.074999999999999</v>
      </c>
      <c r="F204" t="str">
        <f t="shared" si="25"/>
        <v>26.875</v>
      </c>
      <c r="G204" t="s">
        <v>479</v>
      </c>
      <c r="I204" t="str">
        <f t="shared" si="24"/>
        <v>&lt;note time="33.847" string="1" fret="4" /&gt;</v>
      </c>
      <c r="J204" t="str">
        <f t="shared" si="20"/>
        <v>25.375</v>
      </c>
      <c r="K204" t="s">
        <v>1171</v>
      </c>
    </row>
    <row r="205" spans="1:11" x14ac:dyDescent="0.45">
      <c r="A205" t="str">
        <f t="shared" si="21"/>
        <v>&lt;chord time="34.003" chordId="4" highDensity="1" &gt;&lt;chordNote time="34.003" string="1" fret="2" leftHand="1" /&gt;&lt;chordNote time="34.003" string="2" fret="4" leftHand="3" /&gt;&lt;chordNote time="34.003" string="3" fret="4" leftHand="4" /&gt;&lt;/chord&gt;</v>
      </c>
      <c r="D205" s="3">
        <f t="shared" si="22"/>
        <v>34.003</v>
      </c>
      <c r="E205" s="3">
        <f t="shared" si="23"/>
        <v>27.2</v>
      </c>
      <c r="F205" t="str">
        <f t="shared" si="25"/>
        <v>27.000</v>
      </c>
      <c r="G205" t="s">
        <v>480</v>
      </c>
      <c r="I205" t="str">
        <f t="shared" si="24"/>
        <v>&lt;note time="34.003" string="1" fret="4" /&gt;</v>
      </c>
      <c r="J205" t="str">
        <f t="shared" si="20"/>
        <v>25.500</v>
      </c>
      <c r="K205" t="s">
        <v>1172</v>
      </c>
    </row>
    <row r="206" spans="1:11" x14ac:dyDescent="0.45">
      <c r="A206" t="str">
        <f t="shared" si="21"/>
        <v>&lt;chord time="34.160" chordId="4" highDensity="1" &gt;&lt;chordNote time="34.160" string="1" fret="2" leftHand="1" /&gt;&lt;chordNote time="34.160" string="2" fret="4" leftHand="3" /&gt;&lt;chordNote time="34.160" string="3" fret="4" leftHand="4" /&gt;&lt;/chord&gt;</v>
      </c>
      <c r="D206" s="3">
        <f t="shared" si="22"/>
        <v>34.159999999999997</v>
      </c>
      <c r="E206" s="3">
        <f t="shared" si="23"/>
        <v>27.324999999999999</v>
      </c>
      <c r="F206" t="str">
        <f t="shared" si="25"/>
        <v>27.125</v>
      </c>
      <c r="G206" t="s">
        <v>481</v>
      </c>
      <c r="I206" t="str">
        <f t="shared" si="24"/>
        <v>&lt;note time="34.160" string="1" fret="4" /&gt;</v>
      </c>
      <c r="J206" t="str">
        <f t="shared" si="20"/>
        <v>25.625</v>
      </c>
      <c r="K206" t="s">
        <v>1173</v>
      </c>
    </row>
    <row r="207" spans="1:11" x14ac:dyDescent="0.45">
      <c r="A207" t="str">
        <f t="shared" si="21"/>
        <v>&lt;chord time="34.316" chordId="4" highDensity="1" &gt;&lt;chordNote time="34.316" string="1" fret="2" leftHand="1" /&gt;&lt;chordNote time="34.316" string="2" fret="4" leftHand="3" /&gt;&lt;chordNote time="34.316" string="3" fret="4" leftHand="4" /&gt;&lt;/chord&gt;</v>
      </c>
      <c r="D207" s="3">
        <f t="shared" si="22"/>
        <v>34.316000000000003</v>
      </c>
      <c r="E207" s="3">
        <f t="shared" si="23"/>
        <v>27.45</v>
      </c>
      <c r="F207" t="str">
        <f t="shared" si="25"/>
        <v>27.250</v>
      </c>
      <c r="G207" t="s">
        <v>482</v>
      </c>
      <c r="I207" t="str">
        <f t="shared" si="24"/>
        <v>&lt;note time="34.316" string="1" fret="4" /&gt;</v>
      </c>
      <c r="J207" t="str">
        <f t="shared" si="20"/>
        <v>25.750</v>
      </c>
      <c r="K207" t="s">
        <v>1174</v>
      </c>
    </row>
    <row r="208" spans="1:11" x14ac:dyDescent="0.45">
      <c r="A208" t="str">
        <f t="shared" si="21"/>
        <v>&lt;chord time="34.473" chordId="4" highDensity="1" &gt;&lt;chordNote time="34.473" string="1" fret="2" leftHand="1" /&gt;&lt;chordNote time="34.473" string="2" fret="4" leftHand="3" /&gt;&lt;chordNote time="34.473" string="3" fret="4" leftHand="4" /&gt;&lt;/chord&gt;</v>
      </c>
      <c r="D208" s="3">
        <f t="shared" si="22"/>
        <v>34.472999999999999</v>
      </c>
      <c r="E208" s="3">
        <f t="shared" si="23"/>
        <v>27.574999999999999</v>
      </c>
      <c r="F208" t="str">
        <f t="shared" si="25"/>
        <v>27.375</v>
      </c>
      <c r="G208" t="s">
        <v>483</v>
      </c>
      <c r="I208" t="str">
        <f t="shared" si="24"/>
        <v>&lt;note time="34.473" string="1" fret="4" /&gt;</v>
      </c>
      <c r="J208" t="str">
        <f t="shared" si="20"/>
        <v>25.875</v>
      </c>
      <c r="K208" t="s">
        <v>1175</v>
      </c>
    </row>
    <row r="209" spans="1:11" x14ac:dyDescent="0.45">
      <c r="A209" t="str">
        <f t="shared" si="21"/>
        <v>&lt;chord time="34.629" chordId="4" highDensity="1" &gt;&lt;chordNote time="34.629" string="1" fret="2" leftHand="1" /&gt;&lt;chordNote time="34.629" string="2" fret="4" leftHand="3" /&gt;&lt;chordNote time="34.629" string="3" fret="4" leftHand="4" /&gt;&lt;/chord&gt;</v>
      </c>
      <c r="D209" s="3">
        <f t="shared" si="22"/>
        <v>34.628999999999998</v>
      </c>
      <c r="E209" s="3">
        <f t="shared" si="23"/>
        <v>27.7</v>
      </c>
      <c r="F209" t="str">
        <f t="shared" si="25"/>
        <v>27.500</v>
      </c>
      <c r="G209" t="s">
        <v>484</v>
      </c>
      <c r="I209" t="str">
        <f t="shared" si="24"/>
        <v>&lt;note time="34.629" string="1" fret="2" /&gt;</v>
      </c>
      <c r="J209" t="str">
        <f t="shared" si="20"/>
        <v>26.000</v>
      </c>
      <c r="K209" t="s">
        <v>1176</v>
      </c>
    </row>
    <row r="210" spans="1:11" x14ac:dyDescent="0.45">
      <c r="A210" t="str">
        <f t="shared" si="21"/>
        <v>&lt;chord time="34.786" chordId="4" highDensity="1" &gt;&lt;chordNote time="34.786" string="1" fret="2" leftHand="1" /&gt;&lt;chordNote time="34.786" string="2" fret="4" leftHand="3" /&gt;&lt;chordNote time="34.786" string="3" fret="4" leftHand="4" /&gt;&lt;/chord&gt;</v>
      </c>
      <c r="D210" s="3">
        <f t="shared" si="22"/>
        <v>34.786000000000001</v>
      </c>
      <c r="E210" s="3">
        <f t="shared" si="23"/>
        <v>27.824999999999999</v>
      </c>
      <c r="F210" t="str">
        <f t="shared" si="25"/>
        <v>27.625</v>
      </c>
      <c r="G210" t="s">
        <v>485</v>
      </c>
      <c r="I210" t="str">
        <f t="shared" si="24"/>
        <v>&lt;note time="34.786" string="1" fret="2" /&gt;</v>
      </c>
      <c r="J210" t="str">
        <f t="shared" ref="J210:J273" si="26">RIGHT(LEFT(K210,18),6)</f>
        <v>26.125</v>
      </c>
      <c r="K210" t="s">
        <v>1177</v>
      </c>
    </row>
    <row r="211" spans="1:11" x14ac:dyDescent="0.45">
      <c r="A211" t="str">
        <f t="shared" si="21"/>
        <v>&lt;chord time="34.942" chordId="4" highDensity="1" &gt;&lt;chordNote time="34.942" string="1" fret="2" leftHand="1" /&gt;&lt;chordNote time="34.942" string="2" fret="4" leftHand="3" /&gt;&lt;chordNote time="34.942" string="3" fret="4" leftHand="4" /&gt;&lt;/chord&gt;</v>
      </c>
      <c r="D211" s="3">
        <f t="shared" si="22"/>
        <v>34.942</v>
      </c>
      <c r="E211" s="3">
        <f t="shared" si="23"/>
        <v>27.95</v>
      </c>
      <c r="F211" t="str">
        <f t="shared" si="25"/>
        <v>27.750</v>
      </c>
      <c r="G211" t="s">
        <v>486</v>
      </c>
      <c r="I211" t="str">
        <f t="shared" si="24"/>
        <v>&lt;note time="34.942" string="1" fret="2" /&gt;</v>
      </c>
      <c r="J211" t="str">
        <f t="shared" si="26"/>
        <v>26.250</v>
      </c>
      <c r="K211" t="s">
        <v>1178</v>
      </c>
    </row>
    <row r="212" spans="1:11" x14ac:dyDescent="0.45">
      <c r="A212" t="str">
        <f t="shared" si="21"/>
        <v>&lt;chord time="35.099" chordId="4" highDensity="1" &gt;&lt;chordNote time="35.099" string="1" fret="2" leftHand="1" /&gt;&lt;chordNote time="35.099" string="2" fret="4" leftHand="3" /&gt;&lt;chordNote time="35.099" string="3" fret="4" leftHand="4" /&gt;&lt;/chord&gt;</v>
      </c>
      <c r="D212" s="3">
        <f t="shared" si="22"/>
        <v>35.098999999999997</v>
      </c>
      <c r="E212" s="3">
        <f t="shared" si="23"/>
        <v>28.074999999999999</v>
      </c>
      <c r="F212" t="str">
        <f t="shared" si="25"/>
        <v>27.875</v>
      </c>
      <c r="G212" t="s">
        <v>487</v>
      </c>
      <c r="I212" t="str">
        <f t="shared" si="24"/>
        <v>&lt;note time="35.099" string="1" fret="2" /&gt;</v>
      </c>
      <c r="J212" t="str">
        <f t="shared" si="26"/>
        <v>26.375</v>
      </c>
      <c r="K212" t="s">
        <v>1179</v>
      </c>
    </row>
    <row r="213" spans="1:11" x14ac:dyDescent="0.45">
      <c r="A213" t="str">
        <f t="shared" si="21"/>
        <v>&lt;chord time="35.255" chordId="0" &gt;&lt;chordNote time="35.255" string="1" fret="7" leftHand="1" /&gt;&lt;chordNote time="35.255" string="2" fret="9" leftHand="3" /&gt;&lt;chordNote time="35.255" string="3" fret="9" leftHand="4" /&gt;&lt;/chord&gt;</v>
      </c>
      <c r="D213" s="3">
        <f t="shared" si="22"/>
        <v>35.255000000000003</v>
      </c>
      <c r="E213" s="3">
        <f t="shared" si="23"/>
        <v>28.2</v>
      </c>
      <c r="F213" t="str">
        <f t="shared" si="25"/>
        <v>28.000</v>
      </c>
      <c r="G213" t="s">
        <v>488</v>
      </c>
      <c r="I213" t="str">
        <f t="shared" si="24"/>
        <v>&lt;note time="35.255" string="1" fret="2" /&gt;</v>
      </c>
      <c r="J213" t="str">
        <f t="shared" si="26"/>
        <v>26.500</v>
      </c>
      <c r="K213" t="s">
        <v>1180</v>
      </c>
    </row>
    <row r="214" spans="1:11" x14ac:dyDescent="0.45">
      <c r="A214" t="str">
        <f t="shared" si="21"/>
        <v>&lt;chord time="35.412" chordId="0" highDensity="1" &gt;&lt;chordNote time="35.412" string="1" fret="7" leftHand="1" /&gt;&lt;chordNote time="35.412" string="2" fret="9" leftHand="3" /&gt;&lt;chordNote time="35.412" string="3" fret="9" leftHand="4" /&gt;&lt;/chord&gt;</v>
      </c>
      <c r="D214" s="3">
        <f t="shared" si="22"/>
        <v>35.411999999999999</v>
      </c>
      <c r="E214" s="3">
        <f t="shared" si="23"/>
        <v>28.324999999999999</v>
      </c>
      <c r="F214" t="str">
        <f t="shared" si="25"/>
        <v>28.125</v>
      </c>
      <c r="G214" t="s">
        <v>489</v>
      </c>
      <c r="I214" t="str">
        <f t="shared" si="24"/>
        <v>&lt;note time="35.412" string="1" fret="2" /&gt;</v>
      </c>
      <c r="J214" t="str">
        <f t="shared" si="26"/>
        <v>26.625</v>
      </c>
      <c r="K214" t="s">
        <v>1181</v>
      </c>
    </row>
    <row r="215" spans="1:11" x14ac:dyDescent="0.45">
      <c r="A215" t="str">
        <f t="shared" si="21"/>
        <v>&lt;chord time="35.568" chordId="0" highDensity="1" &gt;&lt;chordNote time="35.568" string="1" fret="7" leftHand="1" /&gt;&lt;chordNote time="35.568" string="2" fret="9" leftHand="3" /&gt;&lt;chordNote time="35.568" string="3" fret="9" leftHand="4" /&gt;&lt;/chord&gt;</v>
      </c>
      <c r="D215" s="3">
        <f t="shared" si="22"/>
        <v>35.567999999999998</v>
      </c>
      <c r="E215" s="3">
        <f t="shared" si="23"/>
        <v>28.45</v>
      </c>
      <c r="F215" t="str">
        <f t="shared" si="25"/>
        <v>28.250</v>
      </c>
      <c r="G215" t="s">
        <v>490</v>
      </c>
      <c r="I215" t="str">
        <f t="shared" si="24"/>
        <v>&lt;note time="35.568" string="1" fret="2" /&gt;</v>
      </c>
      <c r="J215" t="str">
        <f t="shared" si="26"/>
        <v>26.750</v>
      </c>
      <c r="K215" t="s">
        <v>1182</v>
      </c>
    </row>
    <row r="216" spans="1:11" x14ac:dyDescent="0.45">
      <c r="A216" t="str">
        <f t="shared" si="21"/>
        <v>&lt;chord time="35.725" chordId="0" highDensity="1" &gt;&lt;chordNote time="35.725" string="1" fret="7" leftHand="1" /&gt;&lt;chordNote time="35.725" string="2" fret="9" leftHand="3" /&gt;&lt;chordNote time="35.725" string="3" fret="9" leftHand="4" /&gt;&lt;/chord&gt;</v>
      </c>
      <c r="D216" s="3">
        <f t="shared" si="22"/>
        <v>35.725000000000001</v>
      </c>
      <c r="E216" s="3">
        <f t="shared" si="23"/>
        <v>28.574999999999999</v>
      </c>
      <c r="F216" t="str">
        <f t="shared" si="25"/>
        <v>28.375</v>
      </c>
      <c r="G216" t="s">
        <v>491</v>
      </c>
      <c r="I216" t="str">
        <f t="shared" si="24"/>
        <v>&lt;note time="35.725" string="1" fret="2" /&gt;</v>
      </c>
      <c r="J216" t="str">
        <f t="shared" si="26"/>
        <v>26.875</v>
      </c>
      <c r="K216" t="s">
        <v>1183</v>
      </c>
    </row>
    <row r="217" spans="1:11" x14ac:dyDescent="0.45">
      <c r="A217" t="str">
        <f t="shared" si="21"/>
        <v>&lt;chord time="35.881" chordId="0" highDensity="1" &gt;&lt;chordNote time="35.881" string="1" fret="7" leftHand="1" /&gt;&lt;chordNote time="35.881" string="2" fret="9" leftHand="3" /&gt;&lt;chordNote time="35.881" string="3" fret="9" leftHand="4" /&gt;&lt;/chord&gt;</v>
      </c>
      <c r="D217" s="3">
        <f t="shared" si="22"/>
        <v>35.881</v>
      </c>
      <c r="E217" s="3">
        <f t="shared" si="23"/>
        <v>28.7</v>
      </c>
      <c r="F217" t="str">
        <f t="shared" si="25"/>
        <v>28.500</v>
      </c>
      <c r="G217" t="s">
        <v>492</v>
      </c>
      <c r="I217" t="str">
        <f t="shared" si="24"/>
        <v>&lt;note time="35.881" string="1" fret="2" /&gt;</v>
      </c>
      <c r="J217" t="str">
        <f t="shared" si="26"/>
        <v>27.000</v>
      </c>
      <c r="K217" t="s">
        <v>1184</v>
      </c>
    </row>
    <row r="218" spans="1:11" x14ac:dyDescent="0.45">
      <c r="A218" t="str">
        <f t="shared" si="21"/>
        <v>&lt;chord time="36.038" chordId="0" highDensity="1" &gt;&lt;chordNote time="36.038" string="1" fret="7" leftHand="1" /&gt;&lt;chordNote time="36.038" string="2" fret="9" leftHand="3" /&gt;&lt;chordNote time="36.038" string="3" fret="9" leftHand="4" /&gt;&lt;/chord&gt;</v>
      </c>
      <c r="D218" s="3">
        <f t="shared" si="22"/>
        <v>36.037999999999997</v>
      </c>
      <c r="E218" s="3">
        <f t="shared" si="23"/>
        <v>28.824999999999999</v>
      </c>
      <c r="F218" t="str">
        <f t="shared" si="25"/>
        <v>28.625</v>
      </c>
      <c r="G218" t="s">
        <v>493</v>
      </c>
      <c r="I218" t="str">
        <f t="shared" si="24"/>
        <v>&lt;note time="36.038" string="1" fret="2" /&gt;</v>
      </c>
      <c r="J218" t="str">
        <f t="shared" si="26"/>
        <v>27.125</v>
      </c>
      <c r="K218" t="s">
        <v>1185</v>
      </c>
    </row>
    <row r="219" spans="1:11" x14ac:dyDescent="0.45">
      <c r="A219" t="str">
        <f t="shared" si="21"/>
        <v>&lt;chord time="36.194" chordId="0" highDensity="1" &gt;&lt;chordNote time="36.194" string="1" fret="7" leftHand="1" /&gt;&lt;chordNote time="36.194" string="2" fret="9" leftHand="3" /&gt;&lt;chordNote time="36.194" string="3" fret="9" leftHand="4" /&gt;&lt;/chord&gt;</v>
      </c>
      <c r="D219" s="3">
        <f t="shared" si="22"/>
        <v>36.194000000000003</v>
      </c>
      <c r="E219" s="3">
        <f t="shared" si="23"/>
        <v>28.95</v>
      </c>
      <c r="F219" t="str">
        <f t="shared" si="25"/>
        <v>28.750</v>
      </c>
      <c r="G219" t="s">
        <v>494</v>
      </c>
      <c r="I219" t="str">
        <f t="shared" si="24"/>
        <v>&lt;note time="36.194" string="1" fret="2" /&gt;</v>
      </c>
      <c r="J219" t="str">
        <f t="shared" si="26"/>
        <v>27.250</v>
      </c>
      <c r="K219" t="s">
        <v>1186</v>
      </c>
    </row>
    <row r="220" spans="1:11" x14ac:dyDescent="0.45">
      <c r="A220" t="str">
        <f t="shared" si="21"/>
        <v>&lt;chord time="36.351" chordId="0" highDensity="1" &gt;&lt;chordNote time="36.351" string="1" fret="7" leftHand="1" /&gt;&lt;chordNote time="36.351" string="2" fret="9" leftHand="3" /&gt;&lt;chordNote time="36.351" string="3" fret="9" leftHand="4" /&gt;&lt;/chord&gt;</v>
      </c>
      <c r="D220" s="3">
        <f t="shared" si="22"/>
        <v>36.350999999999999</v>
      </c>
      <c r="E220" s="3">
        <f t="shared" si="23"/>
        <v>29.074999999999999</v>
      </c>
      <c r="F220" t="str">
        <f t="shared" si="25"/>
        <v>28.875</v>
      </c>
      <c r="G220" t="s">
        <v>495</v>
      </c>
      <c r="I220" t="str">
        <f t="shared" si="24"/>
        <v>&lt;note time="36.351" string="1" fret="2" /&gt;</v>
      </c>
      <c r="J220" t="str">
        <f t="shared" si="26"/>
        <v>27.375</v>
      </c>
      <c r="K220" t="s">
        <v>1187</v>
      </c>
    </row>
    <row r="221" spans="1:11" x14ac:dyDescent="0.45">
      <c r="A221" t="str">
        <f t="shared" si="21"/>
        <v>&lt;chord time="36.507" chordId="0" highDensity="1" &gt;&lt;chordNote time="36.507" string="1" fret="7" leftHand="1" /&gt;&lt;chordNote time="36.507" string="2" fret="9" leftHand="3" /&gt;&lt;chordNote time="36.507" string="3" fret="9" leftHand="4" /&gt;&lt;/chord&gt;</v>
      </c>
      <c r="D221" s="3">
        <f t="shared" si="22"/>
        <v>36.506999999999998</v>
      </c>
      <c r="E221" s="3">
        <f t="shared" si="23"/>
        <v>29.2</v>
      </c>
      <c r="F221" t="str">
        <f t="shared" si="25"/>
        <v>29.000</v>
      </c>
      <c r="G221" t="s">
        <v>496</v>
      </c>
      <c r="I221" t="str">
        <f t="shared" si="24"/>
        <v>&lt;note time="36.507" string="1" fret="2" /&gt;</v>
      </c>
      <c r="J221" t="str">
        <f t="shared" si="26"/>
        <v>27.500</v>
      </c>
      <c r="K221" t="s">
        <v>1188</v>
      </c>
    </row>
    <row r="222" spans="1:11" x14ac:dyDescent="0.45">
      <c r="A222" t="str">
        <f t="shared" si="21"/>
        <v>&lt;chord time="36.664" chordId="0" highDensity="1" &gt;&lt;chordNote time="36.664" string="1" fret="7" leftHand="1" /&gt;&lt;chordNote time="36.664" string="2" fret="9" leftHand="3" /&gt;&lt;chordNote time="36.664" string="3" fret="9" leftHand="4" /&gt;&lt;/chord&gt;</v>
      </c>
      <c r="D222" s="3">
        <f t="shared" si="22"/>
        <v>36.664000000000001</v>
      </c>
      <c r="E222" s="3">
        <f t="shared" si="23"/>
        <v>29.324999999999999</v>
      </c>
      <c r="F222" t="str">
        <f t="shared" si="25"/>
        <v>29.125</v>
      </c>
      <c r="G222" t="s">
        <v>497</v>
      </c>
      <c r="I222" t="str">
        <f t="shared" si="24"/>
        <v>&lt;note time="36.664" string="1" fret="2" /&gt;</v>
      </c>
      <c r="J222" t="str">
        <f t="shared" si="26"/>
        <v>27.625</v>
      </c>
      <c r="K222" t="s">
        <v>1189</v>
      </c>
    </row>
    <row r="223" spans="1:11" x14ac:dyDescent="0.45">
      <c r="A223" t="str">
        <f t="shared" si="21"/>
        <v>&lt;chord time="36.820" chordId="0" highDensity="1" &gt;&lt;chordNote time="36.820" string="1" fret="7" leftHand="1" /&gt;&lt;chordNote time="36.820" string="2" fret="9" leftHand="3" /&gt;&lt;chordNote time="36.820" string="3" fret="9" leftHand="4" /&gt;&lt;/chord&gt;</v>
      </c>
      <c r="D223" s="3">
        <f t="shared" si="22"/>
        <v>36.82</v>
      </c>
      <c r="E223" s="3">
        <f t="shared" si="23"/>
        <v>29.45</v>
      </c>
      <c r="F223" t="str">
        <f t="shared" si="25"/>
        <v>29.250</v>
      </c>
      <c r="G223" t="s">
        <v>498</v>
      </c>
      <c r="I223" t="str">
        <f t="shared" si="24"/>
        <v>&lt;note time="36.820" string="1" fret="2" /&gt;</v>
      </c>
      <c r="J223" t="str">
        <f t="shared" si="26"/>
        <v>27.750</v>
      </c>
      <c r="K223" t="s">
        <v>1190</v>
      </c>
    </row>
    <row r="224" spans="1:11" x14ac:dyDescent="0.45">
      <c r="A224" t="str">
        <f t="shared" si="21"/>
        <v>&lt;chord time="36.977" chordId="0" highDensity="1" &gt;&lt;chordNote time="36.977" string="1" fret="7" leftHand="1" /&gt;&lt;chordNote time="36.977" string="2" fret="9" leftHand="3" /&gt;&lt;chordNote time="36.977" string="3" fret="9" leftHand="4" /&gt;&lt;/chord&gt;</v>
      </c>
      <c r="D224" s="3">
        <f t="shared" si="22"/>
        <v>36.976999999999997</v>
      </c>
      <c r="E224" s="3">
        <f t="shared" si="23"/>
        <v>29.574999999999999</v>
      </c>
      <c r="F224" t="str">
        <f t="shared" si="25"/>
        <v>29.375</v>
      </c>
      <c r="G224" t="s">
        <v>499</v>
      </c>
      <c r="I224" t="str">
        <f t="shared" si="24"/>
        <v>&lt;note time="36.977" string="1" fret="2" /&gt;</v>
      </c>
      <c r="J224" t="str">
        <f t="shared" si="26"/>
        <v>27.875</v>
      </c>
      <c r="K224" t="s">
        <v>1191</v>
      </c>
    </row>
    <row r="225" spans="1:11" x14ac:dyDescent="0.45">
      <c r="A225" t="str">
        <f t="shared" si="21"/>
        <v>&lt;chord time="37.133" chordId="0" highDensity="1" &gt;&lt;chordNote time="37.133" string="1" fret="7" leftHand="1" /&gt;&lt;chordNote time="37.133" string="2" fret="9" leftHand="3" /&gt;&lt;chordNote time="37.133" string="3" fret="9" leftHand="4" /&gt;&lt;/chord&gt;</v>
      </c>
      <c r="D225" s="3">
        <f t="shared" si="22"/>
        <v>37.133000000000003</v>
      </c>
      <c r="E225" s="3">
        <f t="shared" si="23"/>
        <v>29.7</v>
      </c>
      <c r="F225" t="str">
        <f t="shared" si="25"/>
        <v>29.500</v>
      </c>
      <c r="G225" t="s">
        <v>500</v>
      </c>
      <c r="I225" t="str">
        <f t="shared" si="24"/>
        <v>&lt;note time="37.133" string="1" fret="7" /&gt;</v>
      </c>
      <c r="J225" t="str">
        <f t="shared" si="26"/>
        <v>28.000</v>
      </c>
      <c r="K225" t="s">
        <v>1192</v>
      </c>
    </row>
    <row r="226" spans="1:11" x14ac:dyDescent="0.45">
      <c r="A226" t="str">
        <f t="shared" si="21"/>
        <v>&lt;chord time="37.290" chordId="0" highDensity="1" &gt;&lt;chordNote time="37.290" string="1" fret="7" leftHand="1" /&gt;&lt;chordNote time="37.290" string="2" fret="9" leftHand="3" /&gt;&lt;chordNote time="37.290" string="3" fret="9" leftHand="4" /&gt;&lt;/chord&gt;</v>
      </c>
      <c r="D226" s="3">
        <f t="shared" si="22"/>
        <v>37.29</v>
      </c>
      <c r="E226" s="3">
        <f t="shared" si="23"/>
        <v>29.824999999999999</v>
      </c>
      <c r="F226" t="str">
        <f t="shared" si="25"/>
        <v>29.625</v>
      </c>
      <c r="G226" t="s">
        <v>501</v>
      </c>
      <c r="I226" t="str">
        <f t="shared" si="24"/>
        <v>&lt;note time="37.290" string="1" fret="7" /&gt;</v>
      </c>
      <c r="J226" t="str">
        <f t="shared" si="26"/>
        <v>28.125</v>
      </c>
      <c r="K226" t="s">
        <v>1193</v>
      </c>
    </row>
    <row r="227" spans="1:11" x14ac:dyDescent="0.45">
      <c r="A227" t="str">
        <f t="shared" si="21"/>
        <v>&lt;chord time="37.446" chordId="0" highDensity="1" &gt;&lt;chordNote time="37.446" string="1" fret="7" leftHand="1" /&gt;&lt;chordNote time="37.446" string="2" fret="9" leftHand="3" /&gt;&lt;chordNote time="37.446" string="3" fret="9" leftHand="4" /&gt;&lt;/chord&gt;</v>
      </c>
      <c r="D227" s="3">
        <f t="shared" si="22"/>
        <v>37.445999999999998</v>
      </c>
      <c r="E227" s="3">
        <f t="shared" si="23"/>
        <v>29.95</v>
      </c>
      <c r="F227" t="str">
        <f t="shared" si="25"/>
        <v>29.750</v>
      </c>
      <c r="G227" t="s">
        <v>502</v>
      </c>
      <c r="I227" t="str">
        <f t="shared" si="24"/>
        <v>&lt;note time="37.446" string="1" fret="7" /&gt;</v>
      </c>
      <c r="J227" t="str">
        <f t="shared" si="26"/>
        <v>28.250</v>
      </c>
      <c r="K227" t="s">
        <v>1194</v>
      </c>
    </row>
    <row r="228" spans="1:11" x14ac:dyDescent="0.45">
      <c r="A228" t="str">
        <f t="shared" si="21"/>
        <v>&lt;chord time="37.603" chordId="0" highDensity="1" &gt;&lt;chordNote time="37.603" string="1" fret="7" leftHand="1" /&gt;&lt;chordNote time="37.603" string="2" fret="9" leftHand="3" /&gt;&lt;chordNote time="37.603" string="3" fret="9" leftHand="4" /&gt;&lt;/chord&gt;</v>
      </c>
      <c r="D228" s="3">
        <f t="shared" si="22"/>
        <v>37.603000000000002</v>
      </c>
      <c r="E228" s="3">
        <f t="shared" si="23"/>
        <v>30.074999999999999</v>
      </c>
      <c r="F228" t="str">
        <f t="shared" si="25"/>
        <v>29.875</v>
      </c>
      <c r="G228" t="s">
        <v>503</v>
      </c>
      <c r="I228" t="str">
        <f t="shared" si="24"/>
        <v>&lt;note time="37.603" string="1" fret="7" /&gt;</v>
      </c>
      <c r="J228" t="str">
        <f t="shared" si="26"/>
        <v>28.375</v>
      </c>
      <c r="K228" t="s">
        <v>1195</v>
      </c>
    </row>
    <row r="229" spans="1:11" x14ac:dyDescent="0.45">
      <c r="A229" t="str">
        <f t="shared" si="21"/>
        <v>&lt;chord time="37.759" chordId="1" &gt;&lt;chordNote time="37.759" string="1" fret="9" leftHand="1" /&gt;&lt;chordNote time="37.759" string="2" fret="11" leftHand="3" /&gt;&lt;chordNote time="37.759" string="3" fret="11" leftHand="4" /&gt;&lt;/chord&gt;</v>
      </c>
      <c r="D229" s="3">
        <f t="shared" si="22"/>
        <v>37.759</v>
      </c>
      <c r="E229" s="3">
        <f t="shared" si="23"/>
        <v>30.2</v>
      </c>
      <c r="F229" t="str">
        <f t="shared" si="25"/>
        <v>30.000</v>
      </c>
      <c r="G229" t="s">
        <v>504</v>
      </c>
      <c r="I229" t="str">
        <f t="shared" si="24"/>
        <v>&lt;note time="37.759" string="1" fret="7" /&gt;</v>
      </c>
      <c r="J229" t="str">
        <f t="shared" si="26"/>
        <v>28.500</v>
      </c>
      <c r="K229" t="s">
        <v>1196</v>
      </c>
    </row>
    <row r="230" spans="1:11" x14ac:dyDescent="0.45">
      <c r="A230" t="str">
        <f t="shared" si="21"/>
        <v>&lt;chord time="37.916" chordId="1" highDensity="1" &gt;&lt;chordNote time="37.916" string="1" fret="9" leftHand="1" /&gt;&lt;chordNote time="37.916" string="2" fret="11" leftHand="3" /&gt;&lt;chordNote time="37.916" string="3" fret="11" leftHand="4" /&gt;&lt;/chord&gt;</v>
      </c>
      <c r="D230" s="3">
        <f t="shared" si="22"/>
        <v>37.915999999999997</v>
      </c>
      <c r="E230" s="3">
        <f t="shared" si="23"/>
        <v>30.324999999999999</v>
      </c>
      <c r="F230" t="str">
        <f t="shared" si="25"/>
        <v>30.125</v>
      </c>
      <c r="G230" t="s">
        <v>505</v>
      </c>
      <c r="I230" t="str">
        <f t="shared" si="24"/>
        <v>&lt;note time="37.916" string="1" fret="7" /&gt;</v>
      </c>
      <c r="J230" t="str">
        <f t="shared" si="26"/>
        <v>28.625</v>
      </c>
      <c r="K230" t="s">
        <v>1197</v>
      </c>
    </row>
    <row r="231" spans="1:11" x14ac:dyDescent="0.45">
      <c r="A231" t="str">
        <f t="shared" si="21"/>
        <v>&lt;chord time="38.072" chordId="1" highDensity="1" &gt;&lt;chordNote time="38.072" string="1" fret="9" leftHand="1" /&gt;&lt;chordNote time="38.072" string="2" fret="11" leftHand="3" /&gt;&lt;chordNote time="38.072" string="3" fret="11" leftHand="4" /&gt;&lt;/chord&gt;</v>
      </c>
      <c r="D231" s="3">
        <f t="shared" si="22"/>
        <v>38.072000000000003</v>
      </c>
      <c r="E231" s="3">
        <f t="shared" si="23"/>
        <v>30.45</v>
      </c>
      <c r="F231" t="str">
        <f t="shared" si="25"/>
        <v>30.250</v>
      </c>
      <c r="G231" t="s">
        <v>506</v>
      </c>
      <c r="I231" t="str">
        <f t="shared" si="24"/>
        <v>&lt;note time="38.072" string="1" fret="7" /&gt;</v>
      </c>
      <c r="J231" t="str">
        <f t="shared" si="26"/>
        <v>28.750</v>
      </c>
      <c r="K231" t="s">
        <v>1198</v>
      </c>
    </row>
    <row r="232" spans="1:11" x14ac:dyDescent="0.45">
      <c r="A232" t="str">
        <f t="shared" si="21"/>
        <v>&lt;chord time="38.229" chordId="1" highDensity="1" &gt;&lt;chordNote time="38.229" string="1" fret="9" leftHand="1" /&gt;&lt;chordNote time="38.229" string="2" fret="11" leftHand="3" /&gt;&lt;chordNote time="38.229" string="3" fret="11" leftHand="4" /&gt;&lt;/chord&gt;</v>
      </c>
      <c r="D232" s="3">
        <f t="shared" si="22"/>
        <v>38.228999999999999</v>
      </c>
      <c r="E232" s="3">
        <f t="shared" si="23"/>
        <v>30.574999999999999</v>
      </c>
      <c r="F232" t="str">
        <f t="shared" si="25"/>
        <v>30.375</v>
      </c>
      <c r="G232" t="s">
        <v>507</v>
      </c>
      <c r="I232" t="str">
        <f t="shared" si="24"/>
        <v>&lt;note time="38.229" string="1" fret="7" /&gt;</v>
      </c>
      <c r="J232" t="str">
        <f t="shared" si="26"/>
        <v>28.875</v>
      </c>
      <c r="K232" t="s">
        <v>1199</v>
      </c>
    </row>
    <row r="233" spans="1:11" x14ac:dyDescent="0.45">
      <c r="A233" t="str">
        <f t="shared" si="21"/>
        <v>&lt;chord time="38.385" chordId="1" highDensity="1" &gt;&lt;chordNote time="38.385" string="1" fret="9" leftHand="1" /&gt;&lt;chordNote time="38.385" string="2" fret="11" leftHand="3" /&gt;&lt;chordNote time="38.385" string="3" fret="11" leftHand="4" /&gt;&lt;/chord&gt;</v>
      </c>
      <c r="D233" s="3">
        <f t="shared" si="22"/>
        <v>38.384999999999998</v>
      </c>
      <c r="E233" s="3">
        <f t="shared" si="23"/>
        <v>30.7</v>
      </c>
      <c r="F233" t="str">
        <f t="shared" si="25"/>
        <v>30.500</v>
      </c>
      <c r="G233" t="s">
        <v>508</v>
      </c>
      <c r="I233" t="str">
        <f t="shared" si="24"/>
        <v>&lt;note time="38.385" string="1" fret="7" /&gt;</v>
      </c>
      <c r="J233" t="str">
        <f t="shared" si="26"/>
        <v>29.000</v>
      </c>
      <c r="K233" t="s">
        <v>1200</v>
      </c>
    </row>
    <row r="234" spans="1:11" x14ac:dyDescent="0.45">
      <c r="A234" t="str">
        <f t="shared" si="21"/>
        <v>&lt;chord time="38.542" chordId="1" highDensity="1" &gt;&lt;chordNote time="38.542" string="1" fret="9" leftHand="1" /&gt;&lt;chordNote time="38.542" string="2" fret="11" leftHand="3" /&gt;&lt;chordNote time="38.542" string="3" fret="11" leftHand="4" /&gt;&lt;/chord&gt;</v>
      </c>
      <c r="D234" s="3">
        <f t="shared" si="22"/>
        <v>38.542000000000002</v>
      </c>
      <c r="E234" s="3">
        <f t="shared" si="23"/>
        <v>30.824999999999999</v>
      </c>
      <c r="F234" t="str">
        <f t="shared" si="25"/>
        <v>30.625</v>
      </c>
      <c r="G234" t="s">
        <v>509</v>
      </c>
      <c r="I234" t="str">
        <f t="shared" si="24"/>
        <v>&lt;note time="38.542" string="1" fret="7" /&gt;</v>
      </c>
      <c r="J234" t="str">
        <f t="shared" si="26"/>
        <v>29.125</v>
      </c>
      <c r="K234" t="s">
        <v>1201</v>
      </c>
    </row>
    <row r="235" spans="1:11" x14ac:dyDescent="0.45">
      <c r="A235" t="str">
        <f t="shared" si="21"/>
        <v>&lt;chord time="38.698" chordId="1" highDensity="1" &gt;&lt;chordNote time="38.698" string="1" fret="9" leftHand="1" /&gt;&lt;chordNote time="38.698" string="2" fret="11" leftHand="3" /&gt;&lt;chordNote time="38.698" string="3" fret="11" leftHand="4" /&gt;&lt;/chord&gt;</v>
      </c>
      <c r="D235" s="3">
        <f t="shared" si="22"/>
        <v>38.698</v>
      </c>
      <c r="E235" s="3">
        <f t="shared" si="23"/>
        <v>30.95</v>
      </c>
      <c r="F235" t="str">
        <f t="shared" si="25"/>
        <v>30.750</v>
      </c>
      <c r="G235" t="s">
        <v>510</v>
      </c>
      <c r="I235" t="str">
        <f t="shared" si="24"/>
        <v>&lt;note time="38.698" string="1" fret="7" /&gt;</v>
      </c>
      <c r="J235" t="str">
        <f t="shared" si="26"/>
        <v>29.250</v>
      </c>
      <c r="K235" t="s">
        <v>1202</v>
      </c>
    </row>
    <row r="236" spans="1:11" x14ac:dyDescent="0.45">
      <c r="A236" t="str">
        <f t="shared" si="21"/>
        <v>&lt;chord time="38.855" chordId="1" highDensity="1" &gt;&lt;chordNote time="38.855" string="1" fret="9" leftHand="1" /&gt;&lt;chordNote time="38.855" string="2" fret="11" leftHand="3" /&gt;&lt;chordNote time="38.855" string="3" fret="11" leftHand="4" /&gt;&lt;/chord&gt;</v>
      </c>
      <c r="D236" s="3">
        <f t="shared" si="22"/>
        <v>38.854999999999997</v>
      </c>
      <c r="E236" s="3">
        <f t="shared" si="23"/>
        <v>31.074999999999999</v>
      </c>
      <c r="F236" t="str">
        <f t="shared" si="25"/>
        <v>30.875</v>
      </c>
      <c r="G236" t="s">
        <v>511</v>
      </c>
      <c r="I236" t="str">
        <f t="shared" si="24"/>
        <v>&lt;note time="38.855" string="1" fret="7" /&gt;</v>
      </c>
      <c r="J236" t="str">
        <f t="shared" si="26"/>
        <v>29.375</v>
      </c>
      <c r="K236" t="s">
        <v>1203</v>
      </c>
    </row>
    <row r="237" spans="1:11" x14ac:dyDescent="0.45">
      <c r="A237" t="str">
        <f t="shared" si="21"/>
        <v>&lt;chord time="39.011" chordId="1" highDensity="1" &gt;&lt;chordNote time="39.011" string="1" fret="9" leftHand="1" /&gt;&lt;chordNote time="39.011" string="2" fret="11" leftHand="3" /&gt;&lt;chordNote time="39.011" string="3" fret="11" leftHand="4" /&gt;&lt;/chord&gt;</v>
      </c>
      <c r="D237" s="3">
        <f t="shared" si="22"/>
        <v>39.011000000000003</v>
      </c>
      <c r="E237" s="3">
        <f t="shared" si="23"/>
        <v>31.2</v>
      </c>
      <c r="F237" t="str">
        <f t="shared" si="25"/>
        <v>31.000</v>
      </c>
      <c r="G237" t="s">
        <v>512</v>
      </c>
      <c r="I237" t="str">
        <f t="shared" si="24"/>
        <v>&lt;note time="39.011" string="1" fret="7" /&gt;</v>
      </c>
      <c r="J237" t="str">
        <f t="shared" si="26"/>
        <v>29.500</v>
      </c>
      <c r="K237" t="s">
        <v>1204</v>
      </c>
    </row>
    <row r="238" spans="1:11" x14ac:dyDescent="0.45">
      <c r="A238" t="str">
        <f t="shared" si="21"/>
        <v>&lt;chord time="39.168" chordId="1" highDensity="1" &gt;&lt;chordNote time="39.168" string="1" fret="9" leftHand="1" /&gt;&lt;chordNote time="39.168" string="2" fret="11" leftHand="3" /&gt;&lt;chordNote time="39.168" string="3" fret="11" leftHand="4" /&gt;&lt;/chord&gt;</v>
      </c>
      <c r="D238" s="3">
        <f t="shared" si="22"/>
        <v>39.167999999999999</v>
      </c>
      <c r="E238" s="3">
        <f t="shared" si="23"/>
        <v>31.324999999999999</v>
      </c>
      <c r="F238" t="str">
        <f t="shared" si="25"/>
        <v>31.125</v>
      </c>
      <c r="G238" t="s">
        <v>513</v>
      </c>
      <c r="I238" t="str">
        <f t="shared" si="24"/>
        <v>&lt;note time="39.168" string="1" fret="7" /&gt;</v>
      </c>
      <c r="J238" t="str">
        <f t="shared" si="26"/>
        <v>29.625</v>
      </c>
      <c r="K238" t="s">
        <v>1205</v>
      </c>
    </row>
    <row r="239" spans="1:11" x14ac:dyDescent="0.45">
      <c r="A239" t="str">
        <f t="shared" si="21"/>
        <v>&lt;chord time="39.324" chordId="1" highDensity="1" &gt;&lt;chordNote time="39.324" string="1" fret="9" leftHand="1" /&gt;&lt;chordNote time="39.324" string="2" fret="11" leftHand="3" /&gt;&lt;chordNote time="39.324" string="3" fret="11" leftHand="4" /&gt;&lt;/chord&gt;</v>
      </c>
      <c r="D239" s="3">
        <f t="shared" si="22"/>
        <v>39.323999999999998</v>
      </c>
      <c r="E239" s="3">
        <f t="shared" si="23"/>
        <v>31.45</v>
      </c>
      <c r="F239" t="str">
        <f t="shared" si="25"/>
        <v>31.250</v>
      </c>
      <c r="G239" t="s">
        <v>514</v>
      </c>
      <c r="I239" t="str">
        <f t="shared" si="24"/>
        <v>&lt;note time="39.324" string="1" fret="7" /&gt;</v>
      </c>
      <c r="J239" t="str">
        <f t="shared" si="26"/>
        <v>29.750</v>
      </c>
      <c r="K239" t="s">
        <v>1206</v>
      </c>
    </row>
    <row r="240" spans="1:11" x14ac:dyDescent="0.45">
      <c r="A240" t="str">
        <f t="shared" si="21"/>
        <v>&lt;chord time="39.481" chordId="1" highDensity="1" &gt;&lt;chordNote time="39.481" string="1" fret="9" leftHand="1" /&gt;&lt;chordNote time="39.481" string="2" fret="11" leftHand="3" /&gt;&lt;chordNote time="39.481" string="3" fret="11" leftHand="4" /&gt;&lt;/chord&gt;</v>
      </c>
      <c r="D240" s="3">
        <f t="shared" si="22"/>
        <v>39.481000000000002</v>
      </c>
      <c r="E240" s="3">
        <f t="shared" si="23"/>
        <v>31.574999999999999</v>
      </c>
      <c r="F240" t="str">
        <f t="shared" si="25"/>
        <v>31.375</v>
      </c>
      <c r="G240" t="s">
        <v>515</v>
      </c>
      <c r="I240" t="str">
        <f t="shared" si="24"/>
        <v>&lt;note time="39.481" string="1" fret="7" /&gt;</v>
      </c>
      <c r="J240" t="str">
        <f t="shared" si="26"/>
        <v>29.875</v>
      </c>
      <c r="K240" t="s">
        <v>1207</v>
      </c>
    </row>
    <row r="241" spans="1:11" x14ac:dyDescent="0.45">
      <c r="A241" t="str">
        <f t="shared" si="21"/>
        <v>&lt;chord time="39.637" chordId="1" highDensity="1" &gt;&lt;chordNote time="39.637" string="1" fret="9" leftHand="1" /&gt;&lt;chordNote time="39.637" string="2" fret="11" leftHand="3" /&gt;&lt;chordNote time="39.637" string="3" fret="11" leftHand="4" /&gt;&lt;/chord&gt;</v>
      </c>
      <c r="D241" s="3">
        <f t="shared" si="22"/>
        <v>39.637</v>
      </c>
      <c r="E241" s="3">
        <f t="shared" si="23"/>
        <v>31.7</v>
      </c>
      <c r="F241" t="str">
        <f t="shared" si="25"/>
        <v>31.500</v>
      </c>
      <c r="G241" t="s">
        <v>516</v>
      </c>
      <c r="I241" t="str">
        <f t="shared" si="24"/>
        <v>&lt;note time="39.637" string="1" fret="9" /&gt;</v>
      </c>
      <c r="J241" t="str">
        <f t="shared" si="26"/>
        <v>30.000</v>
      </c>
      <c r="K241" t="s">
        <v>1208</v>
      </c>
    </row>
    <row r="242" spans="1:11" x14ac:dyDescent="0.45">
      <c r="A242" t="str">
        <f t="shared" si="21"/>
        <v>&lt;chord time="39.794" chordId="1" highDensity="1" &gt;&lt;chordNote time="39.794" string="1" fret="9" leftHand="1" /&gt;&lt;chordNote time="39.794" string="2" fret="11" leftHand="3" /&gt;&lt;chordNote time="39.794" string="3" fret="11" leftHand="4" /&gt;&lt;/chord&gt;</v>
      </c>
      <c r="D242" s="3">
        <f t="shared" si="22"/>
        <v>39.793999999999997</v>
      </c>
      <c r="E242" s="3">
        <f t="shared" si="23"/>
        <v>31.824999999999999</v>
      </c>
      <c r="F242" t="str">
        <f t="shared" si="25"/>
        <v>31.625</v>
      </c>
      <c r="G242" t="s">
        <v>517</v>
      </c>
      <c r="I242" t="str">
        <f t="shared" si="24"/>
        <v>&lt;note time="39.794" string="1" fret="9" /&gt;</v>
      </c>
      <c r="J242" t="str">
        <f t="shared" si="26"/>
        <v>30.125</v>
      </c>
      <c r="K242" t="s">
        <v>1209</v>
      </c>
    </row>
    <row r="243" spans="1:11" x14ac:dyDescent="0.45">
      <c r="A243" t="str">
        <f t="shared" si="21"/>
        <v>&lt;chord time="39.950" chordId="1" highDensity="1" &gt;&lt;chordNote time="39.950" string="1" fret="9" leftHand="1" /&gt;&lt;chordNote time="39.950" string="2" fret="11" leftHand="3" /&gt;&lt;chordNote time="39.950" string="3" fret="11" leftHand="4" /&gt;&lt;/chord&gt;</v>
      </c>
      <c r="D243" s="3">
        <f t="shared" si="22"/>
        <v>39.950000000000003</v>
      </c>
      <c r="E243" s="3">
        <f t="shared" si="23"/>
        <v>31.95</v>
      </c>
      <c r="F243" t="str">
        <f t="shared" si="25"/>
        <v>31.750</v>
      </c>
      <c r="G243" t="s">
        <v>518</v>
      </c>
      <c r="I243" t="str">
        <f t="shared" si="24"/>
        <v>&lt;note time="39.950" string="1" fret="9" /&gt;</v>
      </c>
      <c r="J243" t="str">
        <f t="shared" si="26"/>
        <v>30.250</v>
      </c>
      <c r="K243" t="s">
        <v>1210</v>
      </c>
    </row>
    <row r="244" spans="1:11" x14ac:dyDescent="0.45">
      <c r="A244" t="str">
        <f t="shared" si="21"/>
        <v>&lt;chord time="40.107" chordId="1" highDensity="1" &gt;&lt;chordNote time="40.107" string="1" fret="9" leftHand="1" /&gt;&lt;chordNote time="40.107" string="2" fret="11" leftHand="3" /&gt;&lt;chordNote time="40.107" string="3" fret="11" leftHand="4" /&gt;&lt;/chord&gt;</v>
      </c>
      <c r="D244" s="3">
        <f t="shared" si="22"/>
        <v>40.106999999999999</v>
      </c>
      <c r="E244" s="3">
        <f t="shared" si="23"/>
        <v>32.075000000000003</v>
      </c>
      <c r="F244" t="str">
        <f t="shared" si="25"/>
        <v>31.875</v>
      </c>
      <c r="G244" t="s">
        <v>519</v>
      </c>
      <c r="I244" t="str">
        <f t="shared" si="24"/>
        <v>&lt;note time="40.107" string="1" fret="9" /&gt;</v>
      </c>
      <c r="J244" t="str">
        <f t="shared" si="26"/>
        <v>30.375</v>
      </c>
      <c r="K244" t="s">
        <v>1211</v>
      </c>
    </row>
    <row r="245" spans="1:11" x14ac:dyDescent="0.45">
      <c r="A245" t="str">
        <f t="shared" si="21"/>
        <v>&lt;chord time="40.263" chordId="3" &gt;&lt;chordNote time="40.263" string="1" fret="4" leftHand="1" /&gt;&lt;chordNote time="40.263" string="2" fret="6" leftHand="3" /&gt;&lt;chordNote time="40.263" string="3" fret="6" leftHand="4" /&gt;&lt;/chord&gt;</v>
      </c>
      <c r="D245" s="3">
        <f t="shared" si="22"/>
        <v>40.262999999999998</v>
      </c>
      <c r="E245" s="3">
        <f t="shared" si="23"/>
        <v>32.200000000000003</v>
      </c>
      <c r="F245" t="str">
        <f t="shared" si="25"/>
        <v>32.000</v>
      </c>
      <c r="G245" t="s">
        <v>520</v>
      </c>
      <c r="I245" t="str">
        <f t="shared" si="24"/>
        <v>&lt;note time="40.263" string="1" fret="9" /&gt;</v>
      </c>
      <c r="J245" t="str">
        <f t="shared" si="26"/>
        <v>30.500</v>
      </c>
      <c r="K245" t="s">
        <v>1212</v>
      </c>
    </row>
    <row r="246" spans="1:11" x14ac:dyDescent="0.45">
      <c r="A246" t="str">
        <f t="shared" si="21"/>
        <v>&lt;chord time="40.420" chordId="3" highDensity="1" &gt;&lt;chordNote time="40.420" string="1" fret="4" leftHand="1" /&gt;&lt;chordNote time="40.420" string="2" fret="6" leftHand="3" /&gt;&lt;chordNote time="40.420" string="3" fret="6" leftHand="4" /&gt;&lt;/chord&gt;</v>
      </c>
      <c r="D246" s="3">
        <f t="shared" si="22"/>
        <v>40.42</v>
      </c>
      <c r="E246" s="3">
        <f t="shared" si="23"/>
        <v>32.325000000000003</v>
      </c>
      <c r="F246" t="str">
        <f t="shared" si="25"/>
        <v>32.125</v>
      </c>
      <c r="G246" t="s">
        <v>521</v>
      </c>
      <c r="I246" t="str">
        <f t="shared" si="24"/>
        <v>&lt;note time="40.420" string="1" fret="9" /&gt;</v>
      </c>
      <c r="J246" t="str">
        <f t="shared" si="26"/>
        <v>30.625</v>
      </c>
      <c r="K246" t="s">
        <v>1213</v>
      </c>
    </row>
    <row r="247" spans="1:11" x14ac:dyDescent="0.45">
      <c r="A247" t="str">
        <f t="shared" si="21"/>
        <v>&lt;chord time="40.576" chordId="3" highDensity="1" &gt;&lt;chordNote time="40.576" string="1" fret="4" leftHand="1" /&gt;&lt;chordNote time="40.576" string="2" fret="6" leftHand="3" /&gt;&lt;chordNote time="40.576" string="3" fret="6" leftHand="4" /&gt;&lt;/chord&gt;</v>
      </c>
      <c r="D247" s="3">
        <f t="shared" si="22"/>
        <v>40.576000000000001</v>
      </c>
      <c r="E247" s="3">
        <f t="shared" si="23"/>
        <v>32.450000000000003</v>
      </c>
      <c r="F247" t="str">
        <f t="shared" si="25"/>
        <v>32.250</v>
      </c>
      <c r="G247" t="s">
        <v>522</v>
      </c>
      <c r="I247" t="str">
        <f t="shared" si="24"/>
        <v>&lt;note time="40.576" string="1" fret="9" /&gt;</v>
      </c>
      <c r="J247" t="str">
        <f t="shared" si="26"/>
        <v>30.750</v>
      </c>
      <c r="K247" t="s">
        <v>1214</v>
      </c>
    </row>
    <row r="248" spans="1:11" x14ac:dyDescent="0.45">
      <c r="A248" t="str">
        <f t="shared" si="21"/>
        <v>&lt;chord time="40.733" chordId="3" highDensity="1" &gt;&lt;chordNote time="40.733" string="1" fret="4" leftHand="1" /&gt;&lt;chordNote time="40.733" string="2" fret="6" leftHand="3" /&gt;&lt;chordNote time="40.733" string="3" fret="6" leftHand="4" /&gt;&lt;/chord&gt;</v>
      </c>
      <c r="D248" s="3">
        <f t="shared" si="22"/>
        <v>40.732999999999997</v>
      </c>
      <c r="E248" s="3">
        <f t="shared" si="23"/>
        <v>32.575000000000003</v>
      </c>
      <c r="F248" t="str">
        <f t="shared" si="25"/>
        <v>32.375</v>
      </c>
      <c r="G248" t="s">
        <v>523</v>
      </c>
      <c r="I248" t="str">
        <f t="shared" si="24"/>
        <v>&lt;note time="40.733" string="1" fret="9" /&gt;</v>
      </c>
      <c r="J248" t="str">
        <f t="shared" si="26"/>
        <v>30.875</v>
      </c>
      <c r="K248" t="s">
        <v>1215</v>
      </c>
    </row>
    <row r="249" spans="1:11" x14ac:dyDescent="0.45">
      <c r="A249" t="str">
        <f t="shared" si="21"/>
        <v>&lt;chord time="40.889" chordId="3" highDensity="1" &gt;&lt;chordNote time="40.889" string="1" fret="4" leftHand="1" /&gt;&lt;chordNote time="40.889" string="2" fret="6" leftHand="3" /&gt;&lt;chordNote time="40.889" string="3" fret="6" leftHand="4" /&gt;&lt;/chord&gt;</v>
      </c>
      <c r="D249" s="3">
        <f t="shared" si="22"/>
        <v>40.889000000000003</v>
      </c>
      <c r="E249" s="3">
        <f t="shared" si="23"/>
        <v>32.700000000000003</v>
      </c>
      <c r="F249" t="str">
        <f t="shared" si="25"/>
        <v>32.500</v>
      </c>
      <c r="G249" t="s">
        <v>524</v>
      </c>
      <c r="I249" t="str">
        <f t="shared" si="24"/>
        <v>&lt;note time="40.889" string="1" fret="9" /&gt;</v>
      </c>
      <c r="J249" t="str">
        <f t="shared" si="26"/>
        <v>31.000</v>
      </c>
      <c r="K249" t="s">
        <v>1216</v>
      </c>
    </row>
    <row r="250" spans="1:11" x14ac:dyDescent="0.45">
      <c r="A250" t="str">
        <f t="shared" si="21"/>
        <v>&lt;chord time="41.046" chordId="3" highDensity="1" &gt;&lt;chordNote time="41.046" string="1" fret="4" leftHand="1" /&gt;&lt;chordNote time="41.046" string="2" fret="6" leftHand="3" /&gt;&lt;chordNote time="41.046" string="3" fret="6" leftHand="4" /&gt;&lt;/chord&gt;</v>
      </c>
      <c r="D250" s="3">
        <f t="shared" si="22"/>
        <v>41.045999999999999</v>
      </c>
      <c r="E250" s="3">
        <f t="shared" si="23"/>
        <v>32.825000000000003</v>
      </c>
      <c r="F250" t="str">
        <f t="shared" si="25"/>
        <v>32.625</v>
      </c>
      <c r="G250" t="s">
        <v>525</v>
      </c>
      <c r="I250" t="str">
        <f t="shared" si="24"/>
        <v>&lt;note time="41.046" string="1" fret="9" /&gt;</v>
      </c>
      <c r="J250" t="str">
        <f t="shared" si="26"/>
        <v>31.125</v>
      </c>
      <c r="K250" t="s">
        <v>1217</v>
      </c>
    </row>
    <row r="251" spans="1:11" x14ac:dyDescent="0.45">
      <c r="A251" t="str">
        <f t="shared" si="21"/>
        <v>&lt;chord time="41.202" chordId="3" highDensity="1" &gt;&lt;chordNote time="41.202" string="1" fret="4" leftHand="1" /&gt;&lt;chordNote time="41.202" string="2" fret="6" leftHand="3" /&gt;&lt;chordNote time="41.202" string="3" fret="6" leftHand="4" /&gt;&lt;/chord&gt;</v>
      </c>
      <c r="D251" s="3">
        <f t="shared" si="22"/>
        <v>41.201999999999998</v>
      </c>
      <c r="E251" s="3">
        <f t="shared" si="23"/>
        <v>32.950000000000003</v>
      </c>
      <c r="F251" t="str">
        <f t="shared" si="25"/>
        <v>32.750</v>
      </c>
      <c r="G251" t="s">
        <v>526</v>
      </c>
      <c r="I251" t="str">
        <f t="shared" si="24"/>
        <v>&lt;note time="41.202" string="1" fret="9" /&gt;</v>
      </c>
      <c r="J251" t="str">
        <f t="shared" si="26"/>
        <v>31.250</v>
      </c>
      <c r="K251" t="s">
        <v>1218</v>
      </c>
    </row>
    <row r="252" spans="1:11" x14ac:dyDescent="0.45">
      <c r="A252" t="str">
        <f t="shared" si="21"/>
        <v>&lt;chord time="41.359" chordId="3" highDensity="1" &gt;&lt;chordNote time="41.359" string="1" fret="4" leftHand="1" /&gt;&lt;chordNote time="41.359" string="2" fret="6" leftHand="3" /&gt;&lt;chordNote time="41.359" string="3" fret="6" leftHand="4" /&gt;&lt;/chord&gt;</v>
      </c>
      <c r="D252" s="3">
        <f t="shared" si="22"/>
        <v>41.359000000000002</v>
      </c>
      <c r="E252" s="3">
        <f t="shared" si="23"/>
        <v>33.075000000000003</v>
      </c>
      <c r="F252" t="str">
        <f t="shared" si="25"/>
        <v>32.875</v>
      </c>
      <c r="G252" t="s">
        <v>527</v>
      </c>
      <c r="I252" t="str">
        <f t="shared" si="24"/>
        <v>&lt;note time="41.359" string="1" fret="9" /&gt;</v>
      </c>
      <c r="J252" t="str">
        <f t="shared" si="26"/>
        <v>31.375</v>
      </c>
      <c r="K252" t="s">
        <v>1219</v>
      </c>
    </row>
    <row r="253" spans="1:11" x14ac:dyDescent="0.45">
      <c r="A253" t="str">
        <f t="shared" si="21"/>
        <v>&lt;chord time="41.515" chordId="3" highDensity="1" &gt;&lt;chordNote time="41.515" string="1" fret="4" leftHand="1" /&gt;&lt;chordNote time="41.515" string="2" fret="6" leftHand="3" /&gt;&lt;chordNote time="41.515" string="3" fret="6" leftHand="4" /&gt;&lt;/chord&gt;</v>
      </c>
      <c r="D253" s="3">
        <f t="shared" si="22"/>
        <v>41.515000000000001</v>
      </c>
      <c r="E253" s="3">
        <f t="shared" si="23"/>
        <v>33.200000000000003</v>
      </c>
      <c r="F253" t="str">
        <f t="shared" si="25"/>
        <v>33.000</v>
      </c>
      <c r="G253" t="s">
        <v>528</v>
      </c>
      <c r="I253" t="str">
        <f t="shared" si="24"/>
        <v>&lt;note time="41.515" string="1" fret="9" /&gt;</v>
      </c>
      <c r="J253" t="str">
        <f t="shared" si="26"/>
        <v>31.500</v>
      </c>
      <c r="K253" t="s">
        <v>1220</v>
      </c>
    </row>
    <row r="254" spans="1:11" x14ac:dyDescent="0.45">
      <c r="A254" t="str">
        <f t="shared" si="21"/>
        <v>&lt;chord time="41.672" chordId="3" highDensity="1" &gt;&lt;chordNote time="41.672" string="1" fret="4" leftHand="1" /&gt;&lt;chordNote time="41.672" string="2" fret="6" leftHand="3" /&gt;&lt;chordNote time="41.672" string="3" fret="6" leftHand="4" /&gt;&lt;/chord&gt;</v>
      </c>
      <c r="D254" s="3">
        <f t="shared" si="22"/>
        <v>41.671999999999997</v>
      </c>
      <c r="E254" s="3">
        <f t="shared" si="23"/>
        <v>33.325000000000003</v>
      </c>
      <c r="F254" t="str">
        <f t="shared" si="25"/>
        <v>33.125</v>
      </c>
      <c r="G254" t="s">
        <v>529</v>
      </c>
      <c r="I254" t="str">
        <f t="shared" si="24"/>
        <v>&lt;note time="41.672" string="1" fret="9" /&gt;</v>
      </c>
      <c r="J254" t="str">
        <f t="shared" si="26"/>
        <v>31.625</v>
      </c>
      <c r="K254" t="s">
        <v>1221</v>
      </c>
    </row>
    <row r="255" spans="1:11" x14ac:dyDescent="0.45">
      <c r="A255" t="str">
        <f t="shared" si="21"/>
        <v>&lt;chord time="41.828" chordId="3" highDensity="1" &gt;&lt;chordNote time="41.828" string="1" fret="4" leftHand="1" /&gt;&lt;chordNote time="41.828" string="2" fret="6" leftHand="3" /&gt;&lt;chordNote time="41.828" string="3" fret="6" leftHand="4" /&gt;&lt;/chord&gt;</v>
      </c>
      <c r="D255" s="3">
        <f t="shared" si="22"/>
        <v>41.828000000000003</v>
      </c>
      <c r="E255" s="3">
        <f t="shared" si="23"/>
        <v>33.450000000000003</v>
      </c>
      <c r="F255" t="str">
        <f t="shared" si="25"/>
        <v>33.250</v>
      </c>
      <c r="G255" t="s">
        <v>530</v>
      </c>
      <c r="I255" t="str">
        <f t="shared" si="24"/>
        <v>&lt;note time="41.828" string="1" fret="9" /&gt;</v>
      </c>
      <c r="J255" t="str">
        <f t="shared" si="26"/>
        <v>31.750</v>
      </c>
      <c r="K255" t="s">
        <v>1222</v>
      </c>
    </row>
    <row r="256" spans="1:11" x14ac:dyDescent="0.45">
      <c r="A256" t="str">
        <f t="shared" si="21"/>
        <v>&lt;chord time="41.985" chordId="3" highDensity="1" &gt;&lt;chordNote time="41.985" string="1" fret="4" leftHand="1" /&gt;&lt;chordNote time="41.985" string="2" fret="6" leftHand="3" /&gt;&lt;chordNote time="41.985" string="3" fret="6" leftHand="4" /&gt;&lt;/chord&gt;</v>
      </c>
      <c r="D256" s="3">
        <f t="shared" si="22"/>
        <v>41.984999999999999</v>
      </c>
      <c r="E256" s="3">
        <f t="shared" si="23"/>
        <v>33.575000000000003</v>
      </c>
      <c r="F256" t="str">
        <f t="shared" si="25"/>
        <v>33.375</v>
      </c>
      <c r="G256" t="s">
        <v>531</v>
      </c>
      <c r="I256" t="str">
        <f t="shared" si="24"/>
        <v>&lt;note time="41.985" string="1" fret="9" /&gt;</v>
      </c>
      <c r="J256" t="str">
        <f t="shared" si="26"/>
        <v>31.875</v>
      </c>
      <c r="K256" t="s">
        <v>1223</v>
      </c>
    </row>
    <row r="257" spans="1:11" x14ac:dyDescent="0.45">
      <c r="A257" t="str">
        <f t="shared" si="21"/>
        <v>&lt;chord time="42.141" chordId="3" highDensity="1" &gt;&lt;chordNote time="42.141" string="1" fret="4" leftHand="1" /&gt;&lt;chordNote time="42.141" string="2" fret="6" leftHand="3" /&gt;&lt;chordNote time="42.141" string="3" fret="6" leftHand="4" /&gt;&lt;/chord&gt;</v>
      </c>
      <c r="D257" s="3">
        <f t="shared" si="22"/>
        <v>42.140999999999998</v>
      </c>
      <c r="E257" s="3">
        <f t="shared" si="23"/>
        <v>33.700000000000003</v>
      </c>
      <c r="F257" t="str">
        <f t="shared" si="25"/>
        <v>33.500</v>
      </c>
      <c r="G257" t="s">
        <v>532</v>
      </c>
      <c r="I257" t="str">
        <f t="shared" si="24"/>
        <v>&lt;note time="42.141" string="1" fret="4" /&gt;</v>
      </c>
      <c r="J257" t="str">
        <f t="shared" si="26"/>
        <v>32.000</v>
      </c>
      <c r="K257" t="s">
        <v>1224</v>
      </c>
    </row>
    <row r="258" spans="1:11" x14ac:dyDescent="0.45">
      <c r="A258" t="str">
        <f t="shared" ref="A258:A321" si="27">SUBSTITUTE(G258,F258,TEXT(D258,"0.000"))</f>
        <v>&lt;chord time="42.298" chordId="3" highDensity="1" &gt;&lt;chordNote time="42.298" string="1" fret="4" leftHand="1" /&gt;&lt;chordNote time="42.298" string="2" fret="6" leftHand="3" /&gt;&lt;chordNote time="42.298" string="3" fret="6" leftHand="4" /&gt;&lt;/chord&gt;</v>
      </c>
      <c r="D258" s="3">
        <f t="shared" ref="D258:D321" si="28">ROUNDDOWN(E258-($C$3*(E258-$E$1)/100),3)</f>
        <v>42.298000000000002</v>
      </c>
      <c r="E258" s="3">
        <f t="shared" ref="E258:E321" si="29">0.2+F258</f>
        <v>33.825000000000003</v>
      </c>
      <c r="F258" t="str">
        <f t="shared" si="25"/>
        <v>33.625</v>
      </c>
      <c r="G258" t="s">
        <v>533</v>
      </c>
      <c r="I258" t="str">
        <f t="shared" ref="I258:I321" si="30">SUBSTITUTE(K258,J258,TEXT(D258,"0.000"))</f>
        <v>&lt;note time="42.298" string="1" fret="4" /&gt;</v>
      </c>
      <c r="J258" t="str">
        <f t="shared" si="26"/>
        <v>32.125</v>
      </c>
      <c r="K258" t="s">
        <v>1225</v>
      </c>
    </row>
    <row r="259" spans="1:11" x14ac:dyDescent="0.45">
      <c r="A259" t="str">
        <f t="shared" si="27"/>
        <v>&lt;chord time="42.454" chordId="3" highDensity="1" &gt;&lt;chordNote time="42.454" string="1" fret="4" leftHand="1" /&gt;&lt;chordNote time="42.454" string="2" fret="6" leftHand="3" /&gt;&lt;chordNote time="42.454" string="3" fret="6" leftHand="4" /&gt;&lt;/chord&gt;</v>
      </c>
      <c r="D259" s="3">
        <f t="shared" si="28"/>
        <v>42.454000000000001</v>
      </c>
      <c r="E259" s="3">
        <f t="shared" si="29"/>
        <v>33.950000000000003</v>
      </c>
      <c r="F259" t="str">
        <f t="shared" si="25"/>
        <v>33.750</v>
      </c>
      <c r="G259" t="s">
        <v>534</v>
      </c>
      <c r="I259" t="str">
        <f t="shared" si="30"/>
        <v>&lt;note time="42.454" string="1" fret="4" /&gt;</v>
      </c>
      <c r="J259" t="str">
        <f t="shared" si="26"/>
        <v>32.250</v>
      </c>
      <c r="K259" t="s">
        <v>1226</v>
      </c>
    </row>
    <row r="260" spans="1:11" x14ac:dyDescent="0.45">
      <c r="A260" t="str">
        <f t="shared" si="27"/>
        <v>&lt;chord time="42.611" chordId="3" highDensity="1" &gt;&lt;chordNote time="42.611" string="1" fret="4" leftHand="1" /&gt;&lt;chordNote time="42.611" string="2" fret="6" leftHand="3" /&gt;&lt;chordNote time="42.611" string="3" fret="6" leftHand="4" /&gt;&lt;/chord&gt;</v>
      </c>
      <c r="D260" s="3">
        <f t="shared" si="28"/>
        <v>42.610999999999997</v>
      </c>
      <c r="E260" s="3">
        <f t="shared" si="29"/>
        <v>34.075000000000003</v>
      </c>
      <c r="F260" t="str">
        <f t="shared" si="25"/>
        <v>33.875</v>
      </c>
      <c r="G260" t="s">
        <v>535</v>
      </c>
      <c r="I260" t="str">
        <f t="shared" si="30"/>
        <v>&lt;note time="42.611" string="1" fret="4" /&gt;</v>
      </c>
      <c r="J260" t="str">
        <f t="shared" si="26"/>
        <v>32.375</v>
      </c>
      <c r="K260" t="s">
        <v>1227</v>
      </c>
    </row>
    <row r="261" spans="1:11" x14ac:dyDescent="0.45">
      <c r="A261" t="str">
        <f t="shared" si="27"/>
        <v>&lt;chord time="42.767" chordId="4" &gt;&lt;chordNote time="42.767" string="1" fret="2" leftHand="1" /&gt;&lt;chordNote time="42.767" string="2" fret="4" leftHand="3" /&gt;&lt;chordNote time="42.767" string="3" fret="4" leftHand="4" /&gt;&lt;/chord&gt;</v>
      </c>
      <c r="D261" s="3">
        <f t="shared" si="28"/>
        <v>42.767000000000003</v>
      </c>
      <c r="E261" s="3">
        <f t="shared" si="29"/>
        <v>34.200000000000003</v>
      </c>
      <c r="F261" t="str">
        <f t="shared" ref="F261:F324" si="31">RIGHT(LEFT(G261,19),6)</f>
        <v>34.000</v>
      </c>
      <c r="G261" t="s">
        <v>536</v>
      </c>
      <c r="I261" t="str">
        <f t="shared" si="30"/>
        <v>&lt;note time="42.767" string="1" fret="4" /&gt;</v>
      </c>
      <c r="J261" t="str">
        <f t="shared" si="26"/>
        <v>32.500</v>
      </c>
      <c r="K261" t="s">
        <v>1228</v>
      </c>
    </row>
    <row r="262" spans="1:11" x14ac:dyDescent="0.45">
      <c r="A262" t="str">
        <f t="shared" si="27"/>
        <v>&lt;chord time="42.924" chordId="4" highDensity="1" &gt;&lt;chordNote time="42.924" string="1" fret="2" leftHand="1" /&gt;&lt;chordNote time="42.924" string="2" fret="4" leftHand="3" /&gt;&lt;chordNote time="42.924" string="3" fret="4" leftHand="4" /&gt;&lt;/chord&gt;</v>
      </c>
      <c r="D262" s="3">
        <f t="shared" si="28"/>
        <v>42.923999999999999</v>
      </c>
      <c r="E262" s="3">
        <f t="shared" si="29"/>
        <v>34.325000000000003</v>
      </c>
      <c r="F262" t="str">
        <f t="shared" si="31"/>
        <v>34.125</v>
      </c>
      <c r="G262" t="s">
        <v>537</v>
      </c>
      <c r="I262" t="str">
        <f t="shared" si="30"/>
        <v>&lt;note time="42.924" string="1" fret="4" /&gt;</v>
      </c>
      <c r="J262" t="str">
        <f t="shared" si="26"/>
        <v>32.625</v>
      </c>
      <c r="K262" t="s">
        <v>1229</v>
      </c>
    </row>
    <row r="263" spans="1:11" x14ac:dyDescent="0.45">
      <c r="A263" t="str">
        <f t="shared" si="27"/>
        <v>&lt;chord time="43.080" chordId="4" highDensity="1" &gt;&lt;chordNote time="43.080" string="1" fret="2" leftHand="1" /&gt;&lt;chordNote time="43.080" string="2" fret="4" leftHand="3" /&gt;&lt;chordNote time="43.080" string="3" fret="4" leftHand="4" /&gt;&lt;/chord&gt;</v>
      </c>
      <c r="D263" s="3">
        <f t="shared" si="28"/>
        <v>43.08</v>
      </c>
      <c r="E263" s="3">
        <f t="shared" si="29"/>
        <v>34.450000000000003</v>
      </c>
      <c r="F263" t="str">
        <f t="shared" si="31"/>
        <v>34.250</v>
      </c>
      <c r="G263" t="s">
        <v>538</v>
      </c>
      <c r="I263" t="str">
        <f t="shared" si="30"/>
        <v>&lt;note time="43.080" string="1" fret="4" /&gt;</v>
      </c>
      <c r="J263" t="str">
        <f t="shared" si="26"/>
        <v>32.750</v>
      </c>
      <c r="K263" t="s">
        <v>1230</v>
      </c>
    </row>
    <row r="264" spans="1:11" x14ac:dyDescent="0.45">
      <c r="A264" t="str">
        <f t="shared" si="27"/>
        <v>&lt;chord time="43.237" chordId="4" highDensity="1" &gt;&lt;chordNote time="43.237" string="1" fret="2" leftHand="1" /&gt;&lt;chordNote time="43.237" string="2" fret="4" leftHand="3" /&gt;&lt;chordNote time="43.237" string="3" fret="4" leftHand="4" /&gt;&lt;/chord&gt;</v>
      </c>
      <c r="D264" s="3">
        <f t="shared" si="28"/>
        <v>43.237000000000002</v>
      </c>
      <c r="E264" s="3">
        <f t="shared" si="29"/>
        <v>34.575000000000003</v>
      </c>
      <c r="F264" t="str">
        <f t="shared" si="31"/>
        <v>34.375</v>
      </c>
      <c r="G264" t="s">
        <v>539</v>
      </c>
      <c r="I264" t="str">
        <f t="shared" si="30"/>
        <v>&lt;note time="43.237" string="1" fret="4" /&gt;</v>
      </c>
      <c r="J264" t="str">
        <f t="shared" si="26"/>
        <v>32.875</v>
      </c>
      <c r="K264" t="s">
        <v>1231</v>
      </c>
    </row>
    <row r="265" spans="1:11" x14ac:dyDescent="0.45">
      <c r="A265" t="str">
        <f t="shared" si="27"/>
        <v>&lt;chord time="43.393" chordId="4" highDensity="1" &gt;&lt;chordNote time="43.393" string="1" fret="2" leftHand="1" /&gt;&lt;chordNote time="43.393" string="2" fret="4" leftHand="3" /&gt;&lt;chordNote time="43.393" string="3" fret="4" leftHand="4" /&gt;&lt;/chord&gt;</v>
      </c>
      <c r="D265" s="3">
        <f t="shared" si="28"/>
        <v>43.393000000000001</v>
      </c>
      <c r="E265" s="3">
        <f t="shared" si="29"/>
        <v>34.700000000000003</v>
      </c>
      <c r="F265" t="str">
        <f t="shared" si="31"/>
        <v>34.500</v>
      </c>
      <c r="G265" t="s">
        <v>540</v>
      </c>
      <c r="I265" t="str">
        <f t="shared" si="30"/>
        <v>&lt;note time="43.393" string="1" fret="4" /&gt;</v>
      </c>
      <c r="J265" t="str">
        <f t="shared" si="26"/>
        <v>33.000</v>
      </c>
      <c r="K265" t="s">
        <v>1232</v>
      </c>
    </row>
    <row r="266" spans="1:11" x14ac:dyDescent="0.45">
      <c r="A266" t="str">
        <f t="shared" si="27"/>
        <v>&lt;chord time="43.550" chordId="4" highDensity="1" &gt;&lt;chordNote time="43.550" string="1" fret="2" leftHand="1" /&gt;&lt;chordNote time="43.550" string="2" fret="4" leftHand="3" /&gt;&lt;chordNote time="43.550" string="3" fret="4" leftHand="4" /&gt;&lt;/chord&gt;</v>
      </c>
      <c r="D266" s="3">
        <f t="shared" si="28"/>
        <v>43.55</v>
      </c>
      <c r="E266" s="3">
        <f t="shared" si="29"/>
        <v>34.825000000000003</v>
      </c>
      <c r="F266" t="str">
        <f t="shared" si="31"/>
        <v>34.625</v>
      </c>
      <c r="G266" t="s">
        <v>541</v>
      </c>
      <c r="I266" t="str">
        <f t="shared" si="30"/>
        <v>&lt;note time="43.550" string="1" fret="4" /&gt;</v>
      </c>
      <c r="J266" t="str">
        <f t="shared" si="26"/>
        <v>33.125</v>
      </c>
      <c r="K266" t="s">
        <v>1233</v>
      </c>
    </row>
    <row r="267" spans="1:11" x14ac:dyDescent="0.45">
      <c r="A267" t="str">
        <f t="shared" si="27"/>
        <v>&lt;chord time="43.706" chordId="4" highDensity="1" &gt;&lt;chordNote time="43.706" string="1" fret="2" leftHand="1" /&gt;&lt;chordNote time="43.706" string="2" fret="4" leftHand="3" /&gt;&lt;chordNote time="43.706" string="3" fret="4" leftHand="4" /&gt;&lt;/chord&gt;</v>
      </c>
      <c r="D267" s="3">
        <f t="shared" si="28"/>
        <v>43.706000000000003</v>
      </c>
      <c r="E267" s="3">
        <f t="shared" si="29"/>
        <v>34.950000000000003</v>
      </c>
      <c r="F267" t="str">
        <f t="shared" si="31"/>
        <v>34.750</v>
      </c>
      <c r="G267" t="s">
        <v>542</v>
      </c>
      <c r="I267" t="str">
        <f t="shared" si="30"/>
        <v>&lt;note time="43.706" string="1" fret="4" /&gt;</v>
      </c>
      <c r="J267" t="str">
        <f t="shared" si="26"/>
        <v>33.250</v>
      </c>
      <c r="K267" t="s">
        <v>1234</v>
      </c>
    </row>
    <row r="268" spans="1:11" x14ac:dyDescent="0.45">
      <c r="A268" t="str">
        <f t="shared" si="27"/>
        <v>&lt;chord time="43.863" chordId="4" highDensity="1" &gt;&lt;chordNote time="43.863" string="1" fret="2" leftHand="1" /&gt;&lt;chordNote time="43.863" string="2" fret="4" leftHand="3" /&gt;&lt;chordNote time="43.863" string="3" fret="4" leftHand="4" /&gt;&lt;/chord&gt;</v>
      </c>
      <c r="D268" s="3">
        <f t="shared" si="28"/>
        <v>43.863</v>
      </c>
      <c r="E268" s="3">
        <f t="shared" si="29"/>
        <v>35.075000000000003</v>
      </c>
      <c r="F268" t="str">
        <f t="shared" si="31"/>
        <v>34.875</v>
      </c>
      <c r="G268" t="s">
        <v>543</v>
      </c>
      <c r="I268" t="str">
        <f t="shared" si="30"/>
        <v>&lt;note time="43.863" string="1" fret="4" /&gt;</v>
      </c>
      <c r="J268" t="str">
        <f t="shared" si="26"/>
        <v>33.375</v>
      </c>
      <c r="K268" t="s">
        <v>1235</v>
      </c>
    </row>
    <row r="269" spans="1:11" x14ac:dyDescent="0.45">
      <c r="A269" t="str">
        <f t="shared" si="27"/>
        <v>&lt;chord time="44.019" chordId="4" highDensity="1" &gt;&lt;chordNote time="44.019" string="1" fret="2" leftHand="1" /&gt;&lt;chordNote time="44.019" string="2" fret="4" leftHand="3" /&gt;&lt;chordNote time="44.019" string="3" fret="4" leftHand="4" /&gt;&lt;/chord&gt;</v>
      </c>
      <c r="D269" s="3">
        <f t="shared" si="28"/>
        <v>44.018999999999998</v>
      </c>
      <c r="E269" s="3">
        <f t="shared" si="29"/>
        <v>35.200000000000003</v>
      </c>
      <c r="F269" t="str">
        <f t="shared" si="31"/>
        <v>35.000</v>
      </c>
      <c r="G269" t="s">
        <v>544</v>
      </c>
      <c r="I269" t="str">
        <f t="shared" si="30"/>
        <v>&lt;note time="44.019" string="1" fret="4" /&gt;</v>
      </c>
      <c r="J269" t="str">
        <f t="shared" si="26"/>
        <v>33.500</v>
      </c>
      <c r="K269" t="s">
        <v>1236</v>
      </c>
    </row>
    <row r="270" spans="1:11" x14ac:dyDescent="0.45">
      <c r="A270" t="str">
        <f t="shared" si="27"/>
        <v>&lt;chord time="44.176" chordId="4" highDensity="1" &gt;&lt;chordNote time="44.176" string="1" fret="2" leftHand="1" /&gt;&lt;chordNote time="44.176" string="2" fret="4" leftHand="3" /&gt;&lt;chordNote time="44.176" string="3" fret="4" leftHand="4" /&gt;&lt;/chord&gt;</v>
      </c>
      <c r="D270" s="3">
        <f t="shared" si="28"/>
        <v>44.176000000000002</v>
      </c>
      <c r="E270" s="3">
        <f t="shared" si="29"/>
        <v>35.325000000000003</v>
      </c>
      <c r="F270" t="str">
        <f t="shared" si="31"/>
        <v>35.125</v>
      </c>
      <c r="G270" t="s">
        <v>545</v>
      </c>
      <c r="I270" t="str">
        <f t="shared" si="30"/>
        <v>&lt;note time="44.176" string="1" fret="4" /&gt;</v>
      </c>
      <c r="J270" t="str">
        <f t="shared" si="26"/>
        <v>33.625</v>
      </c>
      <c r="K270" t="s">
        <v>1237</v>
      </c>
    </row>
    <row r="271" spans="1:11" x14ac:dyDescent="0.45">
      <c r="A271" t="str">
        <f t="shared" si="27"/>
        <v>&lt;chord time="44.332" chordId="4" highDensity="1" &gt;&lt;chordNote time="44.332" string="1" fret="2" leftHand="1" /&gt;&lt;chordNote time="44.332" string="2" fret="4" leftHand="3" /&gt;&lt;chordNote time="44.332" string="3" fret="4" leftHand="4" /&gt;&lt;/chord&gt;</v>
      </c>
      <c r="D271" s="3">
        <f t="shared" si="28"/>
        <v>44.332000000000001</v>
      </c>
      <c r="E271" s="3">
        <f t="shared" si="29"/>
        <v>35.450000000000003</v>
      </c>
      <c r="F271" t="str">
        <f t="shared" si="31"/>
        <v>35.250</v>
      </c>
      <c r="G271" t="s">
        <v>546</v>
      </c>
      <c r="I271" t="str">
        <f t="shared" si="30"/>
        <v>&lt;note time="44.332" string="1" fret="4" /&gt;</v>
      </c>
      <c r="J271" t="str">
        <f t="shared" si="26"/>
        <v>33.750</v>
      </c>
      <c r="K271" t="s">
        <v>1238</v>
      </c>
    </row>
    <row r="272" spans="1:11" x14ac:dyDescent="0.45">
      <c r="A272" t="str">
        <f t="shared" si="27"/>
        <v>&lt;chord time="44.489" chordId="4" highDensity="1" &gt;&lt;chordNote time="44.489" string="1" fret="2" leftHand="1" /&gt;&lt;chordNote time="44.489" string="2" fret="4" leftHand="3" /&gt;&lt;chordNote time="44.489" string="3" fret="4" leftHand="4" /&gt;&lt;/chord&gt;</v>
      </c>
      <c r="D272" s="3">
        <f t="shared" si="28"/>
        <v>44.488999999999997</v>
      </c>
      <c r="E272" s="3">
        <f t="shared" si="29"/>
        <v>35.575000000000003</v>
      </c>
      <c r="F272" t="str">
        <f t="shared" si="31"/>
        <v>35.375</v>
      </c>
      <c r="G272" t="s">
        <v>547</v>
      </c>
      <c r="I272" t="str">
        <f t="shared" si="30"/>
        <v>&lt;note time="44.489" string="1" fret="4" /&gt;</v>
      </c>
      <c r="J272" t="str">
        <f t="shared" si="26"/>
        <v>33.875</v>
      </c>
      <c r="K272" t="s">
        <v>1239</v>
      </c>
    </row>
    <row r="273" spans="1:11" x14ac:dyDescent="0.45">
      <c r="A273" t="str">
        <f t="shared" si="27"/>
        <v>&lt;chord time="44.645" chordId="4" highDensity="1" &gt;&lt;chordNote time="44.645" string="1" fret="2" leftHand="1" /&gt;&lt;chordNote time="44.645" string="2" fret="4" leftHand="3" /&gt;&lt;chordNote time="44.645" string="3" fret="4" leftHand="4" /&gt;&lt;/chord&gt;</v>
      </c>
      <c r="D273" s="3">
        <f t="shared" si="28"/>
        <v>44.645000000000003</v>
      </c>
      <c r="E273" s="3">
        <f t="shared" si="29"/>
        <v>35.700000000000003</v>
      </c>
      <c r="F273" t="str">
        <f t="shared" si="31"/>
        <v>35.500</v>
      </c>
      <c r="G273" t="s">
        <v>548</v>
      </c>
      <c r="I273" t="str">
        <f t="shared" si="30"/>
        <v>&lt;note time="44.645" string="1" fret="2" /&gt;</v>
      </c>
      <c r="J273" t="str">
        <f t="shared" si="26"/>
        <v>34.000</v>
      </c>
      <c r="K273" t="s">
        <v>1240</v>
      </c>
    </row>
    <row r="274" spans="1:11" x14ac:dyDescent="0.45">
      <c r="A274" t="str">
        <f t="shared" si="27"/>
        <v>&lt;chord time="44.802" chordId="4" highDensity="1" &gt;&lt;chordNote time="44.802" string="1" fret="2" leftHand="1" /&gt;&lt;chordNote time="44.802" string="2" fret="4" leftHand="3" /&gt;&lt;chordNote time="44.802" string="3" fret="4" leftHand="4" /&gt;&lt;/chord&gt;</v>
      </c>
      <c r="D274" s="3">
        <f t="shared" si="28"/>
        <v>44.802</v>
      </c>
      <c r="E274" s="3">
        <f t="shared" si="29"/>
        <v>35.825000000000003</v>
      </c>
      <c r="F274" t="str">
        <f t="shared" si="31"/>
        <v>35.625</v>
      </c>
      <c r="G274" t="s">
        <v>549</v>
      </c>
      <c r="I274" t="str">
        <f t="shared" si="30"/>
        <v>&lt;note time="44.802" string="1" fret="2" /&gt;</v>
      </c>
      <c r="J274" t="str">
        <f t="shared" ref="J274:J303" si="32">RIGHT(LEFT(K274,18),6)</f>
        <v>34.125</v>
      </c>
      <c r="K274" t="s">
        <v>1241</v>
      </c>
    </row>
    <row r="275" spans="1:11" x14ac:dyDescent="0.45">
      <c r="A275" t="str">
        <f t="shared" si="27"/>
        <v>&lt;chord time="44.958" chordId="4" highDensity="1" &gt;&lt;chordNote time="44.958" string="1" fret="2" leftHand="1" /&gt;&lt;chordNote time="44.958" string="2" fret="4" leftHand="3" /&gt;&lt;chordNote time="44.958" string="3" fret="4" leftHand="4" /&gt;&lt;/chord&gt;</v>
      </c>
      <c r="D275" s="3">
        <f t="shared" si="28"/>
        <v>44.957999999999998</v>
      </c>
      <c r="E275" s="3">
        <f t="shared" si="29"/>
        <v>35.950000000000003</v>
      </c>
      <c r="F275" t="str">
        <f t="shared" si="31"/>
        <v>35.750</v>
      </c>
      <c r="G275" t="s">
        <v>550</v>
      </c>
      <c r="I275" t="str">
        <f t="shared" si="30"/>
        <v>&lt;note time="44.958" string="1" fret="2" /&gt;</v>
      </c>
      <c r="J275" t="str">
        <f t="shared" si="32"/>
        <v>34.250</v>
      </c>
      <c r="K275" t="s">
        <v>1242</v>
      </c>
    </row>
    <row r="276" spans="1:11" x14ac:dyDescent="0.45">
      <c r="A276" t="str">
        <f t="shared" si="27"/>
        <v>&lt;chord time="45.115" chordId="4" highDensity="1" &gt;&lt;chordNote time="45.115" string="1" fret="2" leftHand="1" /&gt;&lt;chordNote time="45.115" string="2" fret="4" leftHand="3" /&gt;&lt;chordNote time="45.115" string="3" fret="4" leftHand="4" /&gt;&lt;/chord&gt;</v>
      </c>
      <c r="D276" s="3">
        <f t="shared" si="28"/>
        <v>45.115000000000002</v>
      </c>
      <c r="E276" s="3">
        <f t="shared" si="29"/>
        <v>36.075000000000003</v>
      </c>
      <c r="F276" t="str">
        <f t="shared" si="31"/>
        <v>35.875</v>
      </c>
      <c r="G276" t="s">
        <v>551</v>
      </c>
      <c r="I276" t="str">
        <f t="shared" si="30"/>
        <v>&lt;note time="45.115" string="1" fret="2" /&gt;</v>
      </c>
      <c r="J276" t="str">
        <f t="shared" si="32"/>
        <v>34.375</v>
      </c>
      <c r="K276" t="s">
        <v>1243</v>
      </c>
    </row>
    <row r="277" spans="1:11" x14ac:dyDescent="0.45">
      <c r="A277" t="str">
        <f t="shared" si="27"/>
        <v>&lt;chord time="45.271" chordId="0" &gt;&lt;chordNote time="45.271" string="1" fret="7" leftHand="1" /&gt;&lt;chordNote time="45.271" string="2" fret="9" leftHand="3" /&gt;&lt;chordNote time="45.271" string="3" fret="9" leftHand="4" /&gt;&lt;/chord&gt;</v>
      </c>
      <c r="D277" s="3">
        <f t="shared" si="28"/>
        <v>45.271000000000001</v>
      </c>
      <c r="E277" s="3">
        <f t="shared" si="29"/>
        <v>36.200000000000003</v>
      </c>
      <c r="F277" t="str">
        <f t="shared" si="31"/>
        <v>36.000</v>
      </c>
      <c r="G277" t="s">
        <v>552</v>
      </c>
      <c r="I277" t="str">
        <f t="shared" si="30"/>
        <v>&lt;note time="45.271" string="1" fret="2" /&gt;</v>
      </c>
      <c r="J277" t="str">
        <f t="shared" si="32"/>
        <v>34.500</v>
      </c>
      <c r="K277" t="s">
        <v>1244</v>
      </c>
    </row>
    <row r="278" spans="1:11" x14ac:dyDescent="0.45">
      <c r="A278" t="str">
        <f t="shared" si="27"/>
        <v>&lt;chord time="45.428" chordId="0" highDensity="1" &gt;&lt;chordNote time="45.428" string="1" fret="7" leftHand="1" /&gt;&lt;chordNote time="45.428" string="2" fret="9" leftHand="3" /&gt;&lt;chordNote time="45.428" string="3" fret="9" leftHand="4" /&gt;&lt;/chord&gt;</v>
      </c>
      <c r="D278" s="3">
        <f t="shared" si="28"/>
        <v>45.427999999999997</v>
      </c>
      <c r="E278" s="3">
        <f t="shared" si="29"/>
        <v>36.325000000000003</v>
      </c>
      <c r="F278" t="str">
        <f t="shared" si="31"/>
        <v>36.125</v>
      </c>
      <c r="G278" t="s">
        <v>553</v>
      </c>
      <c r="I278" t="str">
        <f t="shared" si="30"/>
        <v>&lt;note time="45.428" string="1" fret="2" /&gt;</v>
      </c>
      <c r="J278" t="str">
        <f t="shared" si="32"/>
        <v>34.625</v>
      </c>
      <c r="K278" t="s">
        <v>1245</v>
      </c>
    </row>
    <row r="279" spans="1:11" x14ac:dyDescent="0.45">
      <c r="A279" t="str">
        <f t="shared" si="27"/>
        <v>&lt;chord time="45.584" chordId="0" highDensity="1" &gt;&lt;chordNote time="45.584" string="1" fret="7" leftHand="1" /&gt;&lt;chordNote time="45.584" string="2" fret="9" leftHand="3" /&gt;&lt;chordNote time="45.584" string="3" fret="9" leftHand="4" /&gt;&lt;/chord&gt;</v>
      </c>
      <c r="D279" s="3">
        <f t="shared" si="28"/>
        <v>45.584000000000003</v>
      </c>
      <c r="E279" s="3">
        <f t="shared" si="29"/>
        <v>36.450000000000003</v>
      </c>
      <c r="F279" t="str">
        <f t="shared" si="31"/>
        <v>36.250</v>
      </c>
      <c r="G279" t="s">
        <v>554</v>
      </c>
      <c r="I279" t="str">
        <f t="shared" si="30"/>
        <v>&lt;note time="45.584" string="1" fret="2" /&gt;</v>
      </c>
      <c r="J279" t="str">
        <f t="shared" si="32"/>
        <v>34.750</v>
      </c>
      <c r="K279" t="s">
        <v>1246</v>
      </c>
    </row>
    <row r="280" spans="1:11" x14ac:dyDescent="0.45">
      <c r="A280" t="str">
        <f t="shared" si="27"/>
        <v>&lt;chord time="45.741" chordId="0" highDensity="1" &gt;&lt;chordNote time="45.741" string="1" fret="7" leftHand="1" /&gt;&lt;chordNote time="45.741" string="2" fret="9" leftHand="3" /&gt;&lt;chordNote time="45.741" string="3" fret="9" leftHand="4" /&gt;&lt;/chord&gt;</v>
      </c>
      <c r="D280" s="3">
        <f t="shared" si="28"/>
        <v>45.741</v>
      </c>
      <c r="E280" s="3">
        <f t="shared" si="29"/>
        <v>36.575000000000003</v>
      </c>
      <c r="F280" t="str">
        <f t="shared" si="31"/>
        <v>36.375</v>
      </c>
      <c r="G280" t="s">
        <v>555</v>
      </c>
      <c r="I280" t="str">
        <f t="shared" si="30"/>
        <v>&lt;note time="45.741" string="1" fret="2" /&gt;</v>
      </c>
      <c r="J280" t="str">
        <f t="shared" si="32"/>
        <v>34.875</v>
      </c>
      <c r="K280" t="s">
        <v>1247</v>
      </c>
    </row>
    <row r="281" spans="1:11" x14ac:dyDescent="0.45">
      <c r="A281" t="str">
        <f t="shared" si="27"/>
        <v>&lt;chord time="45.897" chordId="0" highDensity="1" &gt;&lt;chordNote time="45.897" string="1" fret="7" leftHand="1" /&gt;&lt;chordNote time="45.897" string="2" fret="9" leftHand="3" /&gt;&lt;chordNote time="45.897" string="3" fret="9" leftHand="4" /&gt;&lt;/chord&gt;</v>
      </c>
      <c r="D281" s="3">
        <f t="shared" si="28"/>
        <v>45.896999999999998</v>
      </c>
      <c r="E281" s="3">
        <f t="shared" si="29"/>
        <v>36.700000000000003</v>
      </c>
      <c r="F281" t="str">
        <f t="shared" si="31"/>
        <v>36.500</v>
      </c>
      <c r="G281" t="s">
        <v>556</v>
      </c>
      <c r="I281" t="str">
        <f t="shared" si="30"/>
        <v>&lt;note time="45.897" string="1" fret="2" /&gt;</v>
      </c>
      <c r="J281" t="str">
        <f t="shared" si="32"/>
        <v>35.000</v>
      </c>
      <c r="K281" t="s">
        <v>1248</v>
      </c>
    </row>
    <row r="282" spans="1:11" x14ac:dyDescent="0.45">
      <c r="A282" t="str">
        <f t="shared" si="27"/>
        <v>&lt;chord time="46.054" chordId="0" highDensity="1" &gt;&lt;chordNote time="46.054" string="1" fret="7" leftHand="1" /&gt;&lt;chordNote time="46.054" string="2" fret="9" leftHand="3" /&gt;&lt;chordNote time="46.054" string="3" fret="9" leftHand="4" /&gt;&lt;/chord&gt;</v>
      </c>
      <c r="D282" s="3">
        <f t="shared" si="28"/>
        <v>46.054000000000002</v>
      </c>
      <c r="E282" s="3">
        <f t="shared" si="29"/>
        <v>36.825000000000003</v>
      </c>
      <c r="F282" t="str">
        <f t="shared" si="31"/>
        <v>36.625</v>
      </c>
      <c r="G282" t="s">
        <v>557</v>
      </c>
      <c r="I282" t="str">
        <f t="shared" si="30"/>
        <v>&lt;note time="46.054" string="1" fret="2" /&gt;</v>
      </c>
      <c r="J282" t="str">
        <f t="shared" si="32"/>
        <v>35.125</v>
      </c>
      <c r="K282" t="s">
        <v>1249</v>
      </c>
    </row>
    <row r="283" spans="1:11" x14ac:dyDescent="0.45">
      <c r="A283" t="str">
        <f t="shared" si="27"/>
        <v>&lt;chord time="46.210" chordId="0" highDensity="1" &gt;&lt;chordNote time="46.210" string="1" fret="7" leftHand="1" /&gt;&lt;chordNote time="46.210" string="2" fret="9" leftHand="3" /&gt;&lt;chordNote time="46.210" string="3" fret="9" leftHand="4" /&gt;&lt;/chord&gt;</v>
      </c>
      <c r="D283" s="3">
        <f t="shared" si="28"/>
        <v>46.21</v>
      </c>
      <c r="E283" s="3">
        <f t="shared" si="29"/>
        <v>36.950000000000003</v>
      </c>
      <c r="F283" t="str">
        <f t="shared" si="31"/>
        <v>36.750</v>
      </c>
      <c r="G283" t="s">
        <v>558</v>
      </c>
      <c r="I283" t="str">
        <f t="shared" si="30"/>
        <v>&lt;note time="46.210" string="1" fret="2" /&gt;</v>
      </c>
      <c r="J283" t="str">
        <f t="shared" si="32"/>
        <v>35.250</v>
      </c>
      <c r="K283" t="s">
        <v>1250</v>
      </c>
    </row>
    <row r="284" spans="1:11" x14ac:dyDescent="0.45">
      <c r="A284" t="str">
        <f t="shared" si="27"/>
        <v>&lt;chord time="46.366" chordId="0" highDensity="1" &gt;&lt;chordNote time="46.366" string="1" fret="7" leftHand="1" /&gt;&lt;chordNote time="46.366" string="2" fret="9" leftHand="3" /&gt;&lt;chordNote time="46.366" string="3" fret="9" leftHand="4" /&gt;&lt;/chord&gt;</v>
      </c>
      <c r="D284" s="3">
        <f t="shared" si="28"/>
        <v>46.366</v>
      </c>
      <c r="E284" s="3">
        <f t="shared" si="29"/>
        <v>37.075000000000003</v>
      </c>
      <c r="F284" t="str">
        <f t="shared" si="31"/>
        <v>36.875</v>
      </c>
      <c r="G284" t="s">
        <v>559</v>
      </c>
      <c r="I284" t="str">
        <f t="shared" si="30"/>
        <v>&lt;note time="46.366" string="1" fret="2" /&gt;</v>
      </c>
      <c r="J284" t="str">
        <f t="shared" si="32"/>
        <v>35.375</v>
      </c>
      <c r="K284" t="s">
        <v>1251</v>
      </c>
    </row>
    <row r="285" spans="1:11" x14ac:dyDescent="0.45">
      <c r="A285" t="str">
        <f t="shared" si="27"/>
        <v>&lt;chord time="46.523" chordId="0" highDensity="1" &gt;&lt;chordNote time="46.523" string="1" fret="7" leftHand="1" /&gt;&lt;chordNote time="46.523" string="2" fret="9" leftHand="3" /&gt;&lt;chordNote time="46.523" string="3" fret="9" leftHand="4" /&gt;&lt;/chord&gt;</v>
      </c>
      <c r="D285" s="3">
        <f t="shared" si="28"/>
        <v>46.523000000000003</v>
      </c>
      <c r="E285" s="3">
        <f t="shared" si="29"/>
        <v>37.200000000000003</v>
      </c>
      <c r="F285" t="str">
        <f t="shared" si="31"/>
        <v>37.000</v>
      </c>
      <c r="G285" t="s">
        <v>560</v>
      </c>
      <c r="I285" t="str">
        <f t="shared" si="30"/>
        <v>&lt;note time="46.523" string="1" fret="2" /&gt;</v>
      </c>
      <c r="J285" t="str">
        <f t="shared" si="32"/>
        <v>35.500</v>
      </c>
      <c r="K285" t="s">
        <v>1252</v>
      </c>
    </row>
    <row r="286" spans="1:11" x14ac:dyDescent="0.45">
      <c r="A286" t="str">
        <f t="shared" si="27"/>
        <v>&lt;chord time="46.679" chordId="0" highDensity="1" &gt;&lt;chordNote time="46.679" string="1" fret="7" leftHand="1" /&gt;&lt;chordNote time="46.679" string="2" fret="9" leftHand="3" /&gt;&lt;chordNote time="46.679" string="3" fret="9" leftHand="4" /&gt;&lt;/chord&gt;</v>
      </c>
      <c r="D286" s="3">
        <f t="shared" si="28"/>
        <v>46.679000000000002</v>
      </c>
      <c r="E286" s="3">
        <f t="shared" si="29"/>
        <v>37.325000000000003</v>
      </c>
      <c r="F286" t="str">
        <f t="shared" si="31"/>
        <v>37.125</v>
      </c>
      <c r="G286" t="s">
        <v>561</v>
      </c>
      <c r="I286" t="str">
        <f t="shared" si="30"/>
        <v>&lt;note time="46.679" string="1" fret="2" /&gt;</v>
      </c>
      <c r="J286" t="str">
        <f t="shared" si="32"/>
        <v>35.625</v>
      </c>
      <c r="K286" t="s">
        <v>1253</v>
      </c>
    </row>
    <row r="287" spans="1:11" x14ac:dyDescent="0.45">
      <c r="A287" t="str">
        <f t="shared" si="27"/>
        <v>&lt;chord time="46.836" chordId="0" highDensity="1" &gt;&lt;chordNote time="46.836" string="1" fret="7" leftHand="1" /&gt;&lt;chordNote time="46.836" string="2" fret="9" leftHand="3" /&gt;&lt;chordNote time="46.836" string="3" fret="9" leftHand="4" /&gt;&lt;/chord&gt;</v>
      </c>
      <c r="D287" s="3">
        <f t="shared" si="28"/>
        <v>46.835999999999999</v>
      </c>
      <c r="E287" s="3">
        <f t="shared" si="29"/>
        <v>37.450000000000003</v>
      </c>
      <c r="F287" t="str">
        <f t="shared" si="31"/>
        <v>37.250</v>
      </c>
      <c r="G287" t="s">
        <v>562</v>
      </c>
      <c r="I287" t="str">
        <f t="shared" si="30"/>
        <v>&lt;note time="46.836" string="1" fret="2" /&gt;</v>
      </c>
      <c r="J287" t="str">
        <f t="shared" si="32"/>
        <v>35.750</v>
      </c>
      <c r="K287" t="s">
        <v>1254</v>
      </c>
    </row>
    <row r="288" spans="1:11" x14ac:dyDescent="0.45">
      <c r="A288" t="str">
        <f t="shared" si="27"/>
        <v>&lt;chord time="46.992" chordId="0" highDensity="1" &gt;&lt;chordNote time="46.992" string="1" fret="7" leftHand="1" /&gt;&lt;chordNote time="46.992" string="2" fret="9" leftHand="3" /&gt;&lt;chordNote time="46.992" string="3" fret="9" leftHand="4" /&gt;&lt;/chord&gt;</v>
      </c>
      <c r="D288" s="3">
        <f t="shared" si="28"/>
        <v>46.991999999999997</v>
      </c>
      <c r="E288" s="3">
        <f t="shared" si="29"/>
        <v>37.575000000000003</v>
      </c>
      <c r="F288" t="str">
        <f t="shared" si="31"/>
        <v>37.375</v>
      </c>
      <c r="G288" t="s">
        <v>563</v>
      </c>
      <c r="I288" t="str">
        <f t="shared" si="30"/>
        <v>&lt;note time="46.992" string="1" fret="2" /&gt;</v>
      </c>
      <c r="J288" t="str">
        <f t="shared" si="32"/>
        <v>35.875</v>
      </c>
      <c r="K288" t="s">
        <v>1255</v>
      </c>
    </row>
    <row r="289" spans="1:11" x14ac:dyDescent="0.45">
      <c r="A289" t="str">
        <f t="shared" si="27"/>
        <v>&lt;chord time="47.149" chordId="0" highDensity="1" &gt;&lt;chordNote time="47.149" string="1" fret="7" leftHand="1" /&gt;&lt;chordNote time="47.149" string="2" fret="9" leftHand="3" /&gt;&lt;chordNote time="47.149" string="3" fret="9" leftHand="4" /&gt;&lt;/chord&gt;</v>
      </c>
      <c r="D289" s="3">
        <f t="shared" si="28"/>
        <v>47.149000000000001</v>
      </c>
      <c r="E289" s="3">
        <f t="shared" si="29"/>
        <v>37.700000000000003</v>
      </c>
      <c r="F289" t="str">
        <f t="shared" si="31"/>
        <v>37.500</v>
      </c>
      <c r="G289" t="s">
        <v>564</v>
      </c>
      <c r="I289" t="str">
        <f t="shared" si="30"/>
        <v>&lt;note time="47.149" string="1" fret="7" /&gt;</v>
      </c>
      <c r="J289" t="str">
        <f t="shared" si="32"/>
        <v>36.000</v>
      </c>
      <c r="K289" t="s">
        <v>1256</v>
      </c>
    </row>
    <row r="290" spans="1:11" x14ac:dyDescent="0.45">
      <c r="A290" t="str">
        <f t="shared" si="27"/>
        <v>&lt;chord time="47.305" chordId="0" highDensity="1" &gt;&lt;chordNote time="47.305" string="1" fret="7" leftHand="1" /&gt;&lt;chordNote time="47.305" string="2" fret="9" leftHand="3" /&gt;&lt;chordNote time="47.305" string="3" fret="9" leftHand="4" /&gt;&lt;/chord&gt;</v>
      </c>
      <c r="D290" s="3">
        <f t="shared" si="28"/>
        <v>47.305</v>
      </c>
      <c r="E290" s="3">
        <f t="shared" si="29"/>
        <v>37.825000000000003</v>
      </c>
      <c r="F290" t="str">
        <f t="shared" si="31"/>
        <v>37.625</v>
      </c>
      <c r="G290" t="s">
        <v>565</v>
      </c>
      <c r="I290" t="str">
        <f t="shared" si="30"/>
        <v>&lt;note time="47.305" string="1" fret="7" /&gt;</v>
      </c>
      <c r="J290" t="str">
        <f t="shared" si="32"/>
        <v>36.125</v>
      </c>
      <c r="K290" t="s">
        <v>1257</v>
      </c>
    </row>
    <row r="291" spans="1:11" x14ac:dyDescent="0.45">
      <c r="A291" t="str">
        <f t="shared" si="27"/>
        <v>&lt;chord time="47.462" chordId="0" highDensity="1" &gt;&lt;chordNote time="47.462" string="1" fret="7" leftHand="1" /&gt;&lt;chordNote time="47.462" string="2" fret="9" leftHand="3" /&gt;&lt;chordNote time="47.462" string="3" fret="9" leftHand="4" /&gt;&lt;/chord&gt;</v>
      </c>
      <c r="D291" s="3">
        <f t="shared" si="28"/>
        <v>47.462000000000003</v>
      </c>
      <c r="E291" s="3">
        <f t="shared" si="29"/>
        <v>37.950000000000003</v>
      </c>
      <c r="F291" t="str">
        <f t="shared" si="31"/>
        <v>37.750</v>
      </c>
      <c r="G291" t="s">
        <v>566</v>
      </c>
      <c r="I291" t="str">
        <f t="shared" si="30"/>
        <v>&lt;note time="47.462" string="1" fret="7" /&gt;</v>
      </c>
      <c r="J291" t="str">
        <f t="shared" si="32"/>
        <v>36.250</v>
      </c>
      <c r="K291" t="s">
        <v>1258</v>
      </c>
    </row>
    <row r="292" spans="1:11" x14ac:dyDescent="0.45">
      <c r="A292" t="str">
        <f t="shared" si="27"/>
        <v>&lt;chord time="47.618" chordId="0" highDensity="1" &gt;&lt;chordNote time="47.618" string="1" fret="7" leftHand="1" /&gt;&lt;chordNote time="47.618" string="2" fret="9" leftHand="3" /&gt;&lt;chordNote time="47.618" string="3" fret="9" leftHand="4" /&gt;&lt;/chord&gt;</v>
      </c>
      <c r="D292" s="3">
        <f t="shared" si="28"/>
        <v>47.618000000000002</v>
      </c>
      <c r="E292" s="3">
        <f t="shared" si="29"/>
        <v>38.075000000000003</v>
      </c>
      <c r="F292" t="str">
        <f t="shared" si="31"/>
        <v>37.875</v>
      </c>
      <c r="G292" t="s">
        <v>567</v>
      </c>
      <c r="I292" t="str">
        <f t="shared" si="30"/>
        <v>&lt;note time="47.618" string="1" fret="7" /&gt;</v>
      </c>
      <c r="J292" t="str">
        <f t="shared" si="32"/>
        <v>36.375</v>
      </c>
      <c r="K292" t="s">
        <v>1259</v>
      </c>
    </row>
    <row r="293" spans="1:11" x14ac:dyDescent="0.45">
      <c r="A293" t="str">
        <f t="shared" si="27"/>
        <v>&lt;chord time="47.775" chordId="1" &gt;&lt;chordNote time="47.775" string="1" fret="9" leftHand="1" /&gt;&lt;chordNote time="47.775" string="2" fret="11" leftHand="3" /&gt;&lt;chordNote time="47.775" string="3" fret="11" leftHand="4" /&gt;&lt;/chord&gt;</v>
      </c>
      <c r="D293" s="3">
        <f t="shared" si="28"/>
        <v>47.774999999999999</v>
      </c>
      <c r="E293" s="3">
        <f t="shared" si="29"/>
        <v>38.200000000000003</v>
      </c>
      <c r="F293" t="str">
        <f t="shared" si="31"/>
        <v>38.000</v>
      </c>
      <c r="G293" t="s">
        <v>568</v>
      </c>
      <c r="I293" t="str">
        <f t="shared" si="30"/>
        <v>&lt;note time="47.775" string="1" fret="7" /&gt;</v>
      </c>
      <c r="J293" t="str">
        <f t="shared" si="32"/>
        <v>36.500</v>
      </c>
      <c r="K293" t="s">
        <v>1260</v>
      </c>
    </row>
    <row r="294" spans="1:11" x14ac:dyDescent="0.45">
      <c r="A294" t="str">
        <f t="shared" si="27"/>
        <v>&lt;chord time="47.931" chordId="1" highDensity="1" &gt;&lt;chordNote time="47.931" string="1" fret="9" leftHand="1" /&gt;&lt;chordNote time="47.931" string="2" fret="11" leftHand="3" /&gt;&lt;chordNote time="47.931" string="3" fret="11" leftHand="4" /&gt;&lt;/chord&gt;</v>
      </c>
      <c r="D294" s="3">
        <f t="shared" si="28"/>
        <v>47.930999999999997</v>
      </c>
      <c r="E294" s="3">
        <f t="shared" si="29"/>
        <v>38.325000000000003</v>
      </c>
      <c r="F294" t="str">
        <f t="shared" si="31"/>
        <v>38.125</v>
      </c>
      <c r="G294" t="s">
        <v>569</v>
      </c>
      <c r="I294" t="str">
        <f t="shared" si="30"/>
        <v>&lt;note time="47.931" string="1" fret="7" /&gt;</v>
      </c>
      <c r="J294" t="str">
        <f t="shared" si="32"/>
        <v>36.625</v>
      </c>
      <c r="K294" t="s">
        <v>1261</v>
      </c>
    </row>
    <row r="295" spans="1:11" x14ac:dyDescent="0.45">
      <c r="A295" t="str">
        <f t="shared" si="27"/>
        <v>&lt;chord time="48.088" chordId="1" highDensity="1" &gt;&lt;chordNote time="48.088" string="1" fret="9" leftHand="1" /&gt;&lt;chordNote time="48.088" string="2" fret="11" leftHand="3" /&gt;&lt;chordNote time="48.088" string="3" fret="11" leftHand="4" /&gt;&lt;/chord&gt;</v>
      </c>
      <c r="D295" s="3">
        <f t="shared" si="28"/>
        <v>48.088000000000001</v>
      </c>
      <c r="E295" s="3">
        <f t="shared" si="29"/>
        <v>38.450000000000003</v>
      </c>
      <c r="F295" t="str">
        <f t="shared" si="31"/>
        <v>38.250</v>
      </c>
      <c r="G295" t="s">
        <v>570</v>
      </c>
      <c r="I295" t="str">
        <f t="shared" si="30"/>
        <v>&lt;note time="48.088" string="1" fret="7" /&gt;</v>
      </c>
      <c r="J295" t="str">
        <f t="shared" si="32"/>
        <v>36.750</v>
      </c>
      <c r="K295" t="s">
        <v>1262</v>
      </c>
    </row>
    <row r="296" spans="1:11" x14ac:dyDescent="0.45">
      <c r="A296" t="str">
        <f t="shared" si="27"/>
        <v>&lt;chord time="48.244" chordId="1" highDensity="1" &gt;&lt;chordNote time="48.244" string="1" fret="9" leftHand="1" /&gt;&lt;chordNote time="48.244" string="2" fret="11" leftHand="3" /&gt;&lt;chordNote time="48.244" string="3" fret="11" leftHand="4" /&gt;&lt;/chord&gt;</v>
      </c>
      <c r="D296" s="3">
        <f t="shared" si="28"/>
        <v>48.244</v>
      </c>
      <c r="E296" s="3">
        <f t="shared" si="29"/>
        <v>38.575000000000003</v>
      </c>
      <c r="F296" t="str">
        <f t="shared" si="31"/>
        <v>38.375</v>
      </c>
      <c r="G296" t="s">
        <v>571</v>
      </c>
      <c r="I296" t="str">
        <f t="shared" si="30"/>
        <v>&lt;note time="48.244" string="1" fret="7" /&gt;</v>
      </c>
      <c r="J296" t="str">
        <f t="shared" si="32"/>
        <v>36.875</v>
      </c>
      <c r="K296" t="s">
        <v>1263</v>
      </c>
    </row>
    <row r="297" spans="1:11" x14ac:dyDescent="0.45">
      <c r="A297" t="str">
        <f t="shared" si="27"/>
        <v>&lt;chord time="48.401" chordId="1" highDensity="1" &gt;&lt;chordNote time="48.401" string="1" fret="9" leftHand="1" /&gt;&lt;chordNote time="48.401" string="2" fret="11" leftHand="3" /&gt;&lt;chordNote time="48.401" string="3" fret="11" leftHand="4" /&gt;&lt;/chord&gt;</v>
      </c>
      <c r="D297" s="3">
        <f t="shared" si="28"/>
        <v>48.401000000000003</v>
      </c>
      <c r="E297" s="3">
        <f t="shared" si="29"/>
        <v>38.700000000000003</v>
      </c>
      <c r="F297" t="str">
        <f t="shared" si="31"/>
        <v>38.500</v>
      </c>
      <c r="G297" t="s">
        <v>572</v>
      </c>
      <c r="I297" t="str">
        <f t="shared" si="30"/>
        <v>&lt;note time="48.401" string="1" fret="7" /&gt;</v>
      </c>
      <c r="J297" t="str">
        <f t="shared" si="32"/>
        <v>37.000</v>
      </c>
      <c r="K297" t="s">
        <v>1264</v>
      </c>
    </row>
    <row r="298" spans="1:11" x14ac:dyDescent="0.45">
      <c r="A298" t="str">
        <f t="shared" si="27"/>
        <v>&lt;chord time="48.557" chordId="1" highDensity="1" &gt;&lt;chordNote time="48.557" string="1" fret="9" leftHand="1" /&gt;&lt;chordNote time="48.557" string="2" fret="11" leftHand="3" /&gt;&lt;chordNote time="48.557" string="3" fret="11" leftHand="4" /&gt;&lt;/chord&gt;</v>
      </c>
      <c r="D298" s="3">
        <f t="shared" si="28"/>
        <v>48.557000000000002</v>
      </c>
      <c r="E298" s="3">
        <f t="shared" si="29"/>
        <v>38.825000000000003</v>
      </c>
      <c r="F298" t="str">
        <f t="shared" si="31"/>
        <v>38.625</v>
      </c>
      <c r="G298" t="s">
        <v>573</v>
      </c>
      <c r="I298" t="str">
        <f t="shared" si="30"/>
        <v>&lt;note time="48.557" string="1" fret="7" /&gt;</v>
      </c>
      <c r="J298" t="str">
        <f t="shared" si="32"/>
        <v>37.125</v>
      </c>
      <c r="K298" t="s">
        <v>1265</v>
      </c>
    </row>
    <row r="299" spans="1:11" x14ac:dyDescent="0.45">
      <c r="A299" t="str">
        <f t="shared" si="27"/>
        <v>&lt;chord time="48.714" chordId="1" highDensity="1" &gt;&lt;chordNote time="48.714" string="1" fret="9" leftHand="1" /&gt;&lt;chordNote time="48.714" string="2" fret="11" leftHand="3" /&gt;&lt;chordNote time="48.714" string="3" fret="11" leftHand="4" /&gt;&lt;/chord&gt;</v>
      </c>
      <c r="D299" s="3">
        <f t="shared" si="28"/>
        <v>48.713999999999999</v>
      </c>
      <c r="E299" s="3">
        <f t="shared" si="29"/>
        <v>38.950000000000003</v>
      </c>
      <c r="F299" t="str">
        <f t="shared" si="31"/>
        <v>38.750</v>
      </c>
      <c r="G299" t="s">
        <v>574</v>
      </c>
      <c r="I299" t="str">
        <f t="shared" si="30"/>
        <v>&lt;note time="48.714" string="1" fret="7" /&gt;</v>
      </c>
      <c r="J299" t="str">
        <f t="shared" si="32"/>
        <v>37.250</v>
      </c>
      <c r="K299" t="s">
        <v>1266</v>
      </c>
    </row>
    <row r="300" spans="1:11" x14ac:dyDescent="0.45">
      <c r="A300" t="str">
        <f t="shared" si="27"/>
        <v>&lt;chord time="48.870" chordId="1" highDensity="1" &gt;&lt;chordNote time="48.870" string="1" fret="9" leftHand="1" /&gt;&lt;chordNote time="48.870" string="2" fret="11" leftHand="3" /&gt;&lt;chordNote time="48.870" string="3" fret="11" leftHand="4" /&gt;&lt;/chord&gt;</v>
      </c>
      <c r="D300" s="3">
        <f t="shared" si="28"/>
        <v>48.87</v>
      </c>
      <c r="E300" s="3">
        <f t="shared" si="29"/>
        <v>39.075000000000003</v>
      </c>
      <c r="F300" t="str">
        <f t="shared" si="31"/>
        <v>38.875</v>
      </c>
      <c r="G300" t="s">
        <v>575</v>
      </c>
      <c r="I300" t="str">
        <f t="shared" si="30"/>
        <v>&lt;note time="48.870" string="1" fret="7" /&gt;</v>
      </c>
      <c r="J300" t="str">
        <f t="shared" si="32"/>
        <v>37.375</v>
      </c>
      <c r="K300" t="s">
        <v>1267</v>
      </c>
    </row>
    <row r="301" spans="1:11" x14ac:dyDescent="0.45">
      <c r="A301" t="str">
        <f t="shared" si="27"/>
        <v>&lt;chord time="49.027" chordId="1" highDensity="1" &gt;&lt;chordNote time="49.027" string="1" fret="9" leftHand="1" /&gt;&lt;chordNote time="49.027" string="2" fret="11" leftHand="3" /&gt;&lt;chordNote time="49.027" string="3" fret="11" leftHand="4" /&gt;&lt;/chord&gt;</v>
      </c>
      <c r="D301" s="3">
        <f t="shared" si="28"/>
        <v>49.027000000000001</v>
      </c>
      <c r="E301" s="3">
        <f t="shared" si="29"/>
        <v>39.200000000000003</v>
      </c>
      <c r="F301" t="str">
        <f t="shared" si="31"/>
        <v>39.000</v>
      </c>
      <c r="G301" t="s">
        <v>576</v>
      </c>
      <c r="I301" t="str">
        <f t="shared" si="30"/>
        <v>&lt;note time="49.027" string="1" fret="7" /&gt;</v>
      </c>
      <c r="J301" t="str">
        <f t="shared" si="32"/>
        <v>37.500</v>
      </c>
      <c r="K301" t="s">
        <v>1268</v>
      </c>
    </row>
    <row r="302" spans="1:11" x14ac:dyDescent="0.45">
      <c r="A302" t="str">
        <f t="shared" si="27"/>
        <v>&lt;chord time="49.183" chordId="1" highDensity="1" &gt;&lt;chordNote time="49.183" string="1" fret="9" leftHand="1" /&gt;&lt;chordNote time="49.183" string="2" fret="11" leftHand="3" /&gt;&lt;chordNote time="49.183" string="3" fret="11" leftHand="4" /&gt;&lt;/chord&gt;</v>
      </c>
      <c r="D302" s="3">
        <f t="shared" si="28"/>
        <v>49.183</v>
      </c>
      <c r="E302" s="3">
        <f t="shared" si="29"/>
        <v>39.325000000000003</v>
      </c>
      <c r="F302" t="str">
        <f t="shared" si="31"/>
        <v>39.125</v>
      </c>
      <c r="G302" t="s">
        <v>577</v>
      </c>
      <c r="I302" t="str">
        <f t="shared" si="30"/>
        <v>&lt;note time="49.183" string="1" fret="7" /&gt;</v>
      </c>
      <c r="J302" t="str">
        <f t="shared" si="32"/>
        <v>37.625</v>
      </c>
      <c r="K302" t="s">
        <v>1269</v>
      </c>
    </row>
    <row r="303" spans="1:11" x14ac:dyDescent="0.45">
      <c r="A303" t="str">
        <f t="shared" si="27"/>
        <v>&lt;chord time="49.340" chordId="1" highDensity="1" &gt;&lt;chordNote time="49.340" string="1" fret="9" leftHand="1" /&gt;&lt;chordNote time="49.340" string="2" fret="11" leftHand="3" /&gt;&lt;chordNote time="49.340" string="3" fret="11" leftHand="4" /&gt;&lt;/chord&gt;</v>
      </c>
      <c r="D303" s="3">
        <f t="shared" si="28"/>
        <v>49.34</v>
      </c>
      <c r="E303" s="3">
        <f t="shared" si="29"/>
        <v>39.450000000000003</v>
      </c>
      <c r="F303" t="str">
        <f t="shared" si="31"/>
        <v>39.250</v>
      </c>
      <c r="G303" t="s">
        <v>578</v>
      </c>
      <c r="I303" t="str">
        <f t="shared" si="30"/>
        <v>&lt;note time="49.340" string="1" fret="7" /&gt;</v>
      </c>
      <c r="J303" t="str">
        <f t="shared" si="32"/>
        <v>37.750</v>
      </c>
      <c r="K303" t="s">
        <v>1270</v>
      </c>
    </row>
    <row r="304" spans="1:11" x14ac:dyDescent="0.45">
      <c r="A304" t="str">
        <f t="shared" si="27"/>
        <v>&lt;chord time="49.496" chordId="1" highDensity="1" &gt;&lt;chordNote time="49.496" string="1" fret="9" leftHand="1" /&gt;&lt;chordNote time="49.496" string="2" fret="11" leftHand="3" /&gt;&lt;chordNote time="49.496" string="3" fret="11" leftHand="4" /&gt;&lt;/chord&gt;</v>
      </c>
      <c r="D304" s="3">
        <f t="shared" si="28"/>
        <v>49.496000000000002</v>
      </c>
      <c r="E304" s="3">
        <f t="shared" si="29"/>
        <v>39.575000000000003</v>
      </c>
      <c r="F304" t="str">
        <f t="shared" si="31"/>
        <v>39.375</v>
      </c>
      <c r="G304" t="s">
        <v>579</v>
      </c>
      <c r="I304" t="str">
        <f t="shared" si="30"/>
        <v>&lt;note time="49.496" string="1" fret="7" /&gt;</v>
      </c>
      <c r="J304" t="str">
        <f>RIGHT(LEFT(K304,18),6)</f>
        <v>37.875</v>
      </c>
      <c r="K304" t="s">
        <v>1271</v>
      </c>
    </row>
    <row r="305" spans="1:11" x14ac:dyDescent="0.45">
      <c r="A305" t="str">
        <f t="shared" si="27"/>
        <v>&lt;chord time="49.653" chordId="1" highDensity="1" &gt;&lt;chordNote time="49.653" string="1" fret="9" leftHand="1" /&gt;&lt;chordNote time="49.653" string="2" fret="11" leftHand="3" /&gt;&lt;chordNote time="49.653" string="3" fret="11" leftHand="4" /&gt;&lt;/chord&gt;</v>
      </c>
      <c r="D305" s="3">
        <f t="shared" si="28"/>
        <v>49.652999999999999</v>
      </c>
      <c r="E305" s="3">
        <f t="shared" si="29"/>
        <v>39.700000000000003</v>
      </c>
      <c r="F305" t="str">
        <f t="shared" si="31"/>
        <v>39.500</v>
      </c>
      <c r="G305" t="s">
        <v>580</v>
      </c>
      <c r="I305" t="str">
        <f t="shared" si="30"/>
        <v>&lt;note time="49.653" string="1" fret="9" /&gt;</v>
      </c>
      <c r="J305" t="str">
        <f t="shared" ref="J305:J323" si="33">RIGHT(LEFT(K305,18),6)</f>
        <v>38.000</v>
      </c>
      <c r="K305" t="s">
        <v>1272</v>
      </c>
    </row>
    <row r="306" spans="1:11" x14ac:dyDescent="0.45">
      <c r="A306" t="str">
        <f t="shared" si="27"/>
        <v>&lt;chord time="49.809" chordId="1" highDensity="1" &gt;&lt;chordNote time="49.809" string="1" fret="9" leftHand="1" /&gt;&lt;chordNote time="49.809" string="2" fret="11" leftHand="3" /&gt;&lt;chordNote time="49.809" string="3" fret="11" leftHand="4" /&gt;&lt;/chord&gt;</v>
      </c>
      <c r="D306" s="3">
        <f t="shared" si="28"/>
        <v>49.808999999999997</v>
      </c>
      <c r="E306" s="3">
        <f t="shared" si="29"/>
        <v>39.825000000000003</v>
      </c>
      <c r="F306" t="str">
        <f t="shared" si="31"/>
        <v>39.625</v>
      </c>
      <c r="G306" t="s">
        <v>581</v>
      </c>
      <c r="I306" t="str">
        <f t="shared" si="30"/>
        <v>&lt;note time="49.809" string="1" fret="9" /&gt;</v>
      </c>
      <c r="J306" t="str">
        <f t="shared" si="33"/>
        <v>38.125</v>
      </c>
      <c r="K306" t="s">
        <v>1273</v>
      </c>
    </row>
    <row r="307" spans="1:11" x14ac:dyDescent="0.45">
      <c r="A307" t="str">
        <f t="shared" si="27"/>
        <v>&lt;chord time="49.966" chordId="1" highDensity="1" &gt;&lt;chordNote time="49.966" string="1" fret="9" leftHand="1" /&gt;&lt;chordNote time="49.966" string="2" fret="11" leftHand="3" /&gt;&lt;chordNote time="49.966" string="3" fret="11" leftHand="4" /&gt;&lt;/chord&gt;</v>
      </c>
      <c r="D307" s="3">
        <f t="shared" si="28"/>
        <v>49.966000000000001</v>
      </c>
      <c r="E307" s="3">
        <f t="shared" si="29"/>
        <v>39.950000000000003</v>
      </c>
      <c r="F307" t="str">
        <f t="shared" si="31"/>
        <v>39.750</v>
      </c>
      <c r="G307" t="s">
        <v>582</v>
      </c>
      <c r="I307" t="str">
        <f t="shared" si="30"/>
        <v>&lt;note time="49.966" string="1" fret="9" /&gt;</v>
      </c>
      <c r="J307" t="str">
        <f t="shared" si="33"/>
        <v>38.250</v>
      </c>
      <c r="K307" t="s">
        <v>1274</v>
      </c>
    </row>
    <row r="308" spans="1:11" x14ac:dyDescent="0.45">
      <c r="A308" t="str">
        <f t="shared" si="27"/>
        <v>&lt;chord time="50.122" chordId="1" highDensity="1" &gt;&lt;chordNote time="50.122" string="1" fret="9" leftHand="1" /&gt;&lt;chordNote time="50.122" string="2" fret="11" leftHand="3" /&gt;&lt;chordNote time="50.122" string="3" fret="11" leftHand="4" /&gt;&lt;/chord&gt;</v>
      </c>
      <c r="D308" s="3">
        <f t="shared" si="28"/>
        <v>50.122</v>
      </c>
      <c r="E308" s="3">
        <f t="shared" si="29"/>
        <v>40.075000000000003</v>
      </c>
      <c r="F308" t="str">
        <f t="shared" si="31"/>
        <v>39.875</v>
      </c>
      <c r="G308" t="s">
        <v>583</v>
      </c>
      <c r="I308" t="str">
        <f t="shared" si="30"/>
        <v>&lt;note time="50.122" string="1" fret="9" /&gt;</v>
      </c>
      <c r="J308" t="str">
        <f t="shared" si="33"/>
        <v>38.375</v>
      </c>
      <c r="K308" t="s">
        <v>1275</v>
      </c>
    </row>
    <row r="309" spans="1:11" x14ac:dyDescent="0.45">
      <c r="A309" t="str">
        <f t="shared" si="27"/>
        <v>&lt;chord time="50.279" chordId="3" &gt;&lt;chordNote time="50.279" string="1" fret="4" leftHand="1" /&gt;&lt;chordNote time="50.279" string="2" fret="6" leftHand="3" /&gt;&lt;chordNote time="50.279" string="3" fret="6" leftHand="4" /&gt;&lt;/chord&gt;</v>
      </c>
      <c r="D309" s="3">
        <f t="shared" si="28"/>
        <v>50.279000000000003</v>
      </c>
      <c r="E309" s="3">
        <f t="shared" si="29"/>
        <v>40.200000000000003</v>
      </c>
      <c r="F309" t="str">
        <f t="shared" si="31"/>
        <v>40.000</v>
      </c>
      <c r="G309" t="s">
        <v>584</v>
      </c>
      <c r="I309" t="str">
        <f t="shared" si="30"/>
        <v>&lt;note time="50.279" string="1" fret="9" /&gt;</v>
      </c>
      <c r="J309" t="str">
        <f t="shared" si="33"/>
        <v>38.500</v>
      </c>
      <c r="K309" t="s">
        <v>1276</v>
      </c>
    </row>
    <row r="310" spans="1:11" x14ac:dyDescent="0.45">
      <c r="A310" t="str">
        <f t="shared" si="27"/>
        <v>&lt;chord time="50.592" chordId="3" highDensity="1" &gt;&lt;chordNote time="50.592" string="1" fret="4" leftHand="1" /&gt;&lt;chordNote time="50.592" string="2" fret="6" leftHand="3" /&gt;&lt;chordNote time="50.592" string="3" fret="6" leftHand="4" /&gt;&lt;/chord&gt;</v>
      </c>
      <c r="D310" s="3">
        <f t="shared" si="28"/>
        <v>50.591999999999999</v>
      </c>
      <c r="E310" s="3">
        <f t="shared" si="29"/>
        <v>40.450000000000003</v>
      </c>
      <c r="F310" t="str">
        <f t="shared" si="31"/>
        <v>40.250</v>
      </c>
      <c r="G310" t="s">
        <v>585</v>
      </c>
      <c r="I310" t="str">
        <f t="shared" si="30"/>
        <v>&lt;note time="50.592" string="1" fret="9" /&gt;</v>
      </c>
      <c r="J310" t="str">
        <f t="shared" si="33"/>
        <v>38.625</v>
      </c>
      <c r="K310" t="s">
        <v>1277</v>
      </c>
    </row>
    <row r="311" spans="1:11" x14ac:dyDescent="0.45">
      <c r="A311" t="str">
        <f t="shared" si="27"/>
        <v>&lt;chord time="50.905" chordId="4" &gt;&lt;chordNote time="50.905" string="1" fret="2" leftHand="1" /&gt;&lt;chordNote time="50.905" string="2" fret="4" leftHand="3" /&gt;&lt;chordNote time="50.905" string="3" fret="4" leftHand="4" /&gt;&lt;/chord&gt;</v>
      </c>
      <c r="D311" s="3">
        <f t="shared" si="28"/>
        <v>50.905000000000001</v>
      </c>
      <c r="E311" s="3">
        <f t="shared" si="29"/>
        <v>40.700000000000003</v>
      </c>
      <c r="F311" t="str">
        <f t="shared" si="31"/>
        <v>40.500</v>
      </c>
      <c r="G311" t="s">
        <v>586</v>
      </c>
      <c r="I311" t="str">
        <f t="shared" si="30"/>
        <v>&lt;note time="50.905" string="1" fret="9" /&gt;</v>
      </c>
      <c r="J311" t="str">
        <f t="shared" si="33"/>
        <v>38.750</v>
      </c>
      <c r="K311" t="s">
        <v>1278</v>
      </c>
    </row>
    <row r="312" spans="1:11" x14ac:dyDescent="0.45">
      <c r="A312" t="str">
        <f t="shared" si="27"/>
        <v>&lt;chord time="51.218" chordId="4" highDensity="1" &gt;&lt;chordNote time="51.218" string="1" fret="2" leftHand="1" /&gt;&lt;chordNote time="51.218" string="2" fret="4" leftHand="3" /&gt;&lt;chordNote time="51.218" string="3" fret="4" leftHand="4" /&gt;&lt;/chord&gt;</v>
      </c>
      <c r="D312" s="3">
        <f t="shared" si="28"/>
        <v>51.218000000000004</v>
      </c>
      <c r="E312" s="3">
        <f t="shared" si="29"/>
        <v>40.950000000000003</v>
      </c>
      <c r="F312" t="str">
        <f t="shared" si="31"/>
        <v>40.750</v>
      </c>
      <c r="G312" t="s">
        <v>587</v>
      </c>
      <c r="I312" t="str">
        <f t="shared" si="30"/>
        <v>&lt;note time="51.218" string="1" fret="9" /&gt;</v>
      </c>
      <c r="J312" t="str">
        <f t="shared" si="33"/>
        <v>38.875</v>
      </c>
      <c r="K312" t="s">
        <v>1279</v>
      </c>
    </row>
    <row r="313" spans="1:11" x14ac:dyDescent="0.45">
      <c r="A313" t="str">
        <f t="shared" si="27"/>
        <v>&lt;chord time="51.531" chordId="5" &gt;&lt;chordNote time="51.531" string="0" fret="0" /&gt;&lt;chordNote time="51.531" string="1" fret="2" leftHand="2" /&gt;&lt;chordNote time="51.531" string="2" fret="2" leftHand="3" /&gt;&lt;/chord&gt;</v>
      </c>
      <c r="D313" s="3">
        <f t="shared" si="28"/>
        <v>51.530999999999999</v>
      </c>
      <c r="E313" s="3">
        <f t="shared" si="29"/>
        <v>41.2</v>
      </c>
      <c r="F313" t="str">
        <f t="shared" si="31"/>
        <v>41.000</v>
      </c>
      <c r="G313" t="s">
        <v>588</v>
      </c>
      <c r="I313" t="str">
        <f t="shared" si="30"/>
        <v>&lt;note time="51.531" string="1" fret="9" /&gt;</v>
      </c>
      <c r="J313" t="str">
        <f t="shared" si="33"/>
        <v>39.000</v>
      </c>
      <c r="K313" t="s">
        <v>1280</v>
      </c>
    </row>
    <row r="314" spans="1:11" x14ac:dyDescent="0.45">
      <c r="A314" t="str">
        <f t="shared" si="27"/>
        <v>&lt;chord time="52.783" chordId="5" highDensity="1" &gt;&lt;chordNote time="52.783" string="0" fret="0" /&gt;&lt;chordNote time="52.783" string="1" fret="2" leftHand="2" /&gt;&lt;chordNote time="52.783" string="2" fret="2" leftHand="3" /&gt;&lt;/chord&gt;</v>
      </c>
      <c r="D314" s="3">
        <f t="shared" si="28"/>
        <v>52.783000000000001</v>
      </c>
      <c r="E314" s="3">
        <f t="shared" si="29"/>
        <v>42.2</v>
      </c>
      <c r="F314" t="str">
        <f t="shared" si="31"/>
        <v>42.000</v>
      </c>
      <c r="G314" t="s">
        <v>589</v>
      </c>
      <c r="I314" t="str">
        <f t="shared" si="30"/>
        <v>&lt;note time="52.783" string="1" fret="9" /&gt;</v>
      </c>
      <c r="J314" t="str">
        <f t="shared" si="33"/>
        <v>39.125</v>
      </c>
      <c r="K314" t="s">
        <v>1281</v>
      </c>
    </row>
    <row r="315" spans="1:11" x14ac:dyDescent="0.45">
      <c r="A315" t="str">
        <f t="shared" si="27"/>
        <v>&lt;chord time="53.096" chordId="5" highDensity="1" &gt;&lt;chordNote time="53.096" string="0" fret="0" /&gt;&lt;chordNote time="53.096" string="1" fret="2" leftHand="2" /&gt;&lt;chordNote time="53.096" string="2" fret="2" leftHand="3" /&gt;&lt;/chord&gt;</v>
      </c>
      <c r="D315" s="3">
        <f t="shared" si="28"/>
        <v>53.095999999999997</v>
      </c>
      <c r="E315" s="3">
        <f t="shared" si="29"/>
        <v>42.45</v>
      </c>
      <c r="F315" t="str">
        <f t="shared" si="31"/>
        <v>42.250</v>
      </c>
      <c r="G315" t="s">
        <v>590</v>
      </c>
      <c r="I315" t="str">
        <f t="shared" si="30"/>
        <v>&lt;note time="53.096" string="1" fret="9" /&gt;</v>
      </c>
      <c r="J315" t="str">
        <f t="shared" si="33"/>
        <v>39.250</v>
      </c>
      <c r="K315" t="s">
        <v>1282</v>
      </c>
    </row>
    <row r="316" spans="1:11" x14ac:dyDescent="0.45">
      <c r="A316" t="str">
        <f t="shared" si="27"/>
        <v>&lt;chord time="53.409" chordId="2" &gt;&lt;chordNote time="53.409" string="0" fret="2" leftHand="1" /&gt;&lt;chordNote time="53.409" string="1" fret="4" leftHand="3" /&gt;&lt;chordNote time="53.409" string="2" fret="4" leftHand="4" /&gt;&lt;/chord&gt;</v>
      </c>
      <c r="D316" s="3">
        <f t="shared" si="28"/>
        <v>53.408999999999999</v>
      </c>
      <c r="E316" s="3">
        <f t="shared" si="29"/>
        <v>42.7</v>
      </c>
      <c r="F316" t="str">
        <f t="shared" si="31"/>
        <v>42.500</v>
      </c>
      <c r="G316" t="s">
        <v>591</v>
      </c>
      <c r="I316" t="str">
        <f t="shared" si="30"/>
        <v>&lt;note time="53.409" string="1" fret="9" /&gt;</v>
      </c>
      <c r="J316" t="str">
        <f t="shared" si="33"/>
        <v>39.375</v>
      </c>
      <c r="K316" t="s">
        <v>1283</v>
      </c>
    </row>
    <row r="317" spans="1:11" x14ac:dyDescent="0.45">
      <c r="A317" t="str">
        <f t="shared" si="27"/>
        <v>&lt;chord time="53.722" chordId="2" highDensity="1" &gt;&lt;chordNote time="53.722" string="0" fret="2" leftHand="1" /&gt;&lt;chordNote time="53.722" string="1" fret="4" leftHand="3" /&gt;&lt;chordNote time="53.722" string="2" fret="4" leftHand="4" /&gt;&lt;/chord&gt;</v>
      </c>
      <c r="D317" s="3">
        <f t="shared" si="28"/>
        <v>53.722000000000001</v>
      </c>
      <c r="E317" s="3">
        <f t="shared" si="29"/>
        <v>42.95</v>
      </c>
      <c r="F317" t="str">
        <f t="shared" si="31"/>
        <v>42.750</v>
      </c>
      <c r="G317" t="s">
        <v>592</v>
      </c>
      <c r="I317" t="str">
        <f t="shared" si="30"/>
        <v>&lt;note time="53.722" string="1" fret="9" /&gt;</v>
      </c>
      <c r="J317" t="str">
        <f t="shared" si="33"/>
        <v>39.500</v>
      </c>
      <c r="K317" t="s">
        <v>1284</v>
      </c>
    </row>
    <row r="318" spans="1:11" x14ac:dyDescent="0.45">
      <c r="A318" t="str">
        <f t="shared" si="27"/>
        <v>&lt;chord time="54.035" chordId="3" &gt;&lt;chordNote time="54.035" string="1" fret="4" leftHand="1" /&gt;&lt;chordNote time="54.035" string="2" fret="6" leftHand="3" /&gt;&lt;chordNote time="54.035" string="3" fret="6" leftHand="4" /&gt;&lt;/chord&gt;</v>
      </c>
      <c r="D318" s="3">
        <f t="shared" si="28"/>
        <v>54.034999999999997</v>
      </c>
      <c r="E318" s="3">
        <f t="shared" si="29"/>
        <v>43.2</v>
      </c>
      <c r="F318" t="str">
        <f t="shared" si="31"/>
        <v>43.000</v>
      </c>
      <c r="G318" t="s">
        <v>593</v>
      </c>
      <c r="I318" t="str">
        <f t="shared" si="30"/>
        <v>&lt;note time="54.035" string="1" fret="9" /&gt;</v>
      </c>
      <c r="J318" t="str">
        <f t="shared" si="33"/>
        <v>39.625</v>
      </c>
      <c r="K318" t="s">
        <v>1285</v>
      </c>
    </row>
    <row r="319" spans="1:11" x14ac:dyDescent="0.45">
      <c r="A319" t="str">
        <f t="shared" si="27"/>
        <v>&lt;chord time="55.287" chordId="3" highDensity="1" &gt;&lt;chordNote time="55.287" string="1" fret="4" leftHand="1" /&gt;&lt;chordNote time="55.287" string="2" fret="6" leftHand="3" /&gt;&lt;chordNote time="55.287" string="3" fret="6" leftHand="4" /&gt;&lt;/chord&gt;</v>
      </c>
      <c r="D319" s="3">
        <f t="shared" si="28"/>
        <v>55.286999999999999</v>
      </c>
      <c r="E319" s="3">
        <f t="shared" si="29"/>
        <v>44.2</v>
      </c>
      <c r="F319" t="str">
        <f t="shared" si="31"/>
        <v>44.000</v>
      </c>
      <c r="G319" t="s">
        <v>594</v>
      </c>
      <c r="I319" t="str">
        <f t="shared" si="30"/>
        <v>&lt;note time="55.287" string="1" fret="9" /&gt;</v>
      </c>
      <c r="J319" t="str">
        <f t="shared" si="33"/>
        <v>39.750</v>
      </c>
      <c r="K319" t="s">
        <v>1286</v>
      </c>
    </row>
    <row r="320" spans="1:11" x14ac:dyDescent="0.45">
      <c r="A320" t="str">
        <f t="shared" si="27"/>
        <v>&lt;chord time="55.600" chordId="3" highDensity="1" &gt;&lt;chordNote time="55.600" string="1" fret="4" leftHand="1" /&gt;&lt;chordNote time="55.600" string="2" fret="6" leftHand="3" /&gt;&lt;chordNote time="55.600" string="3" fret="6" leftHand="4" /&gt;&lt;/chord&gt;</v>
      </c>
      <c r="D320" s="3">
        <f t="shared" si="28"/>
        <v>55.6</v>
      </c>
      <c r="E320" s="3">
        <f t="shared" si="29"/>
        <v>44.45</v>
      </c>
      <c r="F320" t="str">
        <f t="shared" si="31"/>
        <v>44.250</v>
      </c>
      <c r="G320" t="s">
        <v>595</v>
      </c>
      <c r="I320" t="str">
        <f t="shared" si="30"/>
        <v>&lt;note time="55.600" string="1" fret="9" /&gt;</v>
      </c>
      <c r="J320" t="str">
        <f t="shared" si="33"/>
        <v>39.875</v>
      </c>
      <c r="K320" t="s">
        <v>1287</v>
      </c>
    </row>
    <row r="321" spans="1:11" x14ac:dyDescent="0.45">
      <c r="A321" t="str">
        <f t="shared" si="27"/>
        <v>&lt;chord time="55.913" chordId="4" &gt;&lt;chordNote time="55.913" string="1" fret="2" leftHand="1" /&gt;&lt;chordNote time="55.913" string="2" fret="4" leftHand="3" /&gt;&lt;chordNote time="55.913" string="3" fret="4" leftHand="4" /&gt;&lt;/chord&gt;</v>
      </c>
      <c r="D321" s="3">
        <f t="shared" si="28"/>
        <v>55.912999999999997</v>
      </c>
      <c r="E321" s="3">
        <f t="shared" si="29"/>
        <v>44.7</v>
      </c>
      <c r="F321" t="str">
        <f t="shared" si="31"/>
        <v>44.500</v>
      </c>
      <c r="G321" t="s">
        <v>596</v>
      </c>
      <c r="I321" t="str">
        <f t="shared" si="30"/>
        <v>&lt;note time="55.913" string="1" fret="4" /&gt;</v>
      </c>
      <c r="J321" t="str">
        <f t="shared" si="33"/>
        <v>40.000</v>
      </c>
      <c r="K321" t="s">
        <v>1288</v>
      </c>
    </row>
    <row r="322" spans="1:11" x14ac:dyDescent="0.45">
      <c r="A322" t="str">
        <f t="shared" ref="A322:A385" si="34">SUBSTITUTE(G322,F322,TEXT(D322,"0.000"))</f>
        <v>&lt;chord time="56.226" chordId="4" highDensity="1" &gt;&lt;chordNote time="56.226" string="1" fret="2" leftHand="1" /&gt;&lt;chordNote time="56.226" string="2" fret="4" leftHand="3" /&gt;&lt;chordNote time="56.226" string="3" fret="4" leftHand="4" /&gt;&lt;/chord&gt;</v>
      </c>
      <c r="D322" s="3">
        <f t="shared" ref="D322:D385" si="35">ROUNDDOWN(E322-($C$3*(E322-$E$1)/100),3)</f>
        <v>56.225999999999999</v>
      </c>
      <c r="E322" s="3">
        <f t="shared" ref="E322:E385" si="36">0.2+F322</f>
        <v>44.95</v>
      </c>
      <c r="F322" t="str">
        <f t="shared" si="31"/>
        <v>44.750</v>
      </c>
      <c r="G322" t="s">
        <v>597</v>
      </c>
      <c r="I322" t="str">
        <f t="shared" ref="I322:I385" si="37">SUBSTITUTE(K322,J322,TEXT(D322,"0.000"))</f>
        <v>&lt;note time="56.226" string="1" fret="4" /&gt;</v>
      </c>
      <c r="J322" t="str">
        <f t="shared" si="33"/>
        <v>40.250</v>
      </c>
      <c r="K322" t="s">
        <v>1289</v>
      </c>
    </row>
    <row r="323" spans="1:11" x14ac:dyDescent="0.45">
      <c r="A323" t="str">
        <f t="shared" si="34"/>
        <v>&lt;chord time="56.539" chordId="5" &gt;&lt;chordNote time="56.539" string="0" fret="0" /&gt;&lt;chordNote time="56.539" string="1" fret="2" leftHand="2" /&gt;&lt;chordNote time="56.539" string="2" fret="2" leftHand="3" /&gt;&lt;/chord&gt;</v>
      </c>
      <c r="D323" s="3">
        <f t="shared" si="35"/>
        <v>56.539000000000001</v>
      </c>
      <c r="E323" s="3">
        <f t="shared" si="36"/>
        <v>45.2</v>
      </c>
      <c r="F323" t="str">
        <f t="shared" si="31"/>
        <v>45.000</v>
      </c>
      <c r="G323" t="s">
        <v>598</v>
      </c>
      <c r="I323" t="str">
        <f t="shared" si="37"/>
        <v>&lt;note time="56.539" string="1" fret="2" /&gt;</v>
      </c>
      <c r="J323" t="str">
        <f t="shared" si="33"/>
        <v>40.500</v>
      </c>
      <c r="K323" t="s">
        <v>1290</v>
      </c>
    </row>
    <row r="324" spans="1:11" x14ac:dyDescent="0.45">
      <c r="A324" t="str">
        <f t="shared" si="34"/>
        <v>&lt;chord time="57.791" chordId="5" highDensity="1" &gt;&lt;chordNote time="57.791" string="0" fret="0" /&gt;&lt;chordNote time="57.791" string="1" fret="2" leftHand="2" /&gt;&lt;chordNote time="57.791" string="2" fret="2" leftHand="3" /&gt;&lt;/chord&gt;</v>
      </c>
      <c r="D324" s="3">
        <f t="shared" si="35"/>
        <v>57.790999999999997</v>
      </c>
      <c r="E324" s="3">
        <f t="shared" si="36"/>
        <v>46.2</v>
      </c>
      <c r="F324" t="str">
        <f t="shared" si="31"/>
        <v>46.000</v>
      </c>
      <c r="G324" t="s">
        <v>599</v>
      </c>
      <c r="I324" t="str">
        <f t="shared" si="37"/>
        <v>&lt;note time="57.791" string="1" fret="2" /&gt;</v>
      </c>
      <c r="J324" t="str">
        <f>RIGHT(LEFT(K324,18),6)</f>
        <v>40.750</v>
      </c>
      <c r="K324" t="s">
        <v>1291</v>
      </c>
    </row>
    <row r="325" spans="1:11" x14ac:dyDescent="0.45">
      <c r="A325" t="str">
        <f t="shared" si="34"/>
        <v>&lt;chord time="58.104" chordId="5" highDensity="1" &gt;&lt;chordNote time="58.104" string="0" fret="0" /&gt;&lt;chordNote time="58.104" string="1" fret="2" leftHand="2" /&gt;&lt;chordNote time="58.104" string="2" fret="2" leftHand="3" /&gt;&lt;/chord&gt;</v>
      </c>
      <c r="D325" s="3">
        <f t="shared" si="35"/>
        <v>58.103999999999999</v>
      </c>
      <c r="E325" s="3">
        <f t="shared" si="36"/>
        <v>46.45</v>
      </c>
      <c r="F325" t="str">
        <f t="shared" ref="F325:F388" si="38">RIGHT(LEFT(G325,19),6)</f>
        <v>46.250</v>
      </c>
      <c r="G325" t="s">
        <v>600</v>
      </c>
      <c r="I325" t="str">
        <f t="shared" si="37"/>
        <v>&lt;note time="58.104" string="0" fret="0" sustain="0.500" /&gt;</v>
      </c>
      <c r="J325" t="str">
        <f t="shared" ref="J325:J326" si="39">RIGHT(LEFT(K325,18),6)</f>
        <v>41.000</v>
      </c>
      <c r="K325" t="s">
        <v>1292</v>
      </c>
    </row>
    <row r="326" spans="1:11" x14ac:dyDescent="0.45">
      <c r="A326" t="str">
        <f t="shared" si="34"/>
        <v>&lt;chord time="58.417" chordId="2" &gt;&lt;chordNote time="58.417" string="0" fret="2" leftHand="1" /&gt;&lt;chordNote time="58.417" string="1" fret="4" leftHand="3" /&gt;&lt;chordNote time="58.417" string="2" fret="4" leftHand="4" /&gt;&lt;/chord&gt;</v>
      </c>
      <c r="D326" s="3">
        <f t="shared" si="35"/>
        <v>58.417000000000002</v>
      </c>
      <c r="E326" s="3">
        <f t="shared" si="36"/>
        <v>46.7</v>
      </c>
      <c r="F326" t="str">
        <f t="shared" si="38"/>
        <v>46.500</v>
      </c>
      <c r="G326" t="s">
        <v>601</v>
      </c>
      <c r="I326" t="str">
        <f t="shared" si="37"/>
        <v>&lt;note time="58.417" string="0" fret="0" /&gt;</v>
      </c>
      <c r="J326" t="str">
        <f t="shared" si="39"/>
        <v>42.000</v>
      </c>
      <c r="K326" t="s">
        <v>1293</v>
      </c>
    </row>
    <row r="327" spans="1:11" x14ac:dyDescent="0.45">
      <c r="A327" t="str">
        <f t="shared" si="34"/>
        <v>&lt;chord time="58.730" chordId="2" highDensity="1" &gt;&lt;chordNote time="58.730" string="0" fret="2" leftHand="1" /&gt;&lt;chordNote time="58.730" string="1" fret="4" leftHand="3" /&gt;&lt;chordNote time="58.730" string="2" fret="4" leftHand="4" /&gt;&lt;/chord&gt;</v>
      </c>
      <c r="D327" s="3">
        <f t="shared" si="35"/>
        <v>58.73</v>
      </c>
      <c r="E327" s="3">
        <f t="shared" si="36"/>
        <v>46.95</v>
      </c>
      <c r="F327" t="str">
        <f t="shared" si="38"/>
        <v>46.750</v>
      </c>
      <c r="G327" t="s">
        <v>602</v>
      </c>
      <c r="I327" t="str">
        <f t="shared" si="37"/>
        <v>&lt;note time="58.730" string="0" fret="0" /&gt;</v>
      </c>
      <c r="J327" t="str">
        <f>RIGHT(LEFT(K327,18),6)</f>
        <v>42.250</v>
      </c>
      <c r="K327" t="s">
        <v>1294</v>
      </c>
    </row>
    <row r="328" spans="1:11" x14ac:dyDescent="0.45">
      <c r="A328" t="str">
        <f t="shared" si="34"/>
        <v>&lt;chord time="59.043" chordId="3" &gt;&lt;chordNote time="59.043" string="1" fret="4" leftHand="1" /&gt;&lt;chordNote time="59.043" string="2" fret="6" leftHand="3" /&gt;&lt;chordNote time="59.043" string="3" fret="6" leftHand="4" /&gt;&lt;/chord&gt;</v>
      </c>
      <c r="D328" s="3">
        <f t="shared" si="35"/>
        <v>59.042999999999999</v>
      </c>
      <c r="E328" s="3">
        <f t="shared" si="36"/>
        <v>47.2</v>
      </c>
      <c r="F328" t="str">
        <f t="shared" si="38"/>
        <v>47.000</v>
      </c>
      <c r="G328" t="s">
        <v>603</v>
      </c>
      <c r="I328" t="str">
        <f t="shared" si="37"/>
        <v>&lt;note time="59.043" string="0" fret="2" /&gt;</v>
      </c>
      <c r="J328" t="str">
        <f t="shared" ref="J328:J346" si="40">RIGHT(LEFT(K328,18),6)</f>
        <v>42.500</v>
      </c>
      <c r="K328" t="s">
        <v>1295</v>
      </c>
    </row>
    <row r="329" spans="1:11" x14ac:dyDescent="0.45">
      <c r="A329" t="str">
        <f t="shared" si="34"/>
        <v>&lt;chord time="60.295" chordId="3" highDensity="1" &gt;&lt;chordNote time="60.295" string="1" fret="4" leftHand="1" /&gt;&lt;chordNote time="60.295" string="2" fret="6" leftHand="3" /&gt;&lt;chordNote time="60.295" string="3" fret="6" leftHand="4" /&gt;&lt;/chord&gt;</v>
      </c>
      <c r="D329" s="3">
        <f t="shared" si="35"/>
        <v>60.295000000000002</v>
      </c>
      <c r="E329" s="3">
        <f t="shared" si="36"/>
        <v>48.2</v>
      </c>
      <c r="F329" t="str">
        <f t="shared" si="38"/>
        <v>48.000</v>
      </c>
      <c r="G329" t="s">
        <v>604</v>
      </c>
      <c r="I329" t="str">
        <f t="shared" si="37"/>
        <v>&lt;note time="60.295" string="0" fret="2" /&gt;</v>
      </c>
      <c r="J329" t="str">
        <f t="shared" si="40"/>
        <v>42.750</v>
      </c>
      <c r="K329" t="s">
        <v>1296</v>
      </c>
    </row>
    <row r="330" spans="1:11" x14ac:dyDescent="0.45">
      <c r="A330" t="str">
        <f t="shared" si="34"/>
        <v>&lt;chord time="60.608" chordId="3" highDensity="1" &gt;&lt;chordNote time="60.608" string="1" fret="4" leftHand="1" /&gt;&lt;chordNote time="60.608" string="2" fret="6" leftHand="3" /&gt;&lt;chordNote time="60.608" string="3" fret="6" leftHand="4" /&gt;&lt;/chord&gt;</v>
      </c>
      <c r="D330" s="3">
        <f t="shared" si="35"/>
        <v>60.607999999999997</v>
      </c>
      <c r="E330" s="3">
        <f t="shared" si="36"/>
        <v>48.45</v>
      </c>
      <c r="F330" t="str">
        <f t="shared" si="38"/>
        <v>48.250</v>
      </c>
      <c r="G330" t="s">
        <v>605</v>
      </c>
      <c r="I330" t="str">
        <f t="shared" si="37"/>
        <v>&lt;note time="60.608" string="1" fret="4" sustain="0.500" /&gt;</v>
      </c>
      <c r="J330" t="str">
        <f t="shared" si="40"/>
        <v>43.000</v>
      </c>
      <c r="K330" t="s">
        <v>1297</v>
      </c>
    </row>
    <row r="331" spans="1:11" x14ac:dyDescent="0.45">
      <c r="A331" t="str">
        <f t="shared" si="34"/>
        <v>&lt;chord time="60.921" chordId="4" &gt;&lt;chordNote time="60.921" string="1" fret="2" leftHand="1" /&gt;&lt;chordNote time="60.921" string="2" fret="4" leftHand="3" /&gt;&lt;chordNote time="60.921" string="3" fret="4" leftHand="4" /&gt;&lt;/chord&gt;</v>
      </c>
      <c r="D331" s="3">
        <f t="shared" si="35"/>
        <v>60.920999999999999</v>
      </c>
      <c r="E331" s="3">
        <f t="shared" si="36"/>
        <v>48.7</v>
      </c>
      <c r="F331" t="str">
        <f t="shared" si="38"/>
        <v>48.500</v>
      </c>
      <c r="G331" t="s">
        <v>606</v>
      </c>
      <c r="I331" t="str">
        <f t="shared" si="37"/>
        <v>&lt;note time="60.921" string="1" fret="4" /&gt;</v>
      </c>
      <c r="J331" t="str">
        <f t="shared" si="40"/>
        <v>44.000</v>
      </c>
      <c r="K331" t="s">
        <v>1298</v>
      </c>
    </row>
    <row r="332" spans="1:11" x14ac:dyDescent="0.45">
      <c r="A332" t="str">
        <f t="shared" si="34"/>
        <v>&lt;chord time="61.234" chordId="4" highDensity="1" &gt;&lt;chordNote time="61.234" string="1" fret="2" leftHand="1" /&gt;&lt;chordNote time="61.234" string="2" fret="4" leftHand="3" /&gt;&lt;chordNote time="61.234" string="3" fret="4" leftHand="4" /&gt;&lt;/chord&gt;</v>
      </c>
      <c r="D332" s="3">
        <f t="shared" si="35"/>
        <v>61.234000000000002</v>
      </c>
      <c r="E332" s="3">
        <f t="shared" si="36"/>
        <v>48.95</v>
      </c>
      <c r="F332" t="str">
        <f t="shared" si="38"/>
        <v>48.750</v>
      </c>
      <c r="G332" t="s">
        <v>607</v>
      </c>
      <c r="I332" t="str">
        <f t="shared" si="37"/>
        <v>&lt;note time="61.234" string="1" fret="4" /&gt;</v>
      </c>
      <c r="J332" t="str">
        <f t="shared" si="40"/>
        <v>44.250</v>
      </c>
      <c r="K332" t="s">
        <v>1299</v>
      </c>
    </row>
    <row r="333" spans="1:11" x14ac:dyDescent="0.45">
      <c r="A333" t="str">
        <f t="shared" si="34"/>
        <v>&lt;chord time="61.547" chordId="5" &gt;&lt;chordNote time="61.547" string="0" fret="0" /&gt;&lt;chordNote time="61.547" string="1" fret="2" leftHand="2" /&gt;&lt;chordNote time="61.547" string="2" fret="2" leftHand="3" /&gt;&lt;/chord&gt;</v>
      </c>
      <c r="D333" s="3">
        <f t="shared" si="35"/>
        <v>61.546999999999997</v>
      </c>
      <c r="E333" s="3">
        <f t="shared" si="36"/>
        <v>49.2</v>
      </c>
      <c r="F333" t="str">
        <f t="shared" si="38"/>
        <v>49.000</v>
      </c>
      <c r="G333" t="s">
        <v>608</v>
      </c>
      <c r="I333" t="str">
        <f t="shared" si="37"/>
        <v>&lt;note time="61.547" string="1" fret="2" /&gt;</v>
      </c>
      <c r="J333" t="str">
        <f t="shared" si="40"/>
        <v>44.500</v>
      </c>
      <c r="K333" t="s">
        <v>1300</v>
      </c>
    </row>
    <row r="334" spans="1:11" x14ac:dyDescent="0.45">
      <c r="A334" t="str">
        <f t="shared" si="34"/>
        <v>&lt;chord time="62.799" chordId="5" highDensity="1" &gt;&lt;chordNote time="62.799" string="0" fret="0" /&gt;&lt;chordNote time="62.799" string="1" fret="2" leftHand="2" /&gt;&lt;chordNote time="62.799" string="2" fret="2" leftHand="3" /&gt;&lt;/chord&gt;</v>
      </c>
      <c r="D334" s="3">
        <f t="shared" si="35"/>
        <v>62.798999999999999</v>
      </c>
      <c r="E334" s="3">
        <f t="shared" si="36"/>
        <v>50.2</v>
      </c>
      <c r="F334" t="str">
        <f t="shared" si="38"/>
        <v>50.000</v>
      </c>
      <c r="G334" t="s">
        <v>609</v>
      </c>
      <c r="I334" t="str">
        <f t="shared" si="37"/>
        <v>&lt;note time="62.799" string="1" fret="2" /&gt;</v>
      </c>
      <c r="J334" t="str">
        <f t="shared" si="40"/>
        <v>44.750</v>
      </c>
      <c r="K334" t="s">
        <v>1301</v>
      </c>
    </row>
    <row r="335" spans="1:11" x14ac:dyDescent="0.45">
      <c r="A335" t="str">
        <f t="shared" si="34"/>
        <v>&lt;chord time="63.112" chordId="5" highDensity="1" &gt;&lt;chordNote time="63.112" string="0" fret="0" /&gt;&lt;chordNote time="63.112" string="1" fret="2" leftHand="2" /&gt;&lt;chordNote time="63.112" string="2" fret="2" leftHand="3" /&gt;&lt;/chord&gt;</v>
      </c>
      <c r="D335" s="3">
        <f t="shared" si="35"/>
        <v>63.112000000000002</v>
      </c>
      <c r="E335" s="3">
        <f t="shared" si="36"/>
        <v>50.45</v>
      </c>
      <c r="F335" t="str">
        <f t="shared" si="38"/>
        <v>50.250</v>
      </c>
      <c r="G335" t="s">
        <v>610</v>
      </c>
      <c r="I335" t="str">
        <f t="shared" si="37"/>
        <v>&lt;note time="63.112" string="0" fret="0" sustain="0.500" /&gt;</v>
      </c>
      <c r="J335" t="str">
        <f t="shared" si="40"/>
        <v>45.000</v>
      </c>
      <c r="K335" t="s">
        <v>1302</v>
      </c>
    </row>
    <row r="336" spans="1:11" x14ac:dyDescent="0.45">
      <c r="A336" t="str">
        <f t="shared" si="34"/>
        <v>&lt;chord time="63.425" chordId="2" &gt;&lt;chordNote time="63.425" string="0" fret="2" leftHand="1" /&gt;&lt;chordNote time="63.425" string="1" fret="4" leftHand="3" /&gt;&lt;chordNote time="63.425" string="2" fret="4" leftHand="4" /&gt;&lt;/chord&gt;</v>
      </c>
      <c r="D336" s="3">
        <f t="shared" si="35"/>
        <v>63.424999999999997</v>
      </c>
      <c r="E336" s="3">
        <f t="shared" si="36"/>
        <v>50.7</v>
      </c>
      <c r="F336" t="str">
        <f t="shared" si="38"/>
        <v>50.500</v>
      </c>
      <c r="G336" t="s">
        <v>611</v>
      </c>
      <c r="I336" t="str">
        <f t="shared" si="37"/>
        <v>&lt;note time="63.425" string="0" fret="0" /&gt;</v>
      </c>
      <c r="J336" t="str">
        <f t="shared" si="40"/>
        <v>46.000</v>
      </c>
      <c r="K336" t="s">
        <v>1303</v>
      </c>
    </row>
    <row r="337" spans="1:11" x14ac:dyDescent="0.45">
      <c r="A337" t="str">
        <f t="shared" si="34"/>
        <v>&lt;chord time="63.738" chordId="2" highDensity="1" &gt;&lt;chordNote time="63.738" string="0" fret="2" leftHand="1" /&gt;&lt;chordNote time="63.738" string="1" fret="4" leftHand="3" /&gt;&lt;chordNote time="63.738" string="2" fret="4" leftHand="4" /&gt;&lt;/chord&gt;</v>
      </c>
      <c r="D337" s="3">
        <f t="shared" si="35"/>
        <v>63.738</v>
      </c>
      <c r="E337" s="3">
        <f t="shared" si="36"/>
        <v>50.95</v>
      </c>
      <c r="F337" t="str">
        <f t="shared" si="38"/>
        <v>50.750</v>
      </c>
      <c r="G337" t="s">
        <v>612</v>
      </c>
      <c r="I337" t="str">
        <f t="shared" si="37"/>
        <v>&lt;note time="63.738" string="0" fret="0" /&gt;</v>
      </c>
      <c r="J337" t="str">
        <f t="shared" si="40"/>
        <v>46.250</v>
      </c>
      <c r="K337" t="s">
        <v>1304</v>
      </c>
    </row>
    <row r="338" spans="1:11" x14ac:dyDescent="0.45">
      <c r="A338" t="str">
        <f t="shared" si="34"/>
        <v>&lt;chord time="64.051" chordId="3" &gt;&lt;chordNote time="64.051" string="1" fret="4" leftHand="1" /&gt;&lt;chordNote time="64.051" string="2" fret="6" leftHand="3" /&gt;&lt;chordNote time="64.051" string="3" fret="6" leftHand="4" /&gt;&lt;/chord&gt;</v>
      </c>
      <c r="D338" s="3">
        <f t="shared" si="35"/>
        <v>64.051000000000002</v>
      </c>
      <c r="E338" s="3">
        <f t="shared" si="36"/>
        <v>51.2</v>
      </c>
      <c r="F338" t="str">
        <f t="shared" si="38"/>
        <v>51.000</v>
      </c>
      <c r="G338" t="s">
        <v>613</v>
      </c>
      <c r="I338" t="str">
        <f t="shared" si="37"/>
        <v>&lt;note time="64.051" string="0" fret="2" /&gt;</v>
      </c>
      <c r="J338" t="str">
        <f t="shared" si="40"/>
        <v>46.500</v>
      </c>
      <c r="K338" t="s">
        <v>1305</v>
      </c>
    </row>
    <row r="339" spans="1:11" x14ac:dyDescent="0.45">
      <c r="A339" t="str">
        <f t="shared" si="34"/>
        <v>&lt;chord time="65.303" chordId="3" highDensity="1" &gt;&lt;chordNote time="65.303" string="1" fret="4" leftHand="1" /&gt;&lt;chordNote time="65.303" string="2" fret="6" leftHand="3" /&gt;&lt;chordNote time="65.303" string="3" fret="6" leftHand="4" /&gt;&lt;/chord&gt;</v>
      </c>
      <c r="D339" s="3">
        <f t="shared" si="35"/>
        <v>65.302999999999997</v>
      </c>
      <c r="E339" s="3">
        <f t="shared" si="36"/>
        <v>52.2</v>
      </c>
      <c r="F339" t="str">
        <f t="shared" si="38"/>
        <v>52.000</v>
      </c>
      <c r="G339" t="s">
        <v>614</v>
      </c>
      <c r="I339" t="str">
        <f t="shared" si="37"/>
        <v>&lt;note time="65.303" string="0" fret="2" /&gt;</v>
      </c>
      <c r="J339" t="str">
        <f t="shared" si="40"/>
        <v>46.750</v>
      </c>
      <c r="K339" t="s">
        <v>1306</v>
      </c>
    </row>
    <row r="340" spans="1:11" x14ac:dyDescent="0.45">
      <c r="A340" t="str">
        <f t="shared" si="34"/>
        <v>&lt;chord time="65.616" chordId="3" highDensity="1" &gt;&lt;chordNote time="65.616" string="1" fret="4" leftHand="1" /&gt;&lt;chordNote time="65.616" string="2" fret="6" leftHand="3" /&gt;&lt;chordNote time="65.616" string="3" fret="6" leftHand="4" /&gt;&lt;/chord&gt;</v>
      </c>
      <c r="D340" s="3">
        <f t="shared" si="35"/>
        <v>65.616</v>
      </c>
      <c r="E340" s="3">
        <f t="shared" si="36"/>
        <v>52.45</v>
      </c>
      <c r="F340" t="str">
        <f t="shared" si="38"/>
        <v>52.250</v>
      </c>
      <c r="G340" t="s">
        <v>615</v>
      </c>
      <c r="I340" t="str">
        <f t="shared" si="37"/>
        <v>&lt;note time="65.616" string="1" fret="4" sustain="0.500" /&gt;</v>
      </c>
      <c r="J340" t="str">
        <f t="shared" si="40"/>
        <v>47.000</v>
      </c>
      <c r="K340" t="s">
        <v>1307</v>
      </c>
    </row>
    <row r="341" spans="1:11" x14ac:dyDescent="0.45">
      <c r="A341" t="str">
        <f t="shared" si="34"/>
        <v>&lt;chord time="65.929" chordId="4" &gt;&lt;chordNote time="65.929" string="1" fret="2" leftHand="1" /&gt;&lt;chordNote time="65.929" string="2" fret="4" leftHand="3" /&gt;&lt;chordNote time="65.929" string="3" fret="4" leftHand="4" /&gt;&lt;/chord&gt;</v>
      </c>
      <c r="D341" s="3">
        <f t="shared" si="35"/>
        <v>65.929000000000002</v>
      </c>
      <c r="E341" s="3">
        <f t="shared" si="36"/>
        <v>52.7</v>
      </c>
      <c r="F341" t="str">
        <f t="shared" si="38"/>
        <v>52.500</v>
      </c>
      <c r="G341" t="s">
        <v>616</v>
      </c>
      <c r="I341" t="str">
        <f t="shared" si="37"/>
        <v>&lt;note time="65.929" string="1" fret="4" /&gt;</v>
      </c>
      <c r="J341" t="str">
        <f t="shared" si="40"/>
        <v>48.000</v>
      </c>
      <c r="K341" t="s">
        <v>1308</v>
      </c>
    </row>
    <row r="342" spans="1:11" x14ac:dyDescent="0.45">
      <c r="A342" t="str">
        <f t="shared" si="34"/>
        <v>&lt;chord time="66.242" chordId="4" highDensity="1" &gt;&lt;chordNote time="66.242" string="1" fret="2" leftHand="1" /&gt;&lt;chordNote time="66.242" string="2" fret="4" leftHand="3" /&gt;&lt;chordNote time="66.242" string="3" fret="4" leftHand="4" /&gt;&lt;/chord&gt;</v>
      </c>
      <c r="D342" s="3">
        <f t="shared" si="35"/>
        <v>66.242000000000004</v>
      </c>
      <c r="E342" s="3">
        <f t="shared" si="36"/>
        <v>52.95</v>
      </c>
      <c r="F342" t="str">
        <f t="shared" si="38"/>
        <v>52.750</v>
      </c>
      <c r="G342" t="s">
        <v>617</v>
      </c>
      <c r="I342" t="str">
        <f t="shared" si="37"/>
        <v>&lt;note time="66.242" string="1" fret="4" /&gt;</v>
      </c>
      <c r="J342" t="str">
        <f t="shared" si="40"/>
        <v>48.250</v>
      </c>
      <c r="K342" t="s">
        <v>1309</v>
      </c>
    </row>
    <row r="343" spans="1:11" x14ac:dyDescent="0.45">
      <c r="A343" t="str">
        <f t="shared" si="34"/>
        <v>&lt;chord time="66.555" chordId="5" &gt;&lt;chordNote time="66.555" string="0" fret="0" /&gt;&lt;chordNote time="66.555" string="1" fret="2" leftHand="2" /&gt;&lt;chordNote time="66.555" string="2" fret="2" leftHand="3" /&gt;&lt;/chord&gt;</v>
      </c>
      <c r="D343" s="3">
        <f t="shared" si="35"/>
        <v>66.555000000000007</v>
      </c>
      <c r="E343" s="3">
        <f t="shared" si="36"/>
        <v>53.2</v>
      </c>
      <c r="F343" t="str">
        <f t="shared" si="38"/>
        <v>53.000</v>
      </c>
      <c r="G343" t="s">
        <v>618</v>
      </c>
      <c r="I343" t="str">
        <f t="shared" si="37"/>
        <v>&lt;note time="66.555" string="1" fret="2" /&gt;</v>
      </c>
      <c r="J343" t="str">
        <f t="shared" si="40"/>
        <v>48.500</v>
      </c>
      <c r="K343" t="s">
        <v>1310</v>
      </c>
    </row>
    <row r="344" spans="1:11" x14ac:dyDescent="0.45">
      <c r="A344" t="str">
        <f t="shared" si="34"/>
        <v>&lt;chord time="67.807" chordId="5" highDensity="1" &gt;&lt;chordNote time="67.807" string="0" fret="0" /&gt;&lt;chordNote time="67.807" string="1" fret="2" leftHand="2" /&gt;&lt;chordNote time="67.807" string="2" fret="2" leftHand="3" /&gt;&lt;/chord&gt;</v>
      </c>
      <c r="D344" s="3">
        <f t="shared" si="35"/>
        <v>67.807000000000002</v>
      </c>
      <c r="E344" s="3">
        <f t="shared" si="36"/>
        <v>54.2</v>
      </c>
      <c r="F344" t="str">
        <f t="shared" si="38"/>
        <v>54.000</v>
      </c>
      <c r="G344" t="s">
        <v>619</v>
      </c>
      <c r="I344" t="str">
        <f t="shared" si="37"/>
        <v>&lt;note time="67.807" string="1" fret="2" /&gt;</v>
      </c>
      <c r="J344" t="str">
        <f t="shared" si="40"/>
        <v>48.750</v>
      </c>
      <c r="K344" t="s">
        <v>1311</v>
      </c>
    </row>
    <row r="345" spans="1:11" x14ac:dyDescent="0.45">
      <c r="A345" t="str">
        <f t="shared" si="34"/>
        <v>&lt;chord time="68.120" chordId="5" highDensity="1" &gt;&lt;chordNote time="68.120" string="0" fret="0" /&gt;&lt;chordNote time="68.120" string="1" fret="2" leftHand="2" /&gt;&lt;chordNote time="68.120" string="2" fret="2" leftHand="3" /&gt;&lt;/chord&gt;</v>
      </c>
      <c r="D345" s="3">
        <f t="shared" si="35"/>
        <v>68.12</v>
      </c>
      <c r="E345" s="3">
        <f t="shared" si="36"/>
        <v>54.45</v>
      </c>
      <c r="F345" t="str">
        <f t="shared" si="38"/>
        <v>54.250</v>
      </c>
      <c r="G345" t="s">
        <v>620</v>
      </c>
      <c r="I345" t="str">
        <f t="shared" si="37"/>
        <v>&lt;note time="68.120" string="0" fret="0" sustain="0.500" /&gt;</v>
      </c>
      <c r="J345" t="str">
        <f t="shared" si="40"/>
        <v>49.000</v>
      </c>
      <c r="K345" t="s">
        <v>1312</v>
      </c>
    </row>
    <row r="346" spans="1:11" x14ac:dyDescent="0.45">
      <c r="A346" t="str">
        <f t="shared" si="34"/>
        <v>&lt;chord time="68.433" chordId="2" &gt;&lt;chordNote time="68.433" string="0" fret="2" leftHand="1" /&gt;&lt;chordNote time="68.433" string="1" fret="4" leftHand="3" /&gt;&lt;chordNote time="68.433" string="2" fret="4" leftHand="4" /&gt;&lt;/chord&gt;</v>
      </c>
      <c r="D346" s="3">
        <f t="shared" si="35"/>
        <v>68.433000000000007</v>
      </c>
      <c r="E346" s="3">
        <f t="shared" si="36"/>
        <v>54.7</v>
      </c>
      <c r="F346" t="str">
        <f t="shared" si="38"/>
        <v>54.500</v>
      </c>
      <c r="G346" t="s">
        <v>621</v>
      </c>
      <c r="I346" t="str">
        <f t="shared" si="37"/>
        <v>&lt;note time="68.433" string="0" fret="0" /&gt;</v>
      </c>
      <c r="J346" t="str">
        <f t="shared" si="40"/>
        <v>50.000</v>
      </c>
      <c r="K346" t="s">
        <v>1313</v>
      </c>
    </row>
    <row r="347" spans="1:11" x14ac:dyDescent="0.45">
      <c r="A347" t="str">
        <f t="shared" si="34"/>
        <v>&lt;chord time="68.746" chordId="2" highDensity="1" &gt;&lt;chordNote time="68.746" string="0" fret="2" leftHand="1" /&gt;&lt;chordNote time="68.746" string="1" fret="4" leftHand="3" /&gt;&lt;chordNote time="68.746" string="2" fret="4" leftHand="4" /&gt;&lt;/chord&gt;</v>
      </c>
      <c r="D347" s="3">
        <f t="shared" si="35"/>
        <v>68.745999999999995</v>
      </c>
      <c r="E347" s="3">
        <f t="shared" si="36"/>
        <v>54.95</v>
      </c>
      <c r="F347" t="str">
        <f t="shared" si="38"/>
        <v>54.750</v>
      </c>
      <c r="G347" t="s">
        <v>622</v>
      </c>
      <c r="I347" t="str">
        <f t="shared" si="37"/>
        <v>&lt;note time="68.746" string="0" fret="0" /&gt;</v>
      </c>
      <c r="J347" t="str">
        <f>RIGHT(LEFT(K347,18),6)</f>
        <v>50.250</v>
      </c>
      <c r="K347" t="s">
        <v>1314</v>
      </c>
    </row>
    <row r="348" spans="1:11" x14ac:dyDescent="0.45">
      <c r="A348" t="str">
        <f t="shared" si="34"/>
        <v>&lt;chord time="69.059" chordId="3" &gt;&lt;chordNote time="69.059" string="1" fret="4" leftHand="1" /&gt;&lt;chordNote time="69.059" string="2" fret="6" leftHand="3" /&gt;&lt;chordNote time="69.059" string="3" fret="6" leftHand="4" /&gt;&lt;/chord&gt;</v>
      </c>
      <c r="D348" s="3">
        <f t="shared" si="35"/>
        <v>69.058999999999997</v>
      </c>
      <c r="E348" s="3">
        <f t="shared" si="36"/>
        <v>55.2</v>
      </c>
      <c r="F348" t="str">
        <f t="shared" si="38"/>
        <v>55.000</v>
      </c>
      <c r="G348" t="s">
        <v>623</v>
      </c>
      <c r="I348" t="str">
        <f t="shared" si="37"/>
        <v>&lt;note time="69.059" string="0" fret="2" /&gt;</v>
      </c>
      <c r="J348" t="str">
        <f t="shared" ref="J348:J350" si="41">RIGHT(LEFT(K348,18),6)</f>
        <v>50.500</v>
      </c>
      <c r="K348" t="s">
        <v>1315</v>
      </c>
    </row>
    <row r="349" spans="1:11" x14ac:dyDescent="0.45">
      <c r="A349" t="str">
        <f t="shared" si="34"/>
        <v>&lt;note time="70.311" string="3" fret="6" /&gt;</v>
      </c>
      <c r="D349" s="3">
        <f t="shared" si="35"/>
        <v>70.311000000000007</v>
      </c>
      <c r="E349" s="3">
        <f t="shared" si="36"/>
        <v>56.2</v>
      </c>
      <c r="F349" t="str">
        <f t="shared" ref="F349:F380" si="42">RIGHT(LEFT(G349,18),6)</f>
        <v>56.000</v>
      </c>
      <c r="G349" t="s">
        <v>56</v>
      </c>
      <c r="I349" t="str">
        <f t="shared" si="37"/>
        <v>&lt;note time="70.311" string="0" fret="2" /&gt;</v>
      </c>
      <c r="J349" t="str">
        <f t="shared" si="41"/>
        <v>50.750</v>
      </c>
      <c r="K349" t="s">
        <v>1316</v>
      </c>
    </row>
    <row r="350" spans="1:11" s="1" customFormat="1" x14ac:dyDescent="0.45">
      <c r="A350" t="str">
        <f t="shared" si="34"/>
        <v>&lt;note time="70.467" string="3" fret="4" /&gt;</v>
      </c>
      <c r="B350"/>
      <c r="C350"/>
      <c r="D350" s="3">
        <f t="shared" si="35"/>
        <v>70.466999999999999</v>
      </c>
      <c r="E350" s="3">
        <f t="shared" si="36"/>
        <v>56.325000000000003</v>
      </c>
      <c r="F350" t="str">
        <f t="shared" si="42"/>
        <v>56.125</v>
      </c>
      <c r="G350" t="s">
        <v>57</v>
      </c>
      <c r="I350" t="str">
        <f t="shared" si="37"/>
        <v>&lt;note time="70.467" string="1" fret="4" sustain="0.500" /&gt;</v>
      </c>
      <c r="J350" t="str">
        <f t="shared" si="41"/>
        <v>51.000</v>
      </c>
      <c r="K350" s="1" t="s">
        <v>1317</v>
      </c>
    </row>
    <row r="351" spans="1:11" x14ac:dyDescent="0.45">
      <c r="A351" t="str">
        <f t="shared" si="34"/>
        <v>&lt;note time="70.624" string="2" fret="6" /&gt;</v>
      </c>
      <c r="D351" s="3">
        <f t="shared" si="35"/>
        <v>70.623999999999995</v>
      </c>
      <c r="E351" s="3">
        <f t="shared" si="36"/>
        <v>56.45</v>
      </c>
      <c r="F351" t="str">
        <f t="shared" si="42"/>
        <v>56.250</v>
      </c>
      <c r="G351" t="s">
        <v>58</v>
      </c>
      <c r="I351" t="str">
        <f t="shared" si="37"/>
        <v>&lt;note time="70.624" string="1" fret="4" /&gt;</v>
      </c>
      <c r="J351" t="str">
        <f>RIGHT(LEFT(K351,18),6)</f>
        <v>52.000</v>
      </c>
      <c r="K351" t="s">
        <v>1318</v>
      </c>
    </row>
    <row r="352" spans="1:11" x14ac:dyDescent="0.45">
      <c r="A352" t="str">
        <f t="shared" si="34"/>
        <v>&lt;note time="70.780" string="2" fret="4" /&gt;</v>
      </c>
      <c r="D352" s="3">
        <f t="shared" si="35"/>
        <v>70.78</v>
      </c>
      <c r="E352" s="3">
        <f t="shared" si="36"/>
        <v>56.575000000000003</v>
      </c>
      <c r="F352" t="str">
        <f t="shared" si="42"/>
        <v>56.375</v>
      </c>
      <c r="G352" t="s">
        <v>59</v>
      </c>
      <c r="I352" t="str">
        <f t="shared" si="37"/>
        <v>&lt;note time="70.780" string="1" fret="4" /&gt;</v>
      </c>
      <c r="J352" t="str">
        <f>RIGHT(LEFT(K352,18),6)</f>
        <v>52.250</v>
      </c>
      <c r="K352" t="s">
        <v>1319</v>
      </c>
    </row>
    <row r="353" spans="1:11" x14ac:dyDescent="0.45">
      <c r="A353" t="str">
        <f t="shared" si="34"/>
        <v>&lt;note time="70.937" string="1" fret="6" palmMute="1" /&gt;</v>
      </c>
      <c r="D353" s="3">
        <f t="shared" si="35"/>
        <v>70.936999999999998</v>
      </c>
      <c r="E353" s="3">
        <f t="shared" si="36"/>
        <v>56.7</v>
      </c>
      <c r="F353" t="str">
        <f t="shared" si="42"/>
        <v>56.500</v>
      </c>
      <c r="G353" t="s">
        <v>60</v>
      </c>
      <c r="I353" t="str">
        <f t="shared" si="37"/>
        <v>&lt;note time="70.937" string="1" fret="2" /&gt;</v>
      </c>
      <c r="J353" t="str">
        <f t="shared" ref="J353" si="43">RIGHT(LEFT(K353,18),6)</f>
        <v>52.500</v>
      </c>
      <c r="K353" t="s">
        <v>1320</v>
      </c>
    </row>
    <row r="354" spans="1:11" x14ac:dyDescent="0.45">
      <c r="A354" t="str">
        <f t="shared" si="34"/>
        <v>&lt;note time="71.093" string="1" fret="7" palmMute="1" /&gt;</v>
      </c>
      <c r="D354" s="3">
        <f t="shared" si="35"/>
        <v>71.093000000000004</v>
      </c>
      <c r="E354" s="3">
        <f t="shared" si="36"/>
        <v>56.825000000000003</v>
      </c>
      <c r="F354" t="str">
        <f t="shared" si="42"/>
        <v>56.625</v>
      </c>
      <c r="G354" t="s">
        <v>61</v>
      </c>
      <c r="I354" t="str">
        <f t="shared" si="37"/>
        <v>&lt;note time="71.093" string="1" fret="2" /&gt;</v>
      </c>
      <c r="J354" t="str">
        <f>RIGHT(LEFT(K354,18),6)</f>
        <v>52.750</v>
      </c>
      <c r="K354" t="s">
        <v>1321</v>
      </c>
    </row>
    <row r="355" spans="1:11" x14ac:dyDescent="0.45">
      <c r="A355" t="str">
        <f t="shared" si="34"/>
        <v>&lt;note time="71.250" string="1" fret="6" palmMute="1" /&gt;</v>
      </c>
      <c r="D355" s="3">
        <f t="shared" si="35"/>
        <v>71.25</v>
      </c>
      <c r="E355" s="3">
        <f t="shared" si="36"/>
        <v>56.95</v>
      </c>
      <c r="F355" t="str">
        <f t="shared" si="42"/>
        <v>56.750</v>
      </c>
      <c r="G355" t="s">
        <v>62</v>
      </c>
      <c r="I355" t="str">
        <f t="shared" si="37"/>
        <v>&lt;note time="71.250" string="0" fret="0" sustain="0.500" /&gt;</v>
      </c>
      <c r="J355" t="str">
        <f>RIGHT(LEFT(K355,18),6)</f>
        <v>53.000</v>
      </c>
      <c r="K355" t="s">
        <v>1322</v>
      </c>
    </row>
    <row r="356" spans="1:11" x14ac:dyDescent="0.45">
      <c r="A356" t="str">
        <f t="shared" si="34"/>
        <v>&lt;note time="71.406" string="0" fret="7" palmMute="1" /&gt;</v>
      </c>
      <c r="D356" s="3">
        <f t="shared" si="35"/>
        <v>71.406000000000006</v>
      </c>
      <c r="E356" s="3">
        <f t="shared" si="36"/>
        <v>57.075000000000003</v>
      </c>
      <c r="F356" t="str">
        <f t="shared" si="42"/>
        <v>56.875</v>
      </c>
      <c r="G356" t="s">
        <v>63</v>
      </c>
      <c r="I356" t="str">
        <f t="shared" si="37"/>
        <v>&lt;note time="71.406" string="0" fret="0" /&gt;</v>
      </c>
      <c r="J356" t="str">
        <f t="shared" ref="J356:J419" si="44">RIGHT(LEFT(K356,18),6)</f>
        <v>54.000</v>
      </c>
      <c r="K356" t="s">
        <v>1323</v>
      </c>
    </row>
    <row r="357" spans="1:11" x14ac:dyDescent="0.45">
      <c r="A357" t="str">
        <f t="shared" si="34"/>
        <v>&lt;note time="71.563" string="1" fret="4" palmMute="1" /&gt;</v>
      </c>
      <c r="D357" s="3">
        <f t="shared" si="35"/>
        <v>71.563000000000002</v>
      </c>
      <c r="E357" s="3">
        <f t="shared" si="36"/>
        <v>57.2</v>
      </c>
      <c r="F357" t="str">
        <f t="shared" si="42"/>
        <v>57.000</v>
      </c>
      <c r="G357" t="s">
        <v>64</v>
      </c>
      <c r="I357" t="str">
        <f t="shared" si="37"/>
        <v>&lt;note time="71.563" string="0" fret="0" /&gt;</v>
      </c>
      <c r="J357" t="str">
        <f t="shared" si="44"/>
        <v>54.250</v>
      </c>
      <c r="K357" t="s">
        <v>1324</v>
      </c>
    </row>
    <row r="358" spans="1:11" x14ac:dyDescent="0.45">
      <c r="A358" t="str">
        <f t="shared" si="34"/>
        <v>&lt;note time="71.719" string="1" fret="7" palmMute="1" /&gt;</v>
      </c>
      <c r="D358" s="3">
        <f t="shared" si="35"/>
        <v>71.718999999999994</v>
      </c>
      <c r="E358" s="3">
        <f t="shared" si="36"/>
        <v>57.325000000000003</v>
      </c>
      <c r="F358" t="str">
        <f t="shared" si="42"/>
        <v>57.125</v>
      </c>
      <c r="G358" t="s">
        <v>65</v>
      </c>
      <c r="I358" t="str">
        <f t="shared" si="37"/>
        <v>&lt;note time="71.719" string="0" fret="2" /&gt;</v>
      </c>
      <c r="J358" t="str">
        <f t="shared" si="44"/>
        <v>54.500</v>
      </c>
      <c r="K358" t="s">
        <v>1325</v>
      </c>
    </row>
    <row r="359" spans="1:11" x14ac:dyDescent="0.45">
      <c r="A359" t="str">
        <f t="shared" si="34"/>
        <v>&lt;note time="71.876" string="1" fret="4" palmMute="1" /&gt;</v>
      </c>
      <c r="D359" s="3">
        <f t="shared" si="35"/>
        <v>71.876000000000005</v>
      </c>
      <c r="E359" s="3">
        <f t="shared" si="36"/>
        <v>57.45</v>
      </c>
      <c r="F359" t="str">
        <f t="shared" si="42"/>
        <v>57.250</v>
      </c>
      <c r="G359" t="s">
        <v>66</v>
      </c>
      <c r="I359" t="str">
        <f t="shared" si="37"/>
        <v>&lt;note time="71.876" string="0" fret="2" /&gt;</v>
      </c>
      <c r="J359" t="str">
        <f t="shared" si="44"/>
        <v>54.750</v>
      </c>
      <c r="K359" t="s">
        <v>1326</v>
      </c>
    </row>
    <row r="360" spans="1:11" x14ac:dyDescent="0.45">
      <c r="A360" t="str">
        <f t="shared" si="34"/>
        <v>&lt;note time="72.032" string="0" fret="7" palmMute="1" /&gt;</v>
      </c>
      <c r="D360" s="3">
        <f t="shared" si="35"/>
        <v>72.031999999999996</v>
      </c>
      <c r="E360" s="3">
        <f t="shared" si="36"/>
        <v>57.575000000000003</v>
      </c>
      <c r="F360" t="str">
        <f t="shared" si="42"/>
        <v>57.375</v>
      </c>
      <c r="G360" t="s">
        <v>67</v>
      </c>
      <c r="I360" t="str">
        <f t="shared" si="37"/>
        <v>&lt;note time="72.032" string="1" fret="4" sustain="0.500" /&gt;</v>
      </c>
      <c r="J360" t="str">
        <f t="shared" si="44"/>
        <v>55.000</v>
      </c>
      <c r="K360" t="s">
        <v>1327</v>
      </c>
    </row>
    <row r="361" spans="1:11" x14ac:dyDescent="0.45">
      <c r="A361" t="str">
        <f t="shared" si="34"/>
        <v>&lt;note time="72.189" string="1" fret="4" sustain="0.497" vibrato="80" /&gt;</v>
      </c>
      <c r="D361" s="3">
        <f t="shared" si="35"/>
        <v>72.188999999999993</v>
      </c>
      <c r="E361" s="3">
        <f t="shared" si="36"/>
        <v>57.7</v>
      </c>
      <c r="F361" t="str">
        <f t="shared" si="42"/>
        <v>57.500</v>
      </c>
      <c r="G361" t="s">
        <v>68</v>
      </c>
      <c r="I361" t="str">
        <f t="shared" si="37"/>
        <v>&lt;note time="72.189" string="1" fret="4" /&gt;</v>
      </c>
      <c r="J361" t="str">
        <f t="shared" si="44"/>
        <v>56.000</v>
      </c>
      <c r="K361" t="s">
        <v>1328</v>
      </c>
    </row>
    <row r="362" spans="1:11" x14ac:dyDescent="0.45">
      <c r="A362" t="str">
        <f t="shared" si="34"/>
        <v>&lt;note time="72.815" string="3" fret="6" /&gt;</v>
      </c>
      <c r="D362" s="3">
        <f t="shared" si="35"/>
        <v>72.814999999999998</v>
      </c>
      <c r="E362" s="3">
        <f t="shared" si="36"/>
        <v>58.2</v>
      </c>
      <c r="F362" t="str">
        <f t="shared" si="42"/>
        <v>58.000</v>
      </c>
      <c r="G362" t="s">
        <v>69</v>
      </c>
      <c r="I362" t="str">
        <f t="shared" si="37"/>
        <v>&lt;note time="72.815" string="1" fret="4" /&gt;</v>
      </c>
      <c r="J362" t="str">
        <f t="shared" si="44"/>
        <v>56.125</v>
      </c>
      <c r="K362" t="s">
        <v>1329</v>
      </c>
    </row>
    <row r="363" spans="1:11" x14ac:dyDescent="0.45">
      <c r="A363" t="str">
        <f t="shared" si="34"/>
        <v>&lt;note time="72.971" string="3" fret="4" /&gt;</v>
      </c>
      <c r="D363" s="3">
        <f t="shared" si="35"/>
        <v>72.971000000000004</v>
      </c>
      <c r="E363" s="3">
        <f t="shared" si="36"/>
        <v>58.325000000000003</v>
      </c>
      <c r="F363" t="str">
        <f t="shared" si="42"/>
        <v>58.125</v>
      </c>
      <c r="G363" t="s">
        <v>70</v>
      </c>
      <c r="I363" t="str">
        <f t="shared" si="37"/>
        <v>&lt;note time="72.971" string="1" fret="4" /&gt;</v>
      </c>
      <c r="J363" t="str">
        <f t="shared" si="44"/>
        <v>56.250</v>
      </c>
      <c r="K363" t="s">
        <v>1330</v>
      </c>
    </row>
    <row r="364" spans="1:11" x14ac:dyDescent="0.45">
      <c r="A364" t="str">
        <f t="shared" si="34"/>
        <v>&lt;note time="73.128" string="2" fret="6" /&gt;</v>
      </c>
      <c r="D364" s="3">
        <f t="shared" si="35"/>
        <v>73.128</v>
      </c>
      <c r="E364" s="3">
        <f t="shared" si="36"/>
        <v>58.45</v>
      </c>
      <c r="F364" t="str">
        <f t="shared" si="42"/>
        <v>58.250</v>
      </c>
      <c r="G364" t="s">
        <v>71</v>
      </c>
      <c r="I364" t="str">
        <f t="shared" si="37"/>
        <v>&lt;note time="73.128" string="1" fret="4" /&gt;</v>
      </c>
      <c r="J364" t="str">
        <f t="shared" si="44"/>
        <v>56.375</v>
      </c>
      <c r="K364" t="s">
        <v>1331</v>
      </c>
    </row>
    <row r="365" spans="1:11" x14ac:dyDescent="0.45">
      <c r="A365" t="str">
        <f t="shared" si="34"/>
        <v>&lt;note time="73.284" string="2" fret="4" /&gt;</v>
      </c>
      <c r="D365" s="3">
        <f t="shared" si="35"/>
        <v>73.284000000000006</v>
      </c>
      <c r="E365" s="3">
        <f t="shared" si="36"/>
        <v>58.575000000000003</v>
      </c>
      <c r="F365" t="str">
        <f t="shared" si="42"/>
        <v>58.375</v>
      </c>
      <c r="G365" t="s">
        <v>72</v>
      </c>
      <c r="I365" t="str">
        <f t="shared" si="37"/>
        <v>&lt;note time="73.284" string="1" fret="4" /&gt;</v>
      </c>
      <c r="J365" t="str">
        <f t="shared" si="44"/>
        <v>56.500</v>
      </c>
      <c r="K365" t="s">
        <v>1332</v>
      </c>
    </row>
    <row r="366" spans="1:11" x14ac:dyDescent="0.45">
      <c r="A366" t="str">
        <f t="shared" si="34"/>
        <v>&lt;note time="73.441" string="1" fret="6" palmMute="1" /&gt;</v>
      </c>
      <c r="D366" s="3">
        <f t="shared" si="35"/>
        <v>73.441000000000003</v>
      </c>
      <c r="E366" s="3">
        <f t="shared" si="36"/>
        <v>58.7</v>
      </c>
      <c r="F366" t="str">
        <f t="shared" si="42"/>
        <v>58.500</v>
      </c>
      <c r="G366" t="s">
        <v>73</v>
      </c>
      <c r="I366" t="str">
        <f t="shared" si="37"/>
        <v>&lt;note time="73.441" string="1" fret="4" /&gt;</v>
      </c>
      <c r="J366" t="str">
        <f t="shared" si="44"/>
        <v>56.625</v>
      </c>
      <c r="K366" t="s">
        <v>1333</v>
      </c>
    </row>
    <row r="367" spans="1:11" x14ac:dyDescent="0.45">
      <c r="A367" t="str">
        <f t="shared" si="34"/>
        <v>&lt;note time="73.597" string="1" fret="7" palmMute="1" /&gt;</v>
      </c>
      <c r="D367" s="3">
        <f t="shared" si="35"/>
        <v>73.596999999999994</v>
      </c>
      <c r="E367" s="3">
        <f t="shared" si="36"/>
        <v>58.825000000000003</v>
      </c>
      <c r="F367" t="str">
        <f t="shared" si="42"/>
        <v>58.625</v>
      </c>
      <c r="G367" t="s">
        <v>74</v>
      </c>
      <c r="I367" t="str">
        <f t="shared" si="37"/>
        <v>&lt;note time="73.597" string="1" fret="4" /&gt;</v>
      </c>
      <c r="J367" t="str">
        <f t="shared" si="44"/>
        <v>56.750</v>
      </c>
      <c r="K367" t="s">
        <v>1334</v>
      </c>
    </row>
    <row r="368" spans="1:11" x14ac:dyDescent="0.45">
      <c r="A368" t="str">
        <f t="shared" si="34"/>
        <v>&lt;note time="73.754" string="1" fret="6" palmMute="1" /&gt;</v>
      </c>
      <c r="D368" s="3">
        <f t="shared" si="35"/>
        <v>73.754000000000005</v>
      </c>
      <c r="E368" s="3">
        <f t="shared" si="36"/>
        <v>58.95</v>
      </c>
      <c r="F368" t="str">
        <f t="shared" si="42"/>
        <v>58.750</v>
      </c>
      <c r="G368" t="s">
        <v>75</v>
      </c>
      <c r="I368" t="str">
        <f t="shared" si="37"/>
        <v>&lt;note time="73.754" string="1" fret="4" /&gt;</v>
      </c>
      <c r="J368" t="str">
        <f t="shared" si="44"/>
        <v>56.875</v>
      </c>
      <c r="K368" t="s">
        <v>1335</v>
      </c>
    </row>
    <row r="369" spans="1:11" x14ac:dyDescent="0.45">
      <c r="A369" t="str">
        <f t="shared" si="34"/>
        <v>&lt;note time="73.910" string="0" fret="7" palmMute="1" /&gt;</v>
      </c>
      <c r="D369" s="3">
        <f t="shared" si="35"/>
        <v>73.91</v>
      </c>
      <c r="E369" s="3">
        <f t="shared" si="36"/>
        <v>59.075000000000003</v>
      </c>
      <c r="F369" t="str">
        <f t="shared" si="42"/>
        <v>58.875</v>
      </c>
      <c r="G369" t="s">
        <v>76</v>
      </c>
      <c r="I369" t="str">
        <f t="shared" si="37"/>
        <v>&lt;note time="73.910" string="1" fret="4" /&gt;</v>
      </c>
      <c r="J369" t="str">
        <f t="shared" si="44"/>
        <v>57.000</v>
      </c>
      <c r="K369" t="s">
        <v>1336</v>
      </c>
    </row>
    <row r="370" spans="1:11" x14ac:dyDescent="0.45">
      <c r="A370" t="str">
        <f t="shared" si="34"/>
        <v>&lt;note time="74.067" string="1" fret="4" palmMute="1" /&gt;</v>
      </c>
      <c r="D370" s="3">
        <f t="shared" si="35"/>
        <v>74.066999999999993</v>
      </c>
      <c r="E370" s="3">
        <f t="shared" si="36"/>
        <v>59.2</v>
      </c>
      <c r="F370" t="str">
        <f t="shared" si="42"/>
        <v>59.000</v>
      </c>
      <c r="G370" t="s">
        <v>77</v>
      </c>
      <c r="I370" t="str">
        <f t="shared" si="37"/>
        <v>&lt;note time="74.067" string="1" fret="4" /&gt;</v>
      </c>
      <c r="J370" t="str">
        <f t="shared" si="44"/>
        <v>57.125</v>
      </c>
      <c r="K370" t="s">
        <v>1337</v>
      </c>
    </row>
    <row r="371" spans="1:11" x14ac:dyDescent="0.45">
      <c r="A371" t="str">
        <f t="shared" si="34"/>
        <v>&lt;note time="74.223" string="1" fret="7" palmMute="1" /&gt;</v>
      </c>
      <c r="D371" s="3">
        <f t="shared" si="35"/>
        <v>74.222999999999999</v>
      </c>
      <c r="E371" s="3">
        <f t="shared" si="36"/>
        <v>59.325000000000003</v>
      </c>
      <c r="F371" t="str">
        <f t="shared" si="42"/>
        <v>59.125</v>
      </c>
      <c r="G371" t="s">
        <v>78</v>
      </c>
      <c r="I371" t="str">
        <f t="shared" si="37"/>
        <v>&lt;note time="74.223" string="1" fret="4" /&gt;</v>
      </c>
      <c r="J371" t="str">
        <f t="shared" si="44"/>
        <v>57.250</v>
      </c>
      <c r="K371" t="s">
        <v>1338</v>
      </c>
    </row>
    <row r="372" spans="1:11" x14ac:dyDescent="0.45">
      <c r="A372" t="str">
        <f t="shared" si="34"/>
        <v>&lt;note time="74.380" string="1" fret="4" palmMute="1" /&gt;</v>
      </c>
      <c r="D372" s="3">
        <f t="shared" si="35"/>
        <v>74.38</v>
      </c>
      <c r="E372" s="3">
        <f t="shared" si="36"/>
        <v>59.45</v>
      </c>
      <c r="F372" t="str">
        <f t="shared" si="42"/>
        <v>59.250</v>
      </c>
      <c r="G372" t="s">
        <v>79</v>
      </c>
      <c r="I372" t="str">
        <f t="shared" si="37"/>
        <v>&lt;note time="74.380" string="1" fret="4" /&gt;</v>
      </c>
      <c r="J372" t="str">
        <f t="shared" si="44"/>
        <v>57.375</v>
      </c>
      <c r="K372" t="s">
        <v>1339</v>
      </c>
    </row>
    <row r="373" spans="1:11" x14ac:dyDescent="0.45">
      <c r="A373" t="str">
        <f t="shared" si="34"/>
        <v>&lt;note time="74.536" string="0" fret="7" palmMute="1" /&gt;</v>
      </c>
      <c r="D373" s="3">
        <f t="shared" si="35"/>
        <v>74.536000000000001</v>
      </c>
      <c r="E373" s="3">
        <f t="shared" si="36"/>
        <v>59.575000000000003</v>
      </c>
      <c r="F373" t="str">
        <f t="shared" si="42"/>
        <v>59.375</v>
      </c>
      <c r="G373" t="s">
        <v>80</v>
      </c>
      <c r="I373" t="str">
        <f t="shared" si="37"/>
        <v>&lt;note time="74.536" string="1" fret="4" /&gt;</v>
      </c>
      <c r="J373" t="str">
        <f t="shared" si="44"/>
        <v>57.500</v>
      </c>
      <c r="K373" t="s">
        <v>1340</v>
      </c>
    </row>
    <row r="374" spans="1:11" x14ac:dyDescent="0.45">
      <c r="A374" t="str">
        <f t="shared" si="34"/>
        <v>&lt;note time="74.693" string="1" fret="4" sustain="0.497" vibrato="80" /&gt;</v>
      </c>
      <c r="D374" s="3">
        <f t="shared" si="35"/>
        <v>74.692999999999998</v>
      </c>
      <c r="E374" s="3">
        <f t="shared" si="36"/>
        <v>59.7</v>
      </c>
      <c r="F374" t="str">
        <f t="shared" si="42"/>
        <v>59.500</v>
      </c>
      <c r="G374" t="s">
        <v>81</v>
      </c>
      <c r="I374" t="str">
        <f t="shared" si="37"/>
        <v>&lt;note time="74.693" string="0" fret="4" /&gt;</v>
      </c>
      <c r="J374" t="str">
        <f t="shared" si="44"/>
        <v>57.625</v>
      </c>
      <c r="K374" t="s">
        <v>1341</v>
      </c>
    </row>
    <row r="375" spans="1:11" x14ac:dyDescent="0.45">
      <c r="A375" t="str">
        <f t="shared" si="34"/>
        <v>&lt;note time="75.319" string="3" fret="6" /&gt;</v>
      </c>
      <c r="D375" s="3">
        <f t="shared" si="35"/>
        <v>75.319000000000003</v>
      </c>
      <c r="E375" s="3">
        <f t="shared" si="36"/>
        <v>60.2</v>
      </c>
      <c r="F375" t="str">
        <f t="shared" si="42"/>
        <v>60.000</v>
      </c>
      <c r="G375" t="s">
        <v>82</v>
      </c>
      <c r="I375" t="str">
        <f t="shared" si="37"/>
        <v>&lt;note time="75.319" string="0" fret="7" /&gt;</v>
      </c>
      <c r="J375" t="str">
        <f t="shared" si="44"/>
        <v>57.750</v>
      </c>
      <c r="K375" t="s">
        <v>1342</v>
      </c>
    </row>
    <row r="376" spans="1:11" x14ac:dyDescent="0.45">
      <c r="A376" t="str">
        <f t="shared" si="34"/>
        <v>&lt;note time="75.475" string="3" fret="4" /&gt;</v>
      </c>
      <c r="D376" s="3">
        <f t="shared" si="35"/>
        <v>75.474999999999994</v>
      </c>
      <c r="E376" s="3">
        <f t="shared" si="36"/>
        <v>60.325000000000003</v>
      </c>
      <c r="F376" t="str">
        <f t="shared" si="42"/>
        <v>60.125</v>
      </c>
      <c r="G376" t="s">
        <v>83</v>
      </c>
      <c r="I376" t="str">
        <f t="shared" si="37"/>
        <v>&lt;note time="75.475" string="1" fret="4" /&gt;</v>
      </c>
      <c r="J376" t="str">
        <f t="shared" si="44"/>
        <v>57.875</v>
      </c>
      <c r="K376" t="s">
        <v>1343</v>
      </c>
    </row>
    <row r="377" spans="1:11" x14ac:dyDescent="0.45">
      <c r="A377" t="str">
        <f t="shared" si="34"/>
        <v>&lt;note time="75.632" string="2" fret="6" /&gt;</v>
      </c>
      <c r="D377" s="3">
        <f t="shared" si="35"/>
        <v>75.632000000000005</v>
      </c>
      <c r="E377" s="3">
        <f t="shared" si="36"/>
        <v>60.45</v>
      </c>
      <c r="F377" t="str">
        <f t="shared" si="42"/>
        <v>60.250</v>
      </c>
      <c r="G377" t="s">
        <v>84</v>
      </c>
      <c r="I377" t="str">
        <f t="shared" si="37"/>
        <v>&lt;note time="75.632" string="1" fret="4" /&gt;</v>
      </c>
      <c r="J377" t="str">
        <f t="shared" si="44"/>
        <v>58.000</v>
      </c>
      <c r="K377" t="s">
        <v>1344</v>
      </c>
    </row>
    <row r="378" spans="1:11" x14ac:dyDescent="0.45">
      <c r="A378" t="str">
        <f t="shared" si="34"/>
        <v>&lt;note time="75.788" string="2" fret="4" /&gt;</v>
      </c>
      <c r="D378" s="3">
        <f t="shared" si="35"/>
        <v>75.787999999999997</v>
      </c>
      <c r="E378" s="3">
        <f t="shared" si="36"/>
        <v>60.575000000000003</v>
      </c>
      <c r="F378" t="str">
        <f t="shared" si="42"/>
        <v>60.375</v>
      </c>
      <c r="G378" t="s">
        <v>85</v>
      </c>
      <c r="I378" t="str">
        <f t="shared" si="37"/>
        <v>&lt;note time="75.788" string="1" fret="4" /&gt;</v>
      </c>
      <c r="J378" t="str">
        <f t="shared" si="44"/>
        <v>58.125</v>
      </c>
      <c r="K378" t="s">
        <v>1345</v>
      </c>
    </row>
    <row r="379" spans="1:11" x14ac:dyDescent="0.45">
      <c r="A379" t="str">
        <f t="shared" si="34"/>
        <v>&lt;note time="75.945" string="1" fret="6" palmMute="1" /&gt;</v>
      </c>
      <c r="D379" s="3">
        <f t="shared" si="35"/>
        <v>75.944999999999993</v>
      </c>
      <c r="E379" s="3">
        <f t="shared" si="36"/>
        <v>60.7</v>
      </c>
      <c r="F379" t="str">
        <f t="shared" si="42"/>
        <v>60.500</v>
      </c>
      <c r="G379" t="s">
        <v>86</v>
      </c>
      <c r="I379" t="str">
        <f t="shared" si="37"/>
        <v>&lt;note time="75.945" string="1" fret="4" /&gt;</v>
      </c>
      <c r="J379" t="str">
        <f t="shared" si="44"/>
        <v>58.250</v>
      </c>
      <c r="K379" t="s">
        <v>1346</v>
      </c>
    </row>
    <row r="380" spans="1:11" x14ac:dyDescent="0.45">
      <c r="A380" t="str">
        <f t="shared" si="34"/>
        <v>&lt;note time="76.101" string="1" fret="7" palmMute="1" /&gt;</v>
      </c>
      <c r="D380" s="3">
        <f t="shared" si="35"/>
        <v>76.100999999999999</v>
      </c>
      <c r="E380" s="3">
        <f t="shared" si="36"/>
        <v>60.825000000000003</v>
      </c>
      <c r="F380" t="str">
        <f t="shared" si="42"/>
        <v>60.625</v>
      </c>
      <c r="G380" t="s">
        <v>87</v>
      </c>
      <c r="I380" t="str">
        <f t="shared" si="37"/>
        <v>&lt;note time="76.101" string="1" fret="4" /&gt;</v>
      </c>
      <c r="J380" t="str">
        <f t="shared" si="44"/>
        <v>58.375</v>
      </c>
      <c r="K380" t="s">
        <v>1347</v>
      </c>
    </row>
    <row r="381" spans="1:11" x14ac:dyDescent="0.45">
      <c r="A381" t="str">
        <f t="shared" si="34"/>
        <v>&lt;note time="76.258" string="1" fret="6" palmMute="1" /&gt;</v>
      </c>
      <c r="D381" s="3">
        <f t="shared" si="35"/>
        <v>76.257999999999996</v>
      </c>
      <c r="E381" s="3">
        <f t="shared" si="36"/>
        <v>60.95</v>
      </c>
      <c r="F381" t="str">
        <f t="shared" ref="F381:F412" si="45">RIGHT(LEFT(G381,18),6)</f>
        <v>60.750</v>
      </c>
      <c r="G381" t="s">
        <v>88</v>
      </c>
      <c r="I381" t="str">
        <f t="shared" si="37"/>
        <v>&lt;note time="76.258" string="1" fret="4" /&gt;</v>
      </c>
      <c r="J381" t="str">
        <f t="shared" si="44"/>
        <v>58.500</v>
      </c>
      <c r="K381" t="s">
        <v>1348</v>
      </c>
    </row>
    <row r="382" spans="1:11" x14ac:dyDescent="0.45">
      <c r="A382" t="str">
        <f t="shared" si="34"/>
        <v>&lt;note time="76.414" string="0" fret="7" palmMute="1" /&gt;</v>
      </c>
      <c r="D382" s="3">
        <f t="shared" si="35"/>
        <v>76.414000000000001</v>
      </c>
      <c r="E382" s="3">
        <f t="shared" si="36"/>
        <v>61.075000000000003</v>
      </c>
      <c r="F382" t="str">
        <f t="shared" si="45"/>
        <v>60.875</v>
      </c>
      <c r="G382" t="s">
        <v>89</v>
      </c>
      <c r="I382" t="str">
        <f t="shared" si="37"/>
        <v>&lt;note time="76.414" string="1" fret="4" /&gt;</v>
      </c>
      <c r="J382" t="str">
        <f t="shared" si="44"/>
        <v>58.625</v>
      </c>
      <c r="K382" t="s">
        <v>1349</v>
      </c>
    </row>
    <row r="383" spans="1:11" x14ac:dyDescent="0.45">
      <c r="A383" t="str">
        <f t="shared" si="34"/>
        <v>&lt;note time="76.571" string="1" fret="4" palmMute="1" /&gt;</v>
      </c>
      <c r="D383" s="3">
        <f t="shared" si="35"/>
        <v>76.570999999999998</v>
      </c>
      <c r="E383" s="3">
        <f t="shared" si="36"/>
        <v>61.2</v>
      </c>
      <c r="F383" t="str">
        <f t="shared" si="45"/>
        <v>61.000</v>
      </c>
      <c r="G383" t="s">
        <v>90</v>
      </c>
      <c r="I383" t="str">
        <f t="shared" si="37"/>
        <v>&lt;note time="76.571" string="1" fret="4" /&gt;</v>
      </c>
      <c r="J383" t="str">
        <f t="shared" si="44"/>
        <v>58.750</v>
      </c>
      <c r="K383" t="s">
        <v>1350</v>
      </c>
    </row>
    <row r="384" spans="1:11" x14ac:dyDescent="0.45">
      <c r="A384" t="str">
        <f t="shared" si="34"/>
        <v>&lt;note time="76.727" string="1" fret="7" palmMute="1" /&gt;</v>
      </c>
      <c r="D384" s="3">
        <f t="shared" si="35"/>
        <v>76.727000000000004</v>
      </c>
      <c r="E384" s="3">
        <f t="shared" si="36"/>
        <v>61.325000000000003</v>
      </c>
      <c r="F384" t="str">
        <f t="shared" si="45"/>
        <v>61.125</v>
      </c>
      <c r="G384" t="s">
        <v>91</v>
      </c>
      <c r="I384" t="str">
        <f t="shared" si="37"/>
        <v>&lt;note time="76.727" string="1" fret="4" /&gt;</v>
      </c>
      <c r="J384" t="str">
        <f t="shared" si="44"/>
        <v>58.875</v>
      </c>
      <c r="K384" t="s">
        <v>1351</v>
      </c>
    </row>
    <row r="385" spans="1:11" x14ac:dyDescent="0.45">
      <c r="A385" t="str">
        <f t="shared" si="34"/>
        <v>&lt;note time="76.884" string="1" fret="4" palmMute="1" /&gt;</v>
      </c>
      <c r="D385" s="3">
        <f t="shared" si="35"/>
        <v>76.884</v>
      </c>
      <c r="E385" s="3">
        <f t="shared" si="36"/>
        <v>61.45</v>
      </c>
      <c r="F385" t="str">
        <f t="shared" si="45"/>
        <v>61.250</v>
      </c>
      <c r="G385" t="s">
        <v>92</v>
      </c>
      <c r="I385" t="str">
        <f t="shared" si="37"/>
        <v>&lt;note time="76.884" string="1" fret="4" /&gt;</v>
      </c>
      <c r="J385" t="str">
        <f t="shared" si="44"/>
        <v>59.000</v>
      </c>
      <c r="K385" t="s">
        <v>1352</v>
      </c>
    </row>
    <row r="386" spans="1:11" x14ac:dyDescent="0.45">
      <c r="A386" t="str">
        <f t="shared" ref="A386:A400" si="46">SUBSTITUTE(G386,F386,TEXT(D386,"0.000"))</f>
        <v>&lt;note time="77.040" string="0" fret="7" palmMute="1" /&gt;</v>
      </c>
      <c r="D386" s="3">
        <f t="shared" ref="D386:D449" si="47">ROUNDDOWN(E386-($C$3*(E386-$E$1)/100),3)</f>
        <v>77.040000000000006</v>
      </c>
      <c r="E386" s="3">
        <f t="shared" ref="E386:E449" si="48">0.2+F386</f>
        <v>61.575000000000003</v>
      </c>
      <c r="F386" t="str">
        <f t="shared" si="45"/>
        <v>61.375</v>
      </c>
      <c r="G386" t="s">
        <v>93</v>
      </c>
      <c r="I386" t="str">
        <f t="shared" ref="I386:I449" si="49">SUBSTITUTE(K386,J386,TEXT(D386,"0.000"))</f>
        <v>&lt;note time="77.040" string="1" fret="4" /&gt;</v>
      </c>
      <c r="J386" t="str">
        <f t="shared" si="44"/>
        <v>59.125</v>
      </c>
      <c r="K386" t="s">
        <v>1353</v>
      </c>
    </row>
    <row r="387" spans="1:11" x14ac:dyDescent="0.45">
      <c r="A387" t="str">
        <f t="shared" si="46"/>
        <v>&lt;note time="77.197" string="1" fret="4" sustain="0.497" vibrato="80" /&gt;</v>
      </c>
      <c r="D387" s="3">
        <f t="shared" si="47"/>
        <v>77.197000000000003</v>
      </c>
      <c r="E387" s="3">
        <f t="shared" si="48"/>
        <v>61.7</v>
      </c>
      <c r="F387" t="str">
        <f t="shared" si="45"/>
        <v>61.500</v>
      </c>
      <c r="G387" t="s">
        <v>94</v>
      </c>
      <c r="I387" t="str">
        <f t="shared" si="49"/>
        <v>&lt;note time="77.197" string="1" fret="4" /&gt;</v>
      </c>
      <c r="J387" t="str">
        <f t="shared" si="44"/>
        <v>59.250</v>
      </c>
      <c r="K387" t="s">
        <v>1354</v>
      </c>
    </row>
    <row r="388" spans="1:11" x14ac:dyDescent="0.45">
      <c r="A388" t="str">
        <f t="shared" si="46"/>
        <v>&lt;note time="77.823" string="3" fret="6" /&gt;</v>
      </c>
      <c r="D388" s="3">
        <f t="shared" si="47"/>
        <v>77.822999999999993</v>
      </c>
      <c r="E388" s="3">
        <f t="shared" si="48"/>
        <v>62.2</v>
      </c>
      <c r="F388" t="str">
        <f t="shared" si="45"/>
        <v>62.000</v>
      </c>
      <c r="G388" t="s">
        <v>95</v>
      </c>
      <c r="I388" t="str">
        <f t="shared" si="49"/>
        <v>&lt;note time="77.823" string="1" fret="4" /&gt;</v>
      </c>
      <c r="J388" t="str">
        <f t="shared" si="44"/>
        <v>59.375</v>
      </c>
      <c r="K388" t="s">
        <v>1355</v>
      </c>
    </row>
    <row r="389" spans="1:11" x14ac:dyDescent="0.45">
      <c r="A389" t="str">
        <f t="shared" si="46"/>
        <v>&lt;note time="77.979" string="3" fret="4" /&gt;</v>
      </c>
      <c r="D389" s="3">
        <f t="shared" si="47"/>
        <v>77.978999999999999</v>
      </c>
      <c r="E389" s="3">
        <f t="shared" si="48"/>
        <v>62.325000000000003</v>
      </c>
      <c r="F389" t="str">
        <f t="shared" si="45"/>
        <v>62.125</v>
      </c>
      <c r="G389" t="s">
        <v>96</v>
      </c>
      <c r="I389" t="str">
        <f t="shared" si="49"/>
        <v>&lt;note time="77.979" string="1" fret="4" /&gt;</v>
      </c>
      <c r="J389" t="str">
        <f t="shared" si="44"/>
        <v>59.500</v>
      </c>
      <c r="K389" t="s">
        <v>1356</v>
      </c>
    </row>
    <row r="390" spans="1:11" x14ac:dyDescent="0.45">
      <c r="A390" t="str">
        <f t="shared" si="46"/>
        <v>&lt;note time="78.136" string="2" fret="6" /&gt;</v>
      </c>
      <c r="D390" s="3">
        <f t="shared" si="47"/>
        <v>78.135999999999996</v>
      </c>
      <c r="E390" s="3">
        <f t="shared" si="48"/>
        <v>62.45</v>
      </c>
      <c r="F390" t="str">
        <f t="shared" si="45"/>
        <v>62.250</v>
      </c>
      <c r="G390" t="s">
        <v>97</v>
      </c>
      <c r="I390" t="str">
        <f t="shared" si="49"/>
        <v>&lt;note time="78.136" string="0" fret="4" /&gt;</v>
      </c>
      <c r="J390" t="str">
        <f t="shared" si="44"/>
        <v>59.625</v>
      </c>
      <c r="K390" t="s">
        <v>1357</v>
      </c>
    </row>
    <row r="391" spans="1:11" x14ac:dyDescent="0.45">
      <c r="A391" t="str">
        <f t="shared" si="46"/>
        <v>&lt;note time="78.292" string="2" fret="4" /&gt;</v>
      </c>
      <c r="D391" s="3">
        <f t="shared" si="47"/>
        <v>78.292000000000002</v>
      </c>
      <c r="E391" s="3">
        <f t="shared" si="48"/>
        <v>62.575000000000003</v>
      </c>
      <c r="F391" t="str">
        <f t="shared" si="45"/>
        <v>62.375</v>
      </c>
      <c r="G391" t="s">
        <v>98</v>
      </c>
      <c r="I391" t="str">
        <f t="shared" si="49"/>
        <v>&lt;note time="78.292" string="0" fret="7" /&gt;</v>
      </c>
      <c r="J391" t="str">
        <f t="shared" si="44"/>
        <v>59.750</v>
      </c>
      <c r="K391" t="s">
        <v>1358</v>
      </c>
    </row>
    <row r="392" spans="1:11" x14ac:dyDescent="0.45">
      <c r="A392" t="str">
        <f t="shared" si="46"/>
        <v>&lt;note time="78.449" string="1" fret="6" palmMute="1" /&gt;</v>
      </c>
      <c r="D392" s="3">
        <f t="shared" si="47"/>
        <v>78.448999999999998</v>
      </c>
      <c r="E392" s="3">
        <f t="shared" si="48"/>
        <v>62.7</v>
      </c>
      <c r="F392" t="str">
        <f t="shared" si="45"/>
        <v>62.500</v>
      </c>
      <c r="G392" t="s">
        <v>99</v>
      </c>
      <c r="I392" t="str">
        <f t="shared" si="49"/>
        <v>&lt;note time="78.449" string="1" fret="4" /&gt;</v>
      </c>
      <c r="J392" t="str">
        <f t="shared" si="44"/>
        <v>59.875</v>
      </c>
      <c r="K392" t="s">
        <v>1359</v>
      </c>
    </row>
    <row r="393" spans="1:11" s="1" customFormat="1" x14ac:dyDescent="0.45">
      <c r="A393" t="str">
        <f t="shared" si="46"/>
        <v>&lt;note time="78.605" string="1" fret="7" palmMute="1" /&gt;</v>
      </c>
      <c r="B393"/>
      <c r="C393"/>
      <c r="D393" s="3">
        <f t="shared" si="47"/>
        <v>78.605000000000004</v>
      </c>
      <c r="E393" s="3">
        <f t="shared" si="48"/>
        <v>62.825000000000003</v>
      </c>
      <c r="F393" t="str">
        <f t="shared" si="45"/>
        <v>62.625</v>
      </c>
      <c r="G393" t="s">
        <v>100</v>
      </c>
      <c r="I393" t="str">
        <f t="shared" si="49"/>
        <v>&lt;note time="78.605" string="1" fret="4" /&gt;</v>
      </c>
      <c r="J393" t="str">
        <f t="shared" si="44"/>
        <v>60.000</v>
      </c>
      <c r="K393" s="1" t="s">
        <v>1360</v>
      </c>
    </row>
    <row r="394" spans="1:11" x14ac:dyDescent="0.45">
      <c r="A394" t="str">
        <f t="shared" si="46"/>
        <v>&lt;note time="78.762" string="1" fret="6" palmMute="1" /&gt;</v>
      </c>
      <c r="D394" s="3">
        <f t="shared" si="47"/>
        <v>78.762</v>
      </c>
      <c r="E394" s="3">
        <f t="shared" si="48"/>
        <v>62.95</v>
      </c>
      <c r="F394" t="str">
        <f t="shared" si="45"/>
        <v>62.750</v>
      </c>
      <c r="G394" t="s">
        <v>101</v>
      </c>
      <c r="I394" t="str">
        <f t="shared" si="49"/>
        <v>&lt;note time="78.762" string="1" fret="4" /&gt;</v>
      </c>
      <c r="J394" t="str">
        <f t="shared" si="44"/>
        <v>60.125</v>
      </c>
      <c r="K394" t="s">
        <v>1361</v>
      </c>
    </row>
    <row r="395" spans="1:11" x14ac:dyDescent="0.45">
      <c r="A395" t="str">
        <f t="shared" si="46"/>
        <v>&lt;note time="78.918" string="0" fret="7" palmMute="1" /&gt;</v>
      </c>
      <c r="D395" s="3">
        <f t="shared" si="47"/>
        <v>78.918000000000006</v>
      </c>
      <c r="E395" s="3">
        <f t="shared" si="48"/>
        <v>63.075000000000003</v>
      </c>
      <c r="F395" t="str">
        <f t="shared" si="45"/>
        <v>62.875</v>
      </c>
      <c r="G395" t="s">
        <v>102</v>
      </c>
      <c r="I395" t="str">
        <f t="shared" si="49"/>
        <v>&lt;note time="78.918" string="1" fret="4" /&gt;</v>
      </c>
      <c r="J395" t="str">
        <f t="shared" si="44"/>
        <v>60.250</v>
      </c>
      <c r="K395" t="s">
        <v>1362</v>
      </c>
    </row>
    <row r="396" spans="1:11" x14ac:dyDescent="0.45">
      <c r="A396" t="str">
        <f t="shared" si="46"/>
        <v>&lt;note time="79.075" string="1" fret="4" palmMute="1" /&gt;</v>
      </c>
      <c r="D396" s="3">
        <f t="shared" si="47"/>
        <v>79.075000000000003</v>
      </c>
      <c r="E396" s="3">
        <f t="shared" si="48"/>
        <v>63.2</v>
      </c>
      <c r="F396" t="str">
        <f t="shared" si="45"/>
        <v>63.000</v>
      </c>
      <c r="G396" t="s">
        <v>103</v>
      </c>
      <c r="I396" t="str">
        <f t="shared" si="49"/>
        <v>&lt;note time="79.075" string="1" fret="4" /&gt;</v>
      </c>
      <c r="J396" t="str">
        <f t="shared" si="44"/>
        <v>60.375</v>
      </c>
      <c r="K396" t="s">
        <v>1363</v>
      </c>
    </row>
    <row r="397" spans="1:11" x14ac:dyDescent="0.45">
      <c r="A397" t="str">
        <f t="shared" si="46"/>
        <v>&lt;note time="79.231" string="1" fret="7" palmMute="1" /&gt;</v>
      </c>
      <c r="D397" s="3">
        <f t="shared" si="47"/>
        <v>79.230999999999995</v>
      </c>
      <c r="E397" s="3">
        <f t="shared" si="48"/>
        <v>63.325000000000003</v>
      </c>
      <c r="F397" t="str">
        <f t="shared" si="45"/>
        <v>63.125</v>
      </c>
      <c r="G397" t="s">
        <v>104</v>
      </c>
      <c r="I397" t="str">
        <f t="shared" si="49"/>
        <v>&lt;note time="79.231" string="1" fret="4" /&gt;</v>
      </c>
      <c r="J397" t="str">
        <f t="shared" si="44"/>
        <v>60.500</v>
      </c>
      <c r="K397" t="s">
        <v>1364</v>
      </c>
    </row>
    <row r="398" spans="1:11" x14ac:dyDescent="0.45">
      <c r="A398" t="str">
        <f t="shared" si="46"/>
        <v>&lt;note time="79.388" string="1" fret="4" palmMute="1" /&gt;</v>
      </c>
      <c r="D398" s="3">
        <f t="shared" si="47"/>
        <v>79.388000000000005</v>
      </c>
      <c r="E398" s="3">
        <f t="shared" si="48"/>
        <v>63.45</v>
      </c>
      <c r="F398" t="str">
        <f t="shared" si="45"/>
        <v>63.250</v>
      </c>
      <c r="G398" t="s">
        <v>105</v>
      </c>
      <c r="I398" t="str">
        <f t="shared" si="49"/>
        <v>&lt;note time="79.388" string="1" fret="4" /&gt;</v>
      </c>
      <c r="J398" t="str">
        <f t="shared" si="44"/>
        <v>60.625</v>
      </c>
      <c r="K398" t="s">
        <v>1365</v>
      </c>
    </row>
    <row r="399" spans="1:11" x14ac:dyDescent="0.45">
      <c r="A399" t="str">
        <f t="shared" si="46"/>
        <v>&lt;note time="79.544" string="0" fret="7" palmMute="1" /&gt;</v>
      </c>
      <c r="D399" s="3">
        <f t="shared" si="47"/>
        <v>79.543999999999997</v>
      </c>
      <c r="E399" s="3">
        <f t="shared" si="48"/>
        <v>63.575000000000003</v>
      </c>
      <c r="F399" t="str">
        <f t="shared" si="45"/>
        <v>63.375</v>
      </c>
      <c r="G399" t="s">
        <v>106</v>
      </c>
      <c r="I399" t="str">
        <f t="shared" si="49"/>
        <v>&lt;note time="79.544" string="1" fret="4" /&gt;</v>
      </c>
      <c r="J399" t="str">
        <f t="shared" si="44"/>
        <v>60.750</v>
      </c>
      <c r="K399" t="s">
        <v>1366</v>
      </c>
    </row>
    <row r="400" spans="1:11" x14ac:dyDescent="0.45">
      <c r="A400" t="str">
        <f t="shared" si="46"/>
        <v>&lt;note time="79.701" string="1" fret="4" sustain="0.497" vibrato="80" /&gt;</v>
      </c>
      <c r="D400" s="3">
        <f t="shared" si="47"/>
        <v>79.700999999999993</v>
      </c>
      <c r="E400" s="3">
        <f t="shared" si="48"/>
        <v>63.7</v>
      </c>
      <c r="F400" t="str">
        <f t="shared" si="45"/>
        <v>63.500</v>
      </c>
      <c r="G400" t="s">
        <v>107</v>
      </c>
      <c r="I400" t="str">
        <f t="shared" si="49"/>
        <v>&lt;note time="79.701" string="1" fret="4" /&gt;</v>
      </c>
      <c r="J400" t="str">
        <f t="shared" si="44"/>
        <v>60.875</v>
      </c>
      <c r="K400" t="s">
        <v>1367</v>
      </c>
    </row>
    <row r="401" spans="1:11" x14ac:dyDescent="0.45">
      <c r="A401" t="str">
        <f>SUBSTITUTE(G401,F401,TEXT(D401,"0.000"))</f>
        <v>&lt;chord time="80.327" chordId="3" &gt;&lt;chordNote time="80.327" string="1" fret="4" leftHand="1" /&gt;&lt;chordNote time="80.327" string="2" fret="6" leftHand="3" /&gt;&lt;chordNote time="80.327" string="3" fret="6" leftHand="4" /&gt;&lt;/chord&gt;</v>
      </c>
      <c r="D401" s="3">
        <f t="shared" si="47"/>
        <v>80.326999999999998</v>
      </c>
      <c r="E401" s="3">
        <f t="shared" si="48"/>
        <v>64.2</v>
      </c>
      <c r="F401" t="str">
        <f t="shared" ref="F401:F464" si="50">RIGHT(LEFT(G401,19),6)</f>
        <v>64.000</v>
      </c>
      <c r="G401" t="s">
        <v>624</v>
      </c>
      <c r="I401" t="str">
        <f t="shared" si="49"/>
        <v>&lt;note time="80.327" string="1" fret="4" /&gt;</v>
      </c>
      <c r="J401" t="str">
        <f t="shared" si="44"/>
        <v>61.000</v>
      </c>
      <c r="K401" t="s">
        <v>1368</v>
      </c>
    </row>
    <row r="402" spans="1:11" x14ac:dyDescent="0.45">
      <c r="A402" t="str">
        <f t="shared" ref="A402:A465" si="51">SUBSTITUTE(G402,F402,TEXT(D402,"0.000"))</f>
        <v>&lt;chord time="80.483" chordId="3" highDensity="1" &gt;&lt;chordNote time="80.483" string="1" fret="4" leftHand="1" /&gt;&lt;chordNote time="80.483" string="2" fret="6" leftHand="3" /&gt;&lt;chordNote time="80.483" string="3" fret="6" leftHand="4" /&gt;&lt;/chord&gt;</v>
      </c>
      <c r="D402" s="3">
        <f t="shared" si="47"/>
        <v>80.483000000000004</v>
      </c>
      <c r="E402" s="3">
        <f t="shared" si="48"/>
        <v>64.325000000000003</v>
      </c>
      <c r="F402" t="str">
        <f t="shared" si="50"/>
        <v>64.125</v>
      </c>
      <c r="G402" t="s">
        <v>625</v>
      </c>
      <c r="I402" t="str">
        <f t="shared" si="49"/>
        <v>&lt;note time="80.483" string="1" fret="4" /&gt;</v>
      </c>
      <c r="J402" t="str">
        <f t="shared" si="44"/>
        <v>61.125</v>
      </c>
      <c r="K402" t="s">
        <v>1369</v>
      </c>
    </row>
    <row r="403" spans="1:11" x14ac:dyDescent="0.45">
      <c r="A403" t="str">
        <f t="shared" si="51"/>
        <v>&lt;chord time="80.640" chordId="3" highDensity="1" &gt;&lt;chordNote time="80.640" string="1" fret="4" leftHand="1" /&gt;&lt;chordNote time="80.640" string="2" fret="6" leftHand="3" /&gt;&lt;chordNote time="80.640" string="3" fret="6" leftHand="4" /&gt;&lt;/chord&gt;</v>
      </c>
      <c r="D403" s="3">
        <f t="shared" si="47"/>
        <v>80.64</v>
      </c>
      <c r="E403" s="3">
        <f t="shared" si="48"/>
        <v>64.45</v>
      </c>
      <c r="F403" t="str">
        <f t="shared" si="50"/>
        <v>64.250</v>
      </c>
      <c r="G403" t="s">
        <v>626</v>
      </c>
      <c r="I403" t="str">
        <f t="shared" si="49"/>
        <v>&lt;note time="80.640" string="1" fret="4" /&gt;</v>
      </c>
      <c r="J403" t="str">
        <f t="shared" si="44"/>
        <v>61.250</v>
      </c>
      <c r="K403" t="s">
        <v>1370</v>
      </c>
    </row>
    <row r="404" spans="1:11" x14ac:dyDescent="0.45">
      <c r="A404" t="str">
        <f t="shared" si="51"/>
        <v>&lt;chord time="80.796" chordId="3" highDensity="1" &gt;&lt;chordNote time="80.796" string="1" fret="4" leftHand="1" /&gt;&lt;chordNote time="80.796" string="2" fret="6" leftHand="3" /&gt;&lt;chordNote time="80.796" string="3" fret="6" leftHand="4" /&gt;&lt;/chord&gt;</v>
      </c>
      <c r="D404" s="3">
        <f t="shared" si="47"/>
        <v>80.796000000000006</v>
      </c>
      <c r="E404" s="3">
        <f t="shared" si="48"/>
        <v>64.575000000000003</v>
      </c>
      <c r="F404" t="str">
        <f t="shared" si="50"/>
        <v>64.375</v>
      </c>
      <c r="G404" t="s">
        <v>627</v>
      </c>
      <c r="I404" t="str">
        <f t="shared" si="49"/>
        <v>&lt;note time="80.796" string="1" fret="4" /&gt;</v>
      </c>
      <c r="J404" t="str">
        <f t="shared" si="44"/>
        <v>61.375</v>
      </c>
      <c r="K404" t="s">
        <v>1371</v>
      </c>
    </row>
    <row r="405" spans="1:11" x14ac:dyDescent="0.45">
      <c r="A405" t="str">
        <f t="shared" si="51"/>
        <v>&lt;chord time="80.953" chordId="3" highDensity="1" &gt;&lt;chordNote time="80.953" string="1" fret="4" leftHand="1" /&gt;&lt;chordNote time="80.953" string="2" fret="6" leftHand="3" /&gt;&lt;chordNote time="80.953" string="3" fret="6" leftHand="4" /&gt;&lt;/chord&gt;</v>
      </c>
      <c r="D405" s="3">
        <f t="shared" si="47"/>
        <v>80.953000000000003</v>
      </c>
      <c r="E405" s="3">
        <f t="shared" si="48"/>
        <v>64.7</v>
      </c>
      <c r="F405" t="str">
        <f t="shared" si="50"/>
        <v>64.500</v>
      </c>
      <c r="G405" t="s">
        <v>628</v>
      </c>
      <c r="I405" t="str">
        <f t="shared" si="49"/>
        <v>&lt;note time="80.953" string="1" fret="4" /&gt;</v>
      </c>
      <c r="J405" t="str">
        <f t="shared" si="44"/>
        <v>61.500</v>
      </c>
      <c r="K405" t="s">
        <v>1372</v>
      </c>
    </row>
    <row r="406" spans="1:11" x14ac:dyDescent="0.45">
      <c r="A406" t="str">
        <f t="shared" si="51"/>
        <v>&lt;chord time="81.109" chordId="3" highDensity="1" &gt;&lt;chordNote time="81.109" string="1" fret="4" leftHand="1" /&gt;&lt;chordNote time="81.109" string="2" fret="6" leftHand="3" /&gt;&lt;chordNote time="81.109" string="3" fret="6" leftHand="4" /&gt;&lt;/chord&gt;</v>
      </c>
      <c r="D406" s="3">
        <f t="shared" si="47"/>
        <v>81.108999999999995</v>
      </c>
      <c r="E406" s="3">
        <f t="shared" si="48"/>
        <v>64.825000000000003</v>
      </c>
      <c r="F406" t="str">
        <f t="shared" si="50"/>
        <v>64.625</v>
      </c>
      <c r="G406" t="s">
        <v>629</v>
      </c>
      <c r="I406" t="str">
        <f t="shared" si="49"/>
        <v>&lt;note time="81.109" string="0" fret="4" /&gt;</v>
      </c>
      <c r="J406" t="str">
        <f t="shared" si="44"/>
        <v>61.625</v>
      </c>
      <c r="K406" t="s">
        <v>1373</v>
      </c>
    </row>
    <row r="407" spans="1:11" x14ac:dyDescent="0.45">
      <c r="A407" t="str">
        <f t="shared" si="51"/>
        <v>&lt;chord time="81.266" chordId="3" highDensity="1" &gt;&lt;chordNote time="81.266" string="1" fret="4" leftHand="1" /&gt;&lt;chordNote time="81.266" string="2" fret="6" leftHand="3" /&gt;&lt;chordNote time="81.266" string="3" fret="6" leftHand="4" /&gt;&lt;/chord&gt;</v>
      </c>
      <c r="D407" s="3">
        <f t="shared" si="47"/>
        <v>81.266000000000005</v>
      </c>
      <c r="E407" s="3">
        <f t="shared" si="48"/>
        <v>64.95</v>
      </c>
      <c r="F407" t="str">
        <f t="shared" si="50"/>
        <v>64.750</v>
      </c>
      <c r="G407" t="s">
        <v>630</v>
      </c>
      <c r="I407" t="str">
        <f t="shared" si="49"/>
        <v>&lt;note time="81.266" string="0" fret="7" /&gt;</v>
      </c>
      <c r="J407" t="str">
        <f t="shared" si="44"/>
        <v>61.750</v>
      </c>
      <c r="K407" t="s">
        <v>1374</v>
      </c>
    </row>
    <row r="408" spans="1:11" x14ac:dyDescent="0.45">
      <c r="A408" t="str">
        <f t="shared" si="51"/>
        <v>&lt;chord time="81.422" chordId="3" highDensity="1" &gt;&lt;chordNote time="81.422" string="1" fret="4" leftHand="1" /&gt;&lt;chordNote time="81.422" string="2" fret="6" leftHand="3" /&gt;&lt;chordNote time="81.422" string="3" fret="6" leftHand="4" /&gt;&lt;/chord&gt;</v>
      </c>
      <c r="D408" s="3">
        <f t="shared" si="47"/>
        <v>81.421999999999997</v>
      </c>
      <c r="E408" s="3">
        <f t="shared" si="48"/>
        <v>65.075000000000003</v>
      </c>
      <c r="F408" t="str">
        <f t="shared" si="50"/>
        <v>64.875</v>
      </c>
      <c r="G408" t="s">
        <v>631</v>
      </c>
      <c r="I408" t="str">
        <f t="shared" si="49"/>
        <v>&lt;note time="81.422" string="1" fret="4" /&gt;</v>
      </c>
      <c r="J408" t="str">
        <f t="shared" si="44"/>
        <v>61.875</v>
      </c>
      <c r="K408" t="s">
        <v>1375</v>
      </c>
    </row>
    <row r="409" spans="1:11" x14ac:dyDescent="0.45">
      <c r="A409" t="str">
        <f t="shared" si="51"/>
        <v>&lt;chord time="81.579" chordId="3" highDensity="1" &gt;&lt;chordNote time="81.579" string="1" fret="4" leftHand="1" /&gt;&lt;chordNote time="81.579" string="2" fret="6" leftHand="3" /&gt;&lt;chordNote time="81.579" string="3" fret="6" leftHand="4" /&gt;&lt;/chord&gt;</v>
      </c>
      <c r="D409" s="3">
        <f t="shared" si="47"/>
        <v>81.578999999999994</v>
      </c>
      <c r="E409" s="3">
        <f t="shared" si="48"/>
        <v>65.2</v>
      </c>
      <c r="F409" t="str">
        <f t="shared" si="50"/>
        <v>65.000</v>
      </c>
      <c r="G409" t="s">
        <v>632</v>
      </c>
      <c r="I409" t="str">
        <f t="shared" si="49"/>
        <v>&lt;note time="81.579" string="1" fret="4" /&gt;</v>
      </c>
      <c r="J409" t="str">
        <f t="shared" si="44"/>
        <v>62.000</v>
      </c>
      <c r="K409" t="s">
        <v>1376</v>
      </c>
    </row>
    <row r="410" spans="1:11" x14ac:dyDescent="0.45">
      <c r="A410" t="str">
        <f t="shared" si="51"/>
        <v>&lt;chord time="81.735" chordId="3" highDensity="1" &gt;&lt;chordNote time="81.735" string="1" fret="4" leftHand="1" /&gt;&lt;chordNote time="81.735" string="2" fret="6" leftHand="3" /&gt;&lt;chordNote time="81.735" string="3" fret="6" leftHand="4" /&gt;&lt;/chord&gt;</v>
      </c>
      <c r="D410" s="3">
        <f t="shared" si="47"/>
        <v>81.734999999999999</v>
      </c>
      <c r="E410" s="3">
        <f t="shared" si="48"/>
        <v>65.325000000000003</v>
      </c>
      <c r="F410" t="str">
        <f t="shared" si="50"/>
        <v>65.125</v>
      </c>
      <c r="G410" t="s">
        <v>633</v>
      </c>
      <c r="I410" t="str">
        <f t="shared" si="49"/>
        <v>&lt;note time="81.735" string="1" fret="4" /&gt;</v>
      </c>
      <c r="J410" t="str">
        <f t="shared" si="44"/>
        <v>62.125</v>
      </c>
      <c r="K410" t="s">
        <v>1377</v>
      </c>
    </row>
    <row r="411" spans="1:11" x14ac:dyDescent="0.45">
      <c r="A411" t="str">
        <f t="shared" si="51"/>
        <v>&lt;chord time="81.892" chordId="3" highDensity="1" &gt;&lt;chordNote time="81.892" string="1" fret="4" leftHand="1" /&gt;&lt;chordNote time="81.892" string="2" fret="6" leftHand="3" /&gt;&lt;chordNote time="81.892" string="3" fret="6" leftHand="4" /&gt;&lt;/chord&gt;</v>
      </c>
      <c r="D411" s="3">
        <f t="shared" si="47"/>
        <v>81.891999999999996</v>
      </c>
      <c r="E411" s="3">
        <f t="shared" si="48"/>
        <v>65.45</v>
      </c>
      <c r="F411" t="str">
        <f t="shared" si="50"/>
        <v>65.250</v>
      </c>
      <c r="G411" t="s">
        <v>634</v>
      </c>
      <c r="I411" t="str">
        <f t="shared" si="49"/>
        <v>&lt;note time="81.892" string="1" fret="4" /&gt;</v>
      </c>
      <c r="J411" t="str">
        <f t="shared" si="44"/>
        <v>62.250</v>
      </c>
      <c r="K411" t="s">
        <v>1378</v>
      </c>
    </row>
    <row r="412" spans="1:11" x14ac:dyDescent="0.45">
      <c r="A412" t="str">
        <f t="shared" si="51"/>
        <v>&lt;chord time="82.048" chordId="3" highDensity="1" &gt;&lt;chordNote time="82.048" string="1" fret="4" leftHand="1" /&gt;&lt;chordNote time="82.048" string="2" fret="6" leftHand="3" /&gt;&lt;chordNote time="82.048" string="3" fret="6" leftHand="4" /&gt;&lt;/chord&gt;</v>
      </c>
      <c r="D412" s="3">
        <f t="shared" si="47"/>
        <v>82.048000000000002</v>
      </c>
      <c r="E412" s="3">
        <f t="shared" si="48"/>
        <v>65.575000000000003</v>
      </c>
      <c r="F412" t="str">
        <f t="shared" si="50"/>
        <v>65.375</v>
      </c>
      <c r="G412" t="s">
        <v>635</v>
      </c>
      <c r="I412" t="str">
        <f t="shared" si="49"/>
        <v>&lt;note time="82.048" string="1" fret="4" /&gt;</v>
      </c>
      <c r="J412" t="str">
        <f t="shared" si="44"/>
        <v>62.375</v>
      </c>
      <c r="K412" t="s">
        <v>1379</v>
      </c>
    </row>
    <row r="413" spans="1:11" x14ac:dyDescent="0.45">
      <c r="A413" t="str">
        <f t="shared" si="51"/>
        <v>&lt;chord time="82.205" chordId="3" highDensity="1" &gt;&lt;chordNote time="82.205" string="1" fret="4" leftHand="1" /&gt;&lt;chordNote time="82.205" string="2" fret="6" leftHand="3" /&gt;&lt;chordNote time="82.205" string="3" fret="6" leftHand="4" /&gt;&lt;/chord&gt;</v>
      </c>
      <c r="D413" s="3">
        <f t="shared" si="47"/>
        <v>82.204999999999998</v>
      </c>
      <c r="E413" s="3">
        <f t="shared" si="48"/>
        <v>65.7</v>
      </c>
      <c r="F413" t="str">
        <f t="shared" si="50"/>
        <v>65.500</v>
      </c>
      <c r="G413" t="s">
        <v>636</v>
      </c>
      <c r="I413" t="str">
        <f t="shared" si="49"/>
        <v>&lt;note time="82.205" string="1" fret="4" /&gt;</v>
      </c>
      <c r="J413" t="str">
        <f t="shared" si="44"/>
        <v>62.500</v>
      </c>
      <c r="K413" t="s">
        <v>1380</v>
      </c>
    </row>
    <row r="414" spans="1:11" x14ac:dyDescent="0.45">
      <c r="A414" t="str">
        <f t="shared" si="51"/>
        <v>&lt;chord time="82.361" chordId="3" highDensity="1" &gt;&lt;chordNote time="82.361" string="1" fret="4" leftHand="1" /&gt;&lt;chordNote time="82.361" string="2" fret="6" leftHand="3" /&gt;&lt;chordNote time="82.361" string="3" fret="6" leftHand="4" /&gt;&lt;/chord&gt;</v>
      </c>
      <c r="D414" s="3">
        <f t="shared" si="47"/>
        <v>82.361000000000004</v>
      </c>
      <c r="E414" s="3">
        <f t="shared" si="48"/>
        <v>65.825000000000003</v>
      </c>
      <c r="F414" t="str">
        <f t="shared" si="50"/>
        <v>65.625</v>
      </c>
      <c r="G414" t="s">
        <v>637</v>
      </c>
      <c r="I414" t="str">
        <f t="shared" si="49"/>
        <v>&lt;note time="82.361" string="1" fret="4" /&gt;</v>
      </c>
      <c r="J414" t="str">
        <f t="shared" si="44"/>
        <v>62.625</v>
      </c>
      <c r="K414" t="s">
        <v>1381</v>
      </c>
    </row>
    <row r="415" spans="1:11" x14ac:dyDescent="0.45">
      <c r="A415" t="str">
        <f t="shared" si="51"/>
        <v>&lt;chord time="82.518" chordId="3" highDensity="1" &gt;&lt;chordNote time="82.518" string="1" fret="4" leftHand="1" /&gt;&lt;chordNote time="82.518" string="2" fret="6" leftHand="3" /&gt;&lt;chordNote time="82.518" string="3" fret="6" leftHand="4" /&gt;&lt;/chord&gt;</v>
      </c>
      <c r="D415" s="3">
        <f t="shared" si="47"/>
        <v>82.518000000000001</v>
      </c>
      <c r="E415" s="3">
        <f t="shared" si="48"/>
        <v>65.95</v>
      </c>
      <c r="F415" t="str">
        <f t="shared" si="50"/>
        <v>65.750</v>
      </c>
      <c r="G415" t="s">
        <v>638</v>
      </c>
      <c r="I415" t="str">
        <f t="shared" si="49"/>
        <v>&lt;note time="82.518" string="1" fret="4" /&gt;</v>
      </c>
      <c r="J415" t="str">
        <f t="shared" si="44"/>
        <v>62.750</v>
      </c>
      <c r="K415" t="s">
        <v>1382</v>
      </c>
    </row>
    <row r="416" spans="1:11" x14ac:dyDescent="0.45">
      <c r="A416" t="str">
        <f t="shared" si="51"/>
        <v>&lt;chord time="82.674" chordId="3" highDensity="1" &gt;&lt;chordNote time="82.674" string="1" fret="4" leftHand="1" /&gt;&lt;chordNote time="82.674" string="2" fret="6" leftHand="3" /&gt;&lt;chordNote time="82.674" string="3" fret="6" leftHand="4" /&gt;&lt;/chord&gt;</v>
      </c>
      <c r="D416" s="3">
        <f t="shared" si="47"/>
        <v>82.674000000000007</v>
      </c>
      <c r="E416" s="3">
        <f t="shared" si="48"/>
        <v>66.075000000000003</v>
      </c>
      <c r="F416" t="str">
        <f t="shared" si="50"/>
        <v>65.875</v>
      </c>
      <c r="G416" t="s">
        <v>639</v>
      </c>
      <c r="I416" t="str">
        <f t="shared" si="49"/>
        <v>&lt;note time="82.674" string="0" fret="4" /&gt;</v>
      </c>
      <c r="J416" t="str">
        <f t="shared" si="44"/>
        <v>62.875</v>
      </c>
      <c r="K416" t="s">
        <v>1383</v>
      </c>
    </row>
    <row r="417" spans="1:11" x14ac:dyDescent="0.45">
      <c r="A417" t="str">
        <f t="shared" si="51"/>
        <v>&lt;chord time="82.831" chordId="4" &gt;&lt;chordNote time="82.831" string="1" fret="2" leftHand="1" /&gt;&lt;chordNote time="82.831" string="2" fret="4" leftHand="3" /&gt;&lt;chordNote time="82.831" string="3" fret="4" leftHand="4" /&gt;&lt;/chord&gt;</v>
      </c>
      <c r="D417" s="3">
        <f t="shared" si="47"/>
        <v>82.831000000000003</v>
      </c>
      <c r="E417" s="3">
        <f t="shared" si="48"/>
        <v>66.2</v>
      </c>
      <c r="F417" t="str">
        <f t="shared" si="50"/>
        <v>66.000</v>
      </c>
      <c r="G417" t="s">
        <v>640</v>
      </c>
      <c r="I417" t="str">
        <f t="shared" si="49"/>
        <v>&lt;note time="82.831" string="0" fret="7" /&gt;</v>
      </c>
      <c r="J417" t="str">
        <f t="shared" si="44"/>
        <v>63.000</v>
      </c>
      <c r="K417" t="s">
        <v>1384</v>
      </c>
    </row>
    <row r="418" spans="1:11" x14ac:dyDescent="0.45">
      <c r="A418" t="str">
        <f t="shared" si="51"/>
        <v>&lt;chord time="82.987" chordId="4" highDensity="1" &gt;&lt;chordNote time="82.987" string="1" fret="2" leftHand="1" /&gt;&lt;chordNote time="82.987" string="2" fret="4" leftHand="3" /&gt;&lt;chordNote time="82.987" string="3" fret="4" leftHand="4" /&gt;&lt;/chord&gt;</v>
      </c>
      <c r="D418" s="3">
        <f t="shared" si="47"/>
        <v>82.986999999999995</v>
      </c>
      <c r="E418" s="3">
        <f t="shared" si="48"/>
        <v>66.325000000000003</v>
      </c>
      <c r="F418" t="str">
        <f t="shared" si="50"/>
        <v>66.125</v>
      </c>
      <c r="G418" t="s">
        <v>641</v>
      </c>
      <c r="I418" t="str">
        <f t="shared" si="49"/>
        <v>&lt;note time="82.987" string="1" fret="4" /&gt;</v>
      </c>
      <c r="J418" t="str">
        <f t="shared" si="44"/>
        <v>63.125</v>
      </c>
      <c r="K418" t="s">
        <v>1385</v>
      </c>
    </row>
    <row r="419" spans="1:11" x14ac:dyDescent="0.45">
      <c r="A419" t="str">
        <f t="shared" si="51"/>
        <v>&lt;chord time="83.144" chordId="4" highDensity="1" &gt;&lt;chordNote time="83.144" string="1" fret="2" leftHand="1" /&gt;&lt;chordNote time="83.144" string="2" fret="4" leftHand="3" /&gt;&lt;chordNote time="83.144" string="3" fret="4" leftHand="4" /&gt;&lt;/chord&gt;</v>
      </c>
      <c r="D419" s="3">
        <f t="shared" si="47"/>
        <v>83.144000000000005</v>
      </c>
      <c r="E419" s="3">
        <f t="shared" si="48"/>
        <v>66.45</v>
      </c>
      <c r="F419" t="str">
        <f t="shared" si="50"/>
        <v>66.250</v>
      </c>
      <c r="G419" t="s">
        <v>642</v>
      </c>
      <c r="I419" t="str">
        <f t="shared" si="49"/>
        <v>&lt;note time="83.144" string="1" fret="7" /&gt;</v>
      </c>
      <c r="J419" t="str">
        <f t="shared" si="44"/>
        <v>63.250</v>
      </c>
      <c r="K419" t="s">
        <v>1386</v>
      </c>
    </row>
    <row r="420" spans="1:11" x14ac:dyDescent="0.45">
      <c r="A420" t="str">
        <f t="shared" si="51"/>
        <v>&lt;chord time="83.300" chordId="4" highDensity="1" &gt;&lt;chordNote time="83.300" string="1" fret="2" leftHand="1" /&gt;&lt;chordNote time="83.300" string="2" fret="4" leftHand="3" /&gt;&lt;chordNote time="83.300" string="3" fret="4" leftHand="4" /&gt;&lt;/chord&gt;</v>
      </c>
      <c r="D420" s="3">
        <f t="shared" si="47"/>
        <v>83.3</v>
      </c>
      <c r="E420" s="3">
        <f t="shared" si="48"/>
        <v>66.575000000000003</v>
      </c>
      <c r="F420" t="str">
        <f t="shared" si="50"/>
        <v>66.375</v>
      </c>
      <c r="G420" t="s">
        <v>643</v>
      </c>
      <c r="I420" t="str">
        <f t="shared" si="49"/>
        <v>&lt;note time="83.300" string="1" fret="4" /&gt;</v>
      </c>
      <c r="J420" t="str">
        <f t="shared" ref="J420:J483" si="52">RIGHT(LEFT(K420,18),6)</f>
        <v>63.375</v>
      </c>
      <c r="K420" t="s">
        <v>1387</v>
      </c>
    </row>
    <row r="421" spans="1:11" x14ac:dyDescent="0.45">
      <c r="A421" t="str">
        <f t="shared" si="51"/>
        <v>&lt;chord time="83.457" chordId="4" highDensity="1" &gt;&lt;chordNote time="83.457" string="1" fret="2" leftHand="1" /&gt;&lt;chordNote time="83.457" string="2" fret="4" leftHand="3" /&gt;&lt;chordNote time="83.457" string="3" fret="4" leftHand="4" /&gt;&lt;/chord&gt;</v>
      </c>
      <c r="D421" s="3">
        <f t="shared" si="47"/>
        <v>83.456999999999994</v>
      </c>
      <c r="E421" s="3">
        <f t="shared" si="48"/>
        <v>66.7</v>
      </c>
      <c r="F421" t="str">
        <f t="shared" si="50"/>
        <v>66.500</v>
      </c>
      <c r="G421" t="s">
        <v>644</v>
      </c>
      <c r="I421" t="str">
        <f t="shared" si="49"/>
        <v>&lt;note time="83.457" string="2" fret="4" /&gt;</v>
      </c>
      <c r="J421" t="str">
        <f t="shared" si="52"/>
        <v>63.500</v>
      </c>
      <c r="K421" t="s">
        <v>1388</v>
      </c>
    </row>
    <row r="422" spans="1:11" x14ac:dyDescent="0.45">
      <c r="A422" t="str">
        <f t="shared" si="51"/>
        <v>&lt;chord time="83.613" chordId="4" highDensity="1" &gt;&lt;chordNote time="83.613" string="1" fret="2" leftHand="1" /&gt;&lt;chordNote time="83.613" string="2" fret="4" leftHand="3" /&gt;&lt;chordNote time="83.613" string="3" fret="4" leftHand="4" /&gt;&lt;/chord&gt;</v>
      </c>
      <c r="D422" s="3">
        <f t="shared" si="47"/>
        <v>83.613</v>
      </c>
      <c r="E422" s="3">
        <f t="shared" si="48"/>
        <v>66.825000000000003</v>
      </c>
      <c r="F422" t="str">
        <f t="shared" si="50"/>
        <v>66.625</v>
      </c>
      <c r="G422" t="s">
        <v>645</v>
      </c>
      <c r="I422" t="str">
        <f t="shared" si="49"/>
        <v>&lt;note time="83.613" string="1" fret="7" /&gt;</v>
      </c>
      <c r="J422" t="str">
        <f t="shared" si="52"/>
        <v>63.625</v>
      </c>
      <c r="K422" t="s">
        <v>1389</v>
      </c>
    </row>
    <row r="423" spans="1:11" x14ac:dyDescent="0.45">
      <c r="A423" t="str">
        <f t="shared" si="51"/>
        <v>&lt;chord time="83.770" chordId="4" highDensity="1" &gt;&lt;chordNote time="83.770" string="1" fret="2" leftHand="1" /&gt;&lt;chordNote time="83.770" string="2" fret="4" leftHand="3" /&gt;&lt;chordNote time="83.770" string="3" fret="4" leftHand="4" /&gt;&lt;/chord&gt;</v>
      </c>
      <c r="D423" s="3">
        <f t="shared" si="47"/>
        <v>83.77</v>
      </c>
      <c r="E423" s="3">
        <f t="shared" si="48"/>
        <v>66.95</v>
      </c>
      <c r="F423" t="str">
        <f t="shared" si="50"/>
        <v>66.750</v>
      </c>
      <c r="G423" t="s">
        <v>646</v>
      </c>
      <c r="I423" t="str">
        <f t="shared" si="49"/>
        <v>&lt;note time="83.770" string="1" fret="4" /&gt;</v>
      </c>
      <c r="J423" t="str">
        <f t="shared" si="52"/>
        <v>63.750</v>
      </c>
      <c r="K423" t="s">
        <v>1390</v>
      </c>
    </row>
    <row r="424" spans="1:11" x14ac:dyDescent="0.45">
      <c r="A424" t="str">
        <f t="shared" si="51"/>
        <v>&lt;chord time="83.926" chordId="4" highDensity="1" &gt;&lt;chordNote time="83.926" string="1" fret="2" leftHand="1" /&gt;&lt;chordNote time="83.926" string="2" fret="4" leftHand="3" /&gt;&lt;chordNote time="83.926" string="3" fret="4" leftHand="4" /&gt;&lt;/chord&gt;</v>
      </c>
      <c r="D424" s="3">
        <f t="shared" si="47"/>
        <v>83.926000000000002</v>
      </c>
      <c r="E424" s="3">
        <f t="shared" si="48"/>
        <v>67.075000000000003</v>
      </c>
      <c r="F424" t="str">
        <f t="shared" si="50"/>
        <v>66.875</v>
      </c>
      <c r="G424" t="s">
        <v>647</v>
      </c>
      <c r="I424" t="str">
        <f t="shared" si="49"/>
        <v>&lt;note time="83.926" string="0" fret="7" /&gt;</v>
      </c>
      <c r="J424" t="str">
        <f t="shared" si="52"/>
        <v>63.875</v>
      </c>
      <c r="K424" t="s">
        <v>1391</v>
      </c>
    </row>
    <row r="425" spans="1:11" x14ac:dyDescent="0.45">
      <c r="A425" t="str">
        <f t="shared" si="51"/>
        <v>&lt;chord time="84.083" chordId="4" highDensity="1" &gt;&lt;chordNote time="84.083" string="1" fret="2" leftHand="1" /&gt;&lt;chordNote time="84.083" string="2" fret="4" leftHand="3" /&gt;&lt;chordNote time="84.083" string="3" fret="4" leftHand="4" /&gt;&lt;/chord&gt;</v>
      </c>
      <c r="D425" s="3">
        <f t="shared" si="47"/>
        <v>84.082999999999998</v>
      </c>
      <c r="E425" s="3">
        <f t="shared" si="48"/>
        <v>67.2</v>
      </c>
      <c r="F425" t="str">
        <f t="shared" si="50"/>
        <v>67.000</v>
      </c>
      <c r="G425" t="s">
        <v>648</v>
      </c>
      <c r="I425" t="str">
        <f t="shared" si="49"/>
        <v>&lt;note time="84.083" string="1" fret="4" /&gt;</v>
      </c>
      <c r="J425" t="str">
        <f t="shared" si="52"/>
        <v>64.000</v>
      </c>
      <c r="K425" t="s">
        <v>1392</v>
      </c>
    </row>
    <row r="426" spans="1:11" x14ac:dyDescent="0.45">
      <c r="A426" t="str">
        <f t="shared" si="51"/>
        <v>&lt;chord time="84.239" chordId="4" highDensity="1" &gt;&lt;chordNote time="84.239" string="1" fret="2" leftHand="1" /&gt;&lt;chordNote time="84.239" string="2" fret="4" leftHand="3" /&gt;&lt;chordNote time="84.239" string="3" fret="4" leftHand="4" /&gt;&lt;/chord&gt;</v>
      </c>
      <c r="D426" s="3">
        <f t="shared" si="47"/>
        <v>84.239000000000004</v>
      </c>
      <c r="E426" s="3">
        <f t="shared" si="48"/>
        <v>67.325000000000003</v>
      </c>
      <c r="F426" t="str">
        <f t="shared" si="50"/>
        <v>67.125</v>
      </c>
      <c r="G426" t="s">
        <v>649</v>
      </c>
      <c r="I426" t="str">
        <f t="shared" si="49"/>
        <v>&lt;note time="84.239" string="1" fret="4" /&gt;</v>
      </c>
      <c r="J426" t="str">
        <f t="shared" si="52"/>
        <v>64.125</v>
      </c>
      <c r="K426" t="s">
        <v>1393</v>
      </c>
    </row>
    <row r="427" spans="1:11" x14ac:dyDescent="0.45">
      <c r="A427" t="str">
        <f t="shared" si="51"/>
        <v>&lt;chord time="84.396" chordId="4" highDensity="1" &gt;&lt;chordNote time="84.396" string="1" fret="2" leftHand="1" /&gt;&lt;chordNote time="84.396" string="2" fret="4" leftHand="3" /&gt;&lt;chordNote time="84.396" string="3" fret="4" leftHand="4" /&gt;&lt;/chord&gt;</v>
      </c>
      <c r="D427" s="3">
        <f t="shared" si="47"/>
        <v>84.396000000000001</v>
      </c>
      <c r="E427" s="3">
        <f t="shared" si="48"/>
        <v>67.45</v>
      </c>
      <c r="F427" t="str">
        <f t="shared" si="50"/>
        <v>67.250</v>
      </c>
      <c r="G427" t="s">
        <v>650</v>
      </c>
      <c r="I427" t="str">
        <f t="shared" si="49"/>
        <v>&lt;note time="84.396" string="1" fret="4" /&gt;</v>
      </c>
      <c r="J427" t="str">
        <f t="shared" si="52"/>
        <v>64.250</v>
      </c>
      <c r="K427" t="s">
        <v>1394</v>
      </c>
    </row>
    <row r="428" spans="1:11" x14ac:dyDescent="0.45">
      <c r="A428" t="str">
        <f t="shared" si="51"/>
        <v>&lt;chord time="84.552" chordId="4" highDensity="1" &gt;&lt;chordNote time="84.552" string="1" fret="2" leftHand="1" /&gt;&lt;chordNote time="84.552" string="2" fret="4" leftHand="3" /&gt;&lt;chordNote time="84.552" string="3" fret="4" leftHand="4" /&gt;&lt;/chord&gt;</v>
      </c>
      <c r="D428" s="3">
        <f t="shared" si="47"/>
        <v>84.552000000000007</v>
      </c>
      <c r="E428" s="3">
        <f t="shared" si="48"/>
        <v>67.575000000000003</v>
      </c>
      <c r="F428" t="str">
        <f t="shared" si="50"/>
        <v>67.375</v>
      </c>
      <c r="G428" t="s">
        <v>651</v>
      </c>
      <c r="I428" t="str">
        <f t="shared" si="49"/>
        <v>&lt;note time="84.552" string="1" fret="4" /&gt;</v>
      </c>
      <c r="J428" t="str">
        <f t="shared" si="52"/>
        <v>64.375</v>
      </c>
      <c r="K428" t="s">
        <v>1395</v>
      </c>
    </row>
    <row r="429" spans="1:11" x14ac:dyDescent="0.45">
      <c r="A429" t="str">
        <f t="shared" si="51"/>
        <v>&lt;chord time="84.709" chordId="4" highDensity="1" &gt;&lt;chordNote time="84.709" string="1" fret="2" leftHand="1" /&gt;&lt;chordNote time="84.709" string="2" fret="4" leftHand="3" /&gt;&lt;chordNote time="84.709" string="3" fret="4" leftHand="4" /&gt;&lt;/chord&gt;</v>
      </c>
      <c r="D429" s="3">
        <f t="shared" si="47"/>
        <v>84.709000000000003</v>
      </c>
      <c r="E429" s="3">
        <f t="shared" si="48"/>
        <v>67.7</v>
      </c>
      <c r="F429" t="str">
        <f t="shared" si="50"/>
        <v>67.500</v>
      </c>
      <c r="G429" t="s">
        <v>652</v>
      </c>
      <c r="I429" t="str">
        <f t="shared" si="49"/>
        <v>&lt;note time="84.709" string="1" fret="4" /&gt;</v>
      </c>
      <c r="J429" t="str">
        <f t="shared" si="52"/>
        <v>64.500</v>
      </c>
      <c r="K429" t="s">
        <v>1396</v>
      </c>
    </row>
    <row r="430" spans="1:11" x14ac:dyDescent="0.45">
      <c r="A430" t="str">
        <f t="shared" si="51"/>
        <v>&lt;chord time="84.865" chordId="4" highDensity="1" &gt;&lt;chordNote time="84.865" string="1" fret="2" leftHand="1" /&gt;&lt;chordNote time="84.865" string="2" fret="4" leftHand="3" /&gt;&lt;chordNote time="84.865" string="3" fret="4" leftHand="4" /&gt;&lt;/chord&gt;</v>
      </c>
      <c r="D430" s="3">
        <f t="shared" si="47"/>
        <v>84.864999999999995</v>
      </c>
      <c r="E430" s="3">
        <f t="shared" si="48"/>
        <v>67.825000000000003</v>
      </c>
      <c r="F430" t="str">
        <f t="shared" si="50"/>
        <v>67.625</v>
      </c>
      <c r="G430" t="s">
        <v>653</v>
      </c>
      <c r="I430" t="str">
        <f t="shared" si="49"/>
        <v>&lt;note time="84.865" string="1" fret="4" /&gt;</v>
      </c>
      <c r="J430" t="str">
        <f t="shared" si="52"/>
        <v>64.625</v>
      </c>
      <c r="K430" t="s">
        <v>1397</v>
      </c>
    </row>
    <row r="431" spans="1:11" x14ac:dyDescent="0.45">
      <c r="A431" t="str">
        <f t="shared" si="51"/>
        <v>&lt;chord time="85.022" chordId="4" highDensity="1" &gt;&lt;chordNote time="85.022" string="1" fret="2" leftHand="1" /&gt;&lt;chordNote time="85.022" string="2" fret="4" leftHand="3" /&gt;&lt;chordNote time="85.022" string="3" fret="4" leftHand="4" /&gt;&lt;/chord&gt;</v>
      </c>
      <c r="D431" s="3">
        <f t="shared" si="47"/>
        <v>85.022000000000006</v>
      </c>
      <c r="E431" s="3">
        <f t="shared" si="48"/>
        <v>67.95</v>
      </c>
      <c r="F431" t="str">
        <f t="shared" si="50"/>
        <v>67.750</v>
      </c>
      <c r="G431" t="s">
        <v>654</v>
      </c>
      <c r="I431" t="str">
        <f t="shared" si="49"/>
        <v>&lt;note time="85.022" string="1" fret="4" /&gt;</v>
      </c>
      <c r="J431" t="str">
        <f t="shared" si="52"/>
        <v>64.750</v>
      </c>
      <c r="K431" t="s">
        <v>1398</v>
      </c>
    </row>
    <row r="432" spans="1:11" x14ac:dyDescent="0.45">
      <c r="A432" t="str">
        <f t="shared" si="51"/>
        <v>&lt;chord time="85.178" chordId="4" highDensity="1" &gt;&lt;chordNote time="85.178" string="1" fret="2" leftHand="1" /&gt;&lt;chordNote time="85.178" string="2" fret="4" leftHand="3" /&gt;&lt;chordNote time="85.178" string="3" fret="4" leftHand="4" /&gt;&lt;/chord&gt;</v>
      </c>
      <c r="D432" s="3">
        <f t="shared" si="47"/>
        <v>85.177999999999997</v>
      </c>
      <c r="E432" s="3">
        <f t="shared" si="48"/>
        <v>68.075000000000003</v>
      </c>
      <c r="F432" t="str">
        <f t="shared" si="50"/>
        <v>67.875</v>
      </c>
      <c r="G432" t="s">
        <v>655</v>
      </c>
      <c r="I432" t="str">
        <f t="shared" si="49"/>
        <v>&lt;note time="85.178" string="1" fret="4" /&gt;</v>
      </c>
      <c r="J432" t="str">
        <f t="shared" si="52"/>
        <v>64.875</v>
      </c>
      <c r="K432" t="s">
        <v>1399</v>
      </c>
    </row>
    <row r="433" spans="1:11" x14ac:dyDescent="0.45">
      <c r="A433" t="str">
        <f t="shared" si="51"/>
        <v>&lt;chord time="85.335" chordId="0" &gt;&lt;chordNote time="85.335" string="1" fret="7" leftHand="1" /&gt;&lt;chordNote time="85.335" string="2" fret="9" leftHand="3" /&gt;&lt;chordNote time="85.335" string="3" fret="9" leftHand="4" /&gt;&lt;/chord&gt;</v>
      </c>
      <c r="D433" s="3">
        <f t="shared" si="47"/>
        <v>85.334999999999994</v>
      </c>
      <c r="E433" s="3">
        <f t="shared" si="48"/>
        <v>68.2</v>
      </c>
      <c r="F433" t="str">
        <f t="shared" si="50"/>
        <v>68.000</v>
      </c>
      <c r="G433" t="s">
        <v>656</v>
      </c>
      <c r="I433" t="str">
        <f t="shared" si="49"/>
        <v>&lt;note time="85.335" string="1" fret="4" /&gt;</v>
      </c>
      <c r="J433" t="str">
        <f t="shared" si="52"/>
        <v>65.000</v>
      </c>
      <c r="K433" t="s">
        <v>1400</v>
      </c>
    </row>
    <row r="434" spans="1:11" x14ac:dyDescent="0.45">
      <c r="A434" t="str">
        <f t="shared" si="51"/>
        <v>&lt;chord time="85.491" chordId="0" highDensity="1" &gt;&lt;chordNote time="85.491" string="1" fret="7" leftHand="1" /&gt;&lt;chordNote time="85.491" string="2" fret="9" leftHand="3" /&gt;&lt;chordNote time="85.491" string="3" fret="9" leftHand="4" /&gt;&lt;/chord&gt;</v>
      </c>
      <c r="D434" s="3">
        <f t="shared" si="47"/>
        <v>85.491</v>
      </c>
      <c r="E434" s="3">
        <f t="shared" si="48"/>
        <v>68.325000000000003</v>
      </c>
      <c r="F434" t="str">
        <f t="shared" si="50"/>
        <v>68.125</v>
      </c>
      <c r="G434" t="s">
        <v>657</v>
      </c>
      <c r="I434" t="str">
        <f t="shared" si="49"/>
        <v>&lt;note time="85.491" string="1" fret="4" /&gt;</v>
      </c>
      <c r="J434" t="str">
        <f t="shared" si="52"/>
        <v>65.125</v>
      </c>
      <c r="K434" t="s">
        <v>1401</v>
      </c>
    </row>
    <row r="435" spans="1:11" x14ac:dyDescent="0.45">
      <c r="A435" t="str">
        <f t="shared" si="51"/>
        <v>&lt;chord time="85.648" chordId="0" highDensity="1" &gt;&lt;chordNote time="85.648" string="1" fret="7" leftHand="1" /&gt;&lt;chordNote time="85.648" string="2" fret="9" leftHand="3" /&gt;&lt;chordNote time="85.648" string="3" fret="9" leftHand="4" /&gt;&lt;/chord&gt;</v>
      </c>
      <c r="D435" s="3">
        <f t="shared" si="47"/>
        <v>85.647999999999996</v>
      </c>
      <c r="E435" s="3">
        <f t="shared" si="48"/>
        <v>68.45</v>
      </c>
      <c r="F435" t="str">
        <f t="shared" si="50"/>
        <v>68.250</v>
      </c>
      <c r="G435" t="s">
        <v>658</v>
      </c>
      <c r="I435" t="str">
        <f t="shared" si="49"/>
        <v>&lt;note time="85.648" string="1" fret="4" /&gt;</v>
      </c>
      <c r="J435" t="str">
        <f t="shared" si="52"/>
        <v>65.250</v>
      </c>
      <c r="K435" t="s">
        <v>1402</v>
      </c>
    </row>
    <row r="436" spans="1:11" x14ac:dyDescent="0.45">
      <c r="A436" t="str">
        <f t="shared" si="51"/>
        <v>&lt;chord time="85.804" chordId="0" highDensity="1" &gt;&lt;chordNote time="85.804" string="1" fret="7" leftHand="1" /&gt;&lt;chordNote time="85.804" string="2" fret="9" leftHand="3" /&gt;&lt;chordNote time="85.804" string="3" fret="9" leftHand="4" /&gt;&lt;/chord&gt;</v>
      </c>
      <c r="D436" s="3">
        <f t="shared" si="47"/>
        <v>85.804000000000002</v>
      </c>
      <c r="E436" s="3">
        <f t="shared" si="48"/>
        <v>68.575000000000003</v>
      </c>
      <c r="F436" t="str">
        <f t="shared" si="50"/>
        <v>68.375</v>
      </c>
      <c r="G436" t="s">
        <v>659</v>
      </c>
      <c r="I436" t="str">
        <f t="shared" si="49"/>
        <v>&lt;note time="85.804" string="1" fret="4" /&gt;</v>
      </c>
      <c r="J436" t="str">
        <f t="shared" si="52"/>
        <v>65.375</v>
      </c>
      <c r="K436" t="s">
        <v>1403</v>
      </c>
    </row>
    <row r="437" spans="1:11" x14ac:dyDescent="0.45">
      <c r="A437" t="str">
        <f t="shared" si="51"/>
        <v>&lt;chord time="85.961" chordId="0" highDensity="1" &gt;&lt;chordNote time="85.961" string="1" fret="7" leftHand="1" /&gt;&lt;chordNote time="85.961" string="2" fret="9" leftHand="3" /&gt;&lt;chordNote time="85.961" string="3" fret="9" leftHand="4" /&gt;&lt;/chord&gt;</v>
      </c>
      <c r="D437" s="3">
        <f t="shared" si="47"/>
        <v>85.960999999999999</v>
      </c>
      <c r="E437" s="3">
        <f t="shared" si="48"/>
        <v>68.7</v>
      </c>
      <c r="F437" t="str">
        <f t="shared" si="50"/>
        <v>68.500</v>
      </c>
      <c r="G437" t="s">
        <v>660</v>
      </c>
      <c r="I437" t="str">
        <f t="shared" si="49"/>
        <v>&lt;note time="85.961" string="1" fret="4" /&gt;</v>
      </c>
      <c r="J437" t="str">
        <f t="shared" si="52"/>
        <v>65.500</v>
      </c>
      <c r="K437" t="s">
        <v>1404</v>
      </c>
    </row>
    <row r="438" spans="1:11" x14ac:dyDescent="0.45">
      <c r="A438" t="str">
        <f t="shared" si="51"/>
        <v>&lt;chord time="86.117" chordId="0" highDensity="1" &gt;&lt;chordNote time="86.117" string="1" fret="7" leftHand="1" /&gt;&lt;chordNote time="86.117" string="2" fret="9" leftHand="3" /&gt;&lt;chordNote time="86.117" string="3" fret="9" leftHand="4" /&gt;&lt;/chord&gt;</v>
      </c>
      <c r="D438" s="3">
        <f t="shared" si="47"/>
        <v>86.117000000000004</v>
      </c>
      <c r="E438" s="3">
        <f t="shared" si="48"/>
        <v>68.825000000000003</v>
      </c>
      <c r="F438" t="str">
        <f t="shared" si="50"/>
        <v>68.625</v>
      </c>
      <c r="G438" t="s">
        <v>661</v>
      </c>
      <c r="I438" t="str">
        <f t="shared" si="49"/>
        <v>&lt;note time="86.117" string="1" fret="4" /&gt;</v>
      </c>
      <c r="J438" t="str">
        <f t="shared" si="52"/>
        <v>65.625</v>
      </c>
      <c r="K438" t="s">
        <v>1405</v>
      </c>
    </row>
    <row r="439" spans="1:11" x14ac:dyDescent="0.45">
      <c r="A439" t="str">
        <f t="shared" si="51"/>
        <v>&lt;chord time="86.274" chordId="0" highDensity="1" &gt;&lt;chordNote time="86.274" string="1" fret="7" leftHand="1" /&gt;&lt;chordNote time="86.274" string="2" fret="9" leftHand="3" /&gt;&lt;chordNote time="86.274" string="3" fret="9" leftHand="4" /&gt;&lt;/chord&gt;</v>
      </c>
      <c r="D439" s="3">
        <f t="shared" si="47"/>
        <v>86.274000000000001</v>
      </c>
      <c r="E439" s="3">
        <f t="shared" si="48"/>
        <v>68.95</v>
      </c>
      <c r="F439" t="str">
        <f t="shared" si="50"/>
        <v>68.750</v>
      </c>
      <c r="G439" t="s">
        <v>662</v>
      </c>
      <c r="I439" t="str">
        <f t="shared" si="49"/>
        <v>&lt;note time="86.274" string="1" fret="4" /&gt;</v>
      </c>
      <c r="J439" t="str">
        <f t="shared" si="52"/>
        <v>65.750</v>
      </c>
      <c r="K439" t="s">
        <v>1406</v>
      </c>
    </row>
    <row r="440" spans="1:11" x14ac:dyDescent="0.45">
      <c r="A440" t="str">
        <f t="shared" si="51"/>
        <v>&lt;chord time="86.430" chordId="0" highDensity="1" &gt;&lt;chordNote time="86.430" string="1" fret="7" leftHand="1" /&gt;&lt;chordNote time="86.430" string="2" fret="9" leftHand="3" /&gt;&lt;chordNote time="86.430" string="3" fret="9" leftHand="4" /&gt;&lt;/chord&gt;</v>
      </c>
      <c r="D440" s="3">
        <f t="shared" si="47"/>
        <v>86.43</v>
      </c>
      <c r="E440" s="3">
        <f t="shared" si="48"/>
        <v>69.075000000000003</v>
      </c>
      <c r="F440" t="str">
        <f t="shared" si="50"/>
        <v>68.875</v>
      </c>
      <c r="G440" t="s">
        <v>663</v>
      </c>
      <c r="I440" t="str">
        <f t="shared" si="49"/>
        <v>&lt;note time="86.430" string="1" fret="4" /&gt;</v>
      </c>
      <c r="J440" t="str">
        <f t="shared" si="52"/>
        <v>65.875</v>
      </c>
      <c r="K440" t="s">
        <v>1407</v>
      </c>
    </row>
    <row r="441" spans="1:11" x14ac:dyDescent="0.45">
      <c r="A441" t="str">
        <f t="shared" si="51"/>
        <v>&lt;chord time="86.587" chordId="0" highDensity="1" &gt;&lt;chordNote time="86.587" string="1" fret="7" leftHand="1" /&gt;&lt;chordNote time="86.587" string="2" fret="9" leftHand="3" /&gt;&lt;chordNote time="86.587" string="3" fret="9" leftHand="4" /&gt;&lt;/chord&gt;</v>
      </c>
      <c r="D441" s="3">
        <f t="shared" si="47"/>
        <v>86.587000000000003</v>
      </c>
      <c r="E441" s="3">
        <f t="shared" si="48"/>
        <v>69.2</v>
      </c>
      <c r="F441" t="str">
        <f t="shared" si="50"/>
        <v>69.000</v>
      </c>
      <c r="G441" t="s">
        <v>664</v>
      </c>
      <c r="I441" t="str">
        <f t="shared" si="49"/>
        <v>&lt;note time="86.587" string="1" fret="2" /&gt;</v>
      </c>
      <c r="J441" t="str">
        <f t="shared" si="52"/>
        <v>66.000</v>
      </c>
      <c r="K441" t="s">
        <v>1408</v>
      </c>
    </row>
    <row r="442" spans="1:11" x14ac:dyDescent="0.45">
      <c r="A442" t="str">
        <f t="shared" si="51"/>
        <v>&lt;chord time="86.743" chordId="0" highDensity="1" &gt;&lt;chordNote time="86.743" string="1" fret="7" leftHand="1" /&gt;&lt;chordNote time="86.743" string="2" fret="9" leftHand="3" /&gt;&lt;chordNote time="86.743" string="3" fret="9" leftHand="4" /&gt;&lt;/chord&gt;</v>
      </c>
      <c r="D442" s="3">
        <f t="shared" si="47"/>
        <v>86.742999999999995</v>
      </c>
      <c r="E442" s="3">
        <f t="shared" si="48"/>
        <v>69.325000000000003</v>
      </c>
      <c r="F442" t="str">
        <f t="shared" si="50"/>
        <v>69.125</v>
      </c>
      <c r="G442" t="s">
        <v>665</v>
      </c>
      <c r="I442" t="str">
        <f t="shared" si="49"/>
        <v>&lt;note time="86.743" string="1" fret="2" /&gt;</v>
      </c>
      <c r="J442" t="str">
        <f t="shared" si="52"/>
        <v>66.125</v>
      </c>
      <c r="K442" t="s">
        <v>1409</v>
      </c>
    </row>
    <row r="443" spans="1:11" x14ac:dyDescent="0.45">
      <c r="A443" t="str">
        <f t="shared" si="51"/>
        <v>&lt;chord time="86.900" chordId="0" highDensity="1" &gt;&lt;chordNote time="86.900" string="1" fret="7" leftHand="1" /&gt;&lt;chordNote time="86.900" string="2" fret="9" leftHand="3" /&gt;&lt;chordNote time="86.900" string="3" fret="9" leftHand="4" /&gt;&lt;/chord&gt;</v>
      </c>
      <c r="D443" s="3">
        <f t="shared" si="47"/>
        <v>86.9</v>
      </c>
      <c r="E443" s="3">
        <f t="shared" si="48"/>
        <v>69.45</v>
      </c>
      <c r="F443" t="str">
        <f t="shared" si="50"/>
        <v>69.250</v>
      </c>
      <c r="G443" t="s">
        <v>666</v>
      </c>
      <c r="I443" t="str">
        <f t="shared" si="49"/>
        <v>&lt;note time="86.900" string="1" fret="2" /&gt;</v>
      </c>
      <c r="J443" t="str">
        <f t="shared" si="52"/>
        <v>66.250</v>
      </c>
      <c r="K443" t="s">
        <v>1410</v>
      </c>
    </row>
    <row r="444" spans="1:11" x14ac:dyDescent="0.45">
      <c r="A444" t="str">
        <f t="shared" si="51"/>
        <v>&lt;chord time="87.056" chordId="0" highDensity="1" &gt;&lt;chordNote time="87.056" string="1" fret="7" leftHand="1" /&gt;&lt;chordNote time="87.056" string="2" fret="9" leftHand="3" /&gt;&lt;chordNote time="87.056" string="3" fret="9" leftHand="4" /&gt;&lt;/chord&gt;</v>
      </c>
      <c r="D444" s="3">
        <f t="shared" si="47"/>
        <v>87.055999999999997</v>
      </c>
      <c r="E444" s="3">
        <f t="shared" si="48"/>
        <v>69.575000000000003</v>
      </c>
      <c r="F444" t="str">
        <f t="shared" si="50"/>
        <v>69.375</v>
      </c>
      <c r="G444" t="s">
        <v>667</v>
      </c>
      <c r="I444" t="str">
        <f t="shared" si="49"/>
        <v>&lt;note time="87.056" string="1" fret="2" /&gt;</v>
      </c>
      <c r="J444" t="str">
        <f t="shared" si="52"/>
        <v>66.375</v>
      </c>
      <c r="K444" t="s">
        <v>1411</v>
      </c>
    </row>
    <row r="445" spans="1:11" x14ac:dyDescent="0.45">
      <c r="A445" t="str">
        <f t="shared" si="51"/>
        <v>&lt;chord time="87.213" chordId="0" highDensity="1" &gt;&lt;chordNote time="87.213" string="1" fret="7" leftHand="1" /&gt;&lt;chordNote time="87.213" string="2" fret="9" leftHand="3" /&gt;&lt;chordNote time="87.213" string="3" fret="9" leftHand="4" /&gt;&lt;/chord&gt;</v>
      </c>
      <c r="D445" s="3">
        <f t="shared" si="47"/>
        <v>87.212999999999994</v>
      </c>
      <c r="E445" s="3">
        <f t="shared" si="48"/>
        <v>69.7</v>
      </c>
      <c r="F445" t="str">
        <f t="shared" si="50"/>
        <v>69.500</v>
      </c>
      <c r="G445" t="s">
        <v>668</v>
      </c>
      <c r="I445" t="str">
        <f t="shared" si="49"/>
        <v>&lt;note time="87.213" string="1" fret="2" /&gt;</v>
      </c>
      <c r="J445" t="str">
        <f t="shared" si="52"/>
        <v>66.500</v>
      </c>
      <c r="K445" t="s">
        <v>1412</v>
      </c>
    </row>
    <row r="446" spans="1:11" x14ac:dyDescent="0.45">
      <c r="A446" t="str">
        <f t="shared" si="51"/>
        <v>&lt;chord time="87.369" chordId="0" highDensity="1" &gt;&lt;chordNote time="87.369" string="1" fret="7" leftHand="1" /&gt;&lt;chordNote time="87.369" string="2" fret="9" leftHand="3" /&gt;&lt;chordNote time="87.369" string="3" fret="9" leftHand="4" /&gt;&lt;/chord&gt;</v>
      </c>
      <c r="D446" s="3">
        <f t="shared" si="47"/>
        <v>87.369</v>
      </c>
      <c r="E446" s="3">
        <f t="shared" si="48"/>
        <v>69.825000000000003</v>
      </c>
      <c r="F446" t="str">
        <f t="shared" si="50"/>
        <v>69.625</v>
      </c>
      <c r="G446" t="s">
        <v>669</v>
      </c>
      <c r="I446" t="str">
        <f t="shared" si="49"/>
        <v>&lt;note time="87.369" string="1" fret="2" /&gt;</v>
      </c>
      <c r="J446" t="str">
        <f t="shared" si="52"/>
        <v>66.625</v>
      </c>
      <c r="K446" t="s">
        <v>1413</v>
      </c>
    </row>
    <row r="447" spans="1:11" x14ac:dyDescent="0.45">
      <c r="A447" t="str">
        <f t="shared" si="51"/>
        <v>&lt;chord time="87.526" chordId="0" highDensity="1" &gt;&lt;chordNote time="87.526" string="1" fret="7" leftHand="1" /&gt;&lt;chordNote time="87.526" string="2" fret="9" leftHand="3" /&gt;&lt;chordNote time="87.526" string="3" fret="9" leftHand="4" /&gt;&lt;/chord&gt;</v>
      </c>
      <c r="D447" s="3">
        <f t="shared" si="47"/>
        <v>87.525999999999996</v>
      </c>
      <c r="E447" s="3">
        <f t="shared" si="48"/>
        <v>69.95</v>
      </c>
      <c r="F447" t="str">
        <f t="shared" si="50"/>
        <v>69.750</v>
      </c>
      <c r="G447" t="s">
        <v>670</v>
      </c>
      <c r="I447" t="str">
        <f t="shared" si="49"/>
        <v>&lt;note time="87.526" string="1" fret="2" /&gt;</v>
      </c>
      <c r="J447" t="str">
        <f t="shared" si="52"/>
        <v>66.750</v>
      </c>
      <c r="K447" t="s">
        <v>1414</v>
      </c>
    </row>
    <row r="448" spans="1:11" x14ac:dyDescent="0.45">
      <c r="A448" t="str">
        <f t="shared" si="51"/>
        <v>&lt;chord time="87.682" chordId="0" highDensity="1" &gt;&lt;chordNote time="87.682" string="1" fret="7" leftHand="1" /&gt;&lt;chordNote time="87.682" string="2" fret="9" leftHand="3" /&gt;&lt;chordNote time="87.682" string="3" fret="9" leftHand="4" /&gt;&lt;/chord&gt;</v>
      </c>
      <c r="D448" s="3">
        <f t="shared" si="47"/>
        <v>87.682000000000002</v>
      </c>
      <c r="E448" s="3">
        <f t="shared" si="48"/>
        <v>70.075000000000003</v>
      </c>
      <c r="F448" t="str">
        <f t="shared" si="50"/>
        <v>69.875</v>
      </c>
      <c r="G448" t="s">
        <v>671</v>
      </c>
      <c r="I448" t="str">
        <f t="shared" si="49"/>
        <v>&lt;note time="87.682" string="1" fret="2" /&gt;</v>
      </c>
      <c r="J448" t="str">
        <f t="shared" si="52"/>
        <v>66.875</v>
      </c>
      <c r="K448" t="s">
        <v>1415</v>
      </c>
    </row>
    <row r="449" spans="1:11" x14ac:dyDescent="0.45">
      <c r="A449" t="str">
        <f t="shared" si="51"/>
        <v>&lt;chord time="87.839" chordId="1" &gt;&lt;chordNote time="87.839" string="1" fret="9" leftHand="1" /&gt;&lt;chordNote time="87.839" string="2" fret="11" leftHand="3" /&gt;&lt;chordNote time="87.839" string="3" fret="11" leftHand="4" /&gt;&lt;/chord&gt;</v>
      </c>
      <c r="D449" s="3">
        <f t="shared" si="47"/>
        <v>87.838999999999999</v>
      </c>
      <c r="E449" s="3">
        <f t="shared" si="48"/>
        <v>70.2</v>
      </c>
      <c r="F449" t="str">
        <f t="shared" si="50"/>
        <v>70.000</v>
      </c>
      <c r="G449" t="s">
        <v>672</v>
      </c>
      <c r="I449" t="str">
        <f t="shared" si="49"/>
        <v>&lt;note time="87.839" string="1" fret="2" /&gt;</v>
      </c>
      <c r="J449" t="str">
        <f t="shared" si="52"/>
        <v>67.000</v>
      </c>
      <c r="K449" t="s">
        <v>1416</v>
      </c>
    </row>
    <row r="450" spans="1:11" x14ac:dyDescent="0.45">
      <c r="A450" t="str">
        <f t="shared" si="51"/>
        <v>&lt;chord time="87.995" chordId="1" highDensity="1" &gt;&lt;chordNote time="87.995" string="1" fret="9" leftHand="1" /&gt;&lt;chordNote time="87.995" string="2" fret="11" leftHand="3" /&gt;&lt;chordNote time="87.995" string="3" fret="11" leftHand="4" /&gt;&lt;/chord&gt;</v>
      </c>
      <c r="D450" s="3">
        <f t="shared" ref="D450:D513" si="53">ROUNDDOWN(E450-($C$3*(E450-$E$1)/100),3)</f>
        <v>87.995000000000005</v>
      </c>
      <c r="E450" s="3">
        <f t="shared" ref="E450:E513" si="54">0.2+F450</f>
        <v>70.325000000000003</v>
      </c>
      <c r="F450" t="str">
        <f t="shared" si="50"/>
        <v>70.125</v>
      </c>
      <c r="G450" t="s">
        <v>673</v>
      </c>
      <c r="I450" t="str">
        <f t="shared" ref="I450:I513" si="55">SUBSTITUTE(K450,J450,TEXT(D450,"0.000"))</f>
        <v>&lt;note time="87.995" string="1" fret="2" /&gt;</v>
      </c>
      <c r="J450" t="str">
        <f t="shared" si="52"/>
        <v>67.125</v>
      </c>
      <c r="K450" t="s">
        <v>1417</v>
      </c>
    </row>
    <row r="451" spans="1:11" x14ac:dyDescent="0.45">
      <c r="A451" t="str">
        <f t="shared" si="51"/>
        <v>&lt;chord time="88.152" chordId="1" highDensity="1" &gt;&lt;chordNote time="88.152" string="1" fret="9" leftHand="1" /&gt;&lt;chordNote time="88.152" string="2" fret="11" leftHand="3" /&gt;&lt;chordNote time="88.152" string="3" fret="11" leftHand="4" /&gt;&lt;/chord&gt;</v>
      </c>
      <c r="D451" s="3">
        <f t="shared" si="53"/>
        <v>88.152000000000001</v>
      </c>
      <c r="E451" s="3">
        <f t="shared" si="54"/>
        <v>70.45</v>
      </c>
      <c r="F451" t="str">
        <f t="shared" si="50"/>
        <v>70.250</v>
      </c>
      <c r="G451" t="s">
        <v>674</v>
      </c>
      <c r="I451" t="str">
        <f t="shared" si="55"/>
        <v>&lt;note time="88.152" string="1" fret="2" /&gt;</v>
      </c>
      <c r="J451" t="str">
        <f t="shared" si="52"/>
        <v>67.250</v>
      </c>
      <c r="K451" t="s">
        <v>1418</v>
      </c>
    </row>
    <row r="452" spans="1:11" x14ac:dyDescent="0.45">
      <c r="A452" t="str">
        <f t="shared" si="51"/>
        <v>&lt;chord time="88.308" chordId="1" highDensity="1" &gt;&lt;chordNote time="88.308" string="1" fret="9" leftHand="1" /&gt;&lt;chordNote time="88.308" string="2" fret="11" leftHand="3" /&gt;&lt;chordNote time="88.308" string="3" fret="11" leftHand="4" /&gt;&lt;/chord&gt;</v>
      </c>
      <c r="D452" s="3">
        <f t="shared" si="53"/>
        <v>88.308000000000007</v>
      </c>
      <c r="E452" s="3">
        <f t="shared" si="54"/>
        <v>70.575000000000003</v>
      </c>
      <c r="F452" t="str">
        <f t="shared" si="50"/>
        <v>70.375</v>
      </c>
      <c r="G452" t="s">
        <v>675</v>
      </c>
      <c r="I452" t="str">
        <f t="shared" si="55"/>
        <v>&lt;note time="88.308" string="1" fret="2" /&gt;</v>
      </c>
      <c r="J452" t="str">
        <f t="shared" si="52"/>
        <v>67.375</v>
      </c>
      <c r="K452" t="s">
        <v>1419</v>
      </c>
    </row>
    <row r="453" spans="1:11" x14ac:dyDescent="0.45">
      <c r="A453" t="str">
        <f t="shared" si="51"/>
        <v>&lt;chord time="88.465" chordId="1" highDensity="1" &gt;&lt;chordNote time="88.465" string="1" fret="9" leftHand="1" /&gt;&lt;chordNote time="88.465" string="2" fret="11" leftHand="3" /&gt;&lt;chordNote time="88.465" string="3" fret="11" leftHand="4" /&gt;&lt;/chord&gt;</v>
      </c>
      <c r="D453" s="3">
        <f t="shared" si="53"/>
        <v>88.465000000000003</v>
      </c>
      <c r="E453" s="3">
        <f t="shared" si="54"/>
        <v>70.7</v>
      </c>
      <c r="F453" t="str">
        <f t="shared" si="50"/>
        <v>70.500</v>
      </c>
      <c r="G453" t="s">
        <v>676</v>
      </c>
      <c r="I453" t="str">
        <f t="shared" si="55"/>
        <v>&lt;note time="88.465" string="1" fret="2" /&gt;</v>
      </c>
      <c r="J453" t="str">
        <f t="shared" si="52"/>
        <v>67.500</v>
      </c>
      <c r="K453" t="s">
        <v>1420</v>
      </c>
    </row>
    <row r="454" spans="1:11" x14ac:dyDescent="0.45">
      <c r="A454" t="str">
        <f t="shared" si="51"/>
        <v>&lt;chord time="88.621" chordId="1" highDensity="1" &gt;&lt;chordNote time="88.621" string="1" fret="9" leftHand="1" /&gt;&lt;chordNote time="88.621" string="2" fret="11" leftHand="3" /&gt;&lt;chordNote time="88.621" string="3" fret="11" leftHand="4" /&gt;&lt;/chord&gt;</v>
      </c>
      <c r="D454" s="3">
        <f t="shared" si="53"/>
        <v>88.620999999999995</v>
      </c>
      <c r="E454" s="3">
        <f t="shared" si="54"/>
        <v>70.825000000000003</v>
      </c>
      <c r="F454" t="str">
        <f t="shared" si="50"/>
        <v>70.625</v>
      </c>
      <c r="G454" t="s">
        <v>677</v>
      </c>
      <c r="I454" t="str">
        <f t="shared" si="55"/>
        <v>&lt;note time="88.621" string="1" fret="2" /&gt;</v>
      </c>
      <c r="J454" t="str">
        <f t="shared" si="52"/>
        <v>67.625</v>
      </c>
      <c r="K454" t="s">
        <v>1421</v>
      </c>
    </row>
    <row r="455" spans="1:11" x14ac:dyDescent="0.45">
      <c r="A455" t="str">
        <f t="shared" si="51"/>
        <v>&lt;chord time="88.778" chordId="1" highDensity="1" &gt;&lt;chordNote time="88.778" string="1" fret="9" leftHand="1" /&gt;&lt;chordNote time="88.778" string="2" fret="11" leftHand="3" /&gt;&lt;chordNote time="88.778" string="3" fret="11" leftHand="4" /&gt;&lt;/chord&gt;</v>
      </c>
      <c r="D455" s="3">
        <f t="shared" si="53"/>
        <v>88.778000000000006</v>
      </c>
      <c r="E455" s="3">
        <f t="shared" si="54"/>
        <v>70.95</v>
      </c>
      <c r="F455" t="str">
        <f t="shared" si="50"/>
        <v>70.750</v>
      </c>
      <c r="G455" t="s">
        <v>678</v>
      </c>
      <c r="I455" t="str">
        <f t="shared" si="55"/>
        <v>&lt;note time="88.778" string="1" fret="2" /&gt;</v>
      </c>
      <c r="J455" t="str">
        <f t="shared" si="52"/>
        <v>67.750</v>
      </c>
      <c r="K455" t="s">
        <v>1422</v>
      </c>
    </row>
    <row r="456" spans="1:11" x14ac:dyDescent="0.45">
      <c r="A456" t="str">
        <f t="shared" si="51"/>
        <v>&lt;chord time="88.934" chordId="1" highDensity="1" &gt;&lt;chordNote time="88.934" string="1" fret="9" leftHand="1" /&gt;&lt;chordNote time="88.934" string="2" fret="11" leftHand="3" /&gt;&lt;chordNote time="88.934" string="3" fret="11" leftHand="4" /&gt;&lt;/chord&gt;</v>
      </c>
      <c r="D456" s="3">
        <f t="shared" si="53"/>
        <v>88.933999999999997</v>
      </c>
      <c r="E456" s="3">
        <f t="shared" si="54"/>
        <v>71.075000000000003</v>
      </c>
      <c r="F456" t="str">
        <f t="shared" si="50"/>
        <v>70.875</v>
      </c>
      <c r="G456" t="s">
        <v>679</v>
      </c>
      <c r="I456" t="str">
        <f t="shared" si="55"/>
        <v>&lt;note time="88.934" string="1" fret="2" /&gt;</v>
      </c>
      <c r="J456" t="str">
        <f t="shared" si="52"/>
        <v>67.875</v>
      </c>
      <c r="K456" t="s">
        <v>1423</v>
      </c>
    </row>
    <row r="457" spans="1:11" x14ac:dyDescent="0.45">
      <c r="A457" t="str">
        <f t="shared" si="51"/>
        <v>&lt;chord time="89.091" chordId="1" highDensity="1" &gt;&lt;chordNote time="89.091" string="1" fret="9" leftHand="1" /&gt;&lt;chordNote time="89.091" string="2" fret="11" leftHand="3" /&gt;&lt;chordNote time="89.091" string="3" fret="11" leftHand="4" /&gt;&lt;/chord&gt;</v>
      </c>
      <c r="D457" s="3">
        <f t="shared" si="53"/>
        <v>89.090999999999994</v>
      </c>
      <c r="E457" s="3">
        <f t="shared" si="54"/>
        <v>71.2</v>
      </c>
      <c r="F457" t="str">
        <f t="shared" si="50"/>
        <v>71.000</v>
      </c>
      <c r="G457" t="s">
        <v>680</v>
      </c>
      <c r="I457" t="str">
        <f t="shared" si="55"/>
        <v>&lt;note time="89.091" string="1" fret="7" /&gt;</v>
      </c>
      <c r="J457" t="str">
        <f t="shared" si="52"/>
        <v>68.000</v>
      </c>
      <c r="K457" t="s">
        <v>1424</v>
      </c>
    </row>
    <row r="458" spans="1:11" x14ac:dyDescent="0.45">
      <c r="A458" t="str">
        <f t="shared" si="51"/>
        <v>&lt;chord time="89.247" chordId="1" highDensity="1" &gt;&lt;chordNote time="89.247" string="1" fret="9" leftHand="1" /&gt;&lt;chordNote time="89.247" string="2" fret="11" leftHand="3" /&gt;&lt;chordNote time="89.247" string="3" fret="11" leftHand="4" /&gt;&lt;/chord&gt;</v>
      </c>
      <c r="D458" s="3">
        <f t="shared" si="53"/>
        <v>89.247</v>
      </c>
      <c r="E458" s="3">
        <f t="shared" si="54"/>
        <v>71.325000000000003</v>
      </c>
      <c r="F458" t="str">
        <f t="shared" si="50"/>
        <v>71.125</v>
      </c>
      <c r="G458" t="s">
        <v>681</v>
      </c>
      <c r="I458" t="str">
        <f t="shared" si="55"/>
        <v>&lt;note time="89.247" string="1" fret="7" /&gt;</v>
      </c>
      <c r="J458" t="str">
        <f t="shared" si="52"/>
        <v>68.125</v>
      </c>
      <c r="K458" t="s">
        <v>1425</v>
      </c>
    </row>
    <row r="459" spans="1:11" x14ac:dyDescent="0.45">
      <c r="A459" t="str">
        <f t="shared" si="51"/>
        <v>&lt;chord time="89.404" chordId="1" highDensity="1" &gt;&lt;chordNote time="89.404" string="1" fret="9" leftHand="1" /&gt;&lt;chordNote time="89.404" string="2" fret="11" leftHand="3" /&gt;&lt;chordNote time="89.404" string="3" fret="11" leftHand="4" /&gt;&lt;/chord&gt;</v>
      </c>
      <c r="D459" s="3">
        <f t="shared" si="53"/>
        <v>89.403999999999996</v>
      </c>
      <c r="E459" s="3">
        <f t="shared" si="54"/>
        <v>71.45</v>
      </c>
      <c r="F459" t="str">
        <f t="shared" si="50"/>
        <v>71.250</v>
      </c>
      <c r="G459" t="s">
        <v>682</v>
      </c>
      <c r="I459" t="str">
        <f t="shared" si="55"/>
        <v>&lt;note time="89.404" string="1" fret="7" /&gt;</v>
      </c>
      <c r="J459" t="str">
        <f t="shared" si="52"/>
        <v>68.250</v>
      </c>
      <c r="K459" t="s">
        <v>1426</v>
      </c>
    </row>
    <row r="460" spans="1:11" x14ac:dyDescent="0.45">
      <c r="A460" t="str">
        <f t="shared" si="51"/>
        <v>&lt;chord time="89.560" chordId="1" highDensity="1" &gt;&lt;chordNote time="89.560" string="1" fret="9" leftHand="1" /&gt;&lt;chordNote time="89.560" string="2" fret="11" leftHand="3" /&gt;&lt;chordNote time="89.560" string="3" fret="11" leftHand="4" /&gt;&lt;/chord&gt;</v>
      </c>
      <c r="D460" s="3">
        <f t="shared" si="53"/>
        <v>89.56</v>
      </c>
      <c r="E460" s="3">
        <f t="shared" si="54"/>
        <v>71.575000000000003</v>
      </c>
      <c r="F460" t="str">
        <f t="shared" si="50"/>
        <v>71.375</v>
      </c>
      <c r="G460" t="s">
        <v>683</v>
      </c>
      <c r="I460" t="str">
        <f t="shared" si="55"/>
        <v>&lt;note time="89.560" string="1" fret="7" /&gt;</v>
      </c>
      <c r="J460" t="str">
        <f t="shared" si="52"/>
        <v>68.375</v>
      </c>
      <c r="K460" t="s">
        <v>1427</v>
      </c>
    </row>
    <row r="461" spans="1:11" x14ac:dyDescent="0.45">
      <c r="A461" t="str">
        <f t="shared" si="51"/>
        <v>&lt;chord time="89.717" chordId="1" highDensity="1" &gt;&lt;chordNote time="89.717" string="1" fret="9" leftHand="1" /&gt;&lt;chordNote time="89.717" string="2" fret="11" leftHand="3" /&gt;&lt;chordNote time="89.717" string="3" fret="11" leftHand="4" /&gt;&lt;/chord&gt;</v>
      </c>
      <c r="D461" s="3">
        <f t="shared" si="53"/>
        <v>89.716999999999999</v>
      </c>
      <c r="E461" s="3">
        <f t="shared" si="54"/>
        <v>71.7</v>
      </c>
      <c r="F461" t="str">
        <f t="shared" si="50"/>
        <v>71.500</v>
      </c>
      <c r="G461" t="s">
        <v>684</v>
      </c>
      <c r="I461" t="str">
        <f t="shared" si="55"/>
        <v>&lt;note time="89.717" string="1" fret="7" /&gt;</v>
      </c>
      <c r="J461" t="str">
        <f t="shared" si="52"/>
        <v>68.500</v>
      </c>
      <c r="K461" t="s">
        <v>1428</v>
      </c>
    </row>
    <row r="462" spans="1:11" x14ac:dyDescent="0.45">
      <c r="A462" t="str">
        <f t="shared" si="51"/>
        <v>&lt;chord time="89.873" chordId="1" highDensity="1" &gt;&lt;chordNote time="89.873" string="1" fret="9" leftHand="1" /&gt;&lt;chordNote time="89.873" string="2" fret="11" leftHand="3" /&gt;&lt;chordNote time="89.873" string="3" fret="11" leftHand="4" /&gt;&lt;/chord&gt;</v>
      </c>
      <c r="D462" s="3">
        <f t="shared" si="53"/>
        <v>89.873000000000005</v>
      </c>
      <c r="E462" s="3">
        <f t="shared" si="54"/>
        <v>71.825000000000003</v>
      </c>
      <c r="F462" t="str">
        <f t="shared" si="50"/>
        <v>71.625</v>
      </c>
      <c r="G462" t="s">
        <v>685</v>
      </c>
      <c r="I462" t="str">
        <f t="shared" si="55"/>
        <v>&lt;note time="89.873" string="1" fret="7" /&gt;</v>
      </c>
      <c r="J462" t="str">
        <f t="shared" si="52"/>
        <v>68.625</v>
      </c>
      <c r="K462" t="s">
        <v>1429</v>
      </c>
    </row>
    <row r="463" spans="1:11" x14ac:dyDescent="0.45">
      <c r="A463" t="str">
        <f t="shared" si="51"/>
        <v>&lt;chord time="90.030" chordId="1" highDensity="1" &gt;&lt;chordNote time="90.030" string="1" fret="9" leftHand="1" /&gt;&lt;chordNote time="90.030" string="2" fret="11" leftHand="3" /&gt;&lt;chordNote time="90.030" string="3" fret="11" leftHand="4" /&gt;&lt;/chord&gt;</v>
      </c>
      <c r="D463" s="3">
        <f t="shared" si="53"/>
        <v>90.03</v>
      </c>
      <c r="E463" s="3">
        <f t="shared" si="54"/>
        <v>71.95</v>
      </c>
      <c r="F463" t="str">
        <f t="shared" si="50"/>
        <v>71.750</v>
      </c>
      <c r="G463" t="s">
        <v>686</v>
      </c>
      <c r="I463" t="str">
        <f t="shared" si="55"/>
        <v>&lt;note time="90.030" string="1" fret="7" /&gt;</v>
      </c>
      <c r="J463" t="str">
        <f t="shared" si="52"/>
        <v>68.750</v>
      </c>
      <c r="K463" t="s">
        <v>1430</v>
      </c>
    </row>
    <row r="464" spans="1:11" x14ac:dyDescent="0.45">
      <c r="A464" t="str">
        <f t="shared" si="51"/>
        <v>&lt;chord time="90.186" chordId="1" highDensity="1" &gt;&lt;chordNote time="90.186" string="1" fret="9" leftHand="1" /&gt;&lt;chordNote time="90.186" string="2" fret="11" leftHand="3" /&gt;&lt;chordNote time="90.186" string="3" fret="11" leftHand="4" /&gt;&lt;/chord&gt;</v>
      </c>
      <c r="D464" s="3">
        <f t="shared" si="53"/>
        <v>90.186000000000007</v>
      </c>
      <c r="E464" s="3">
        <f t="shared" si="54"/>
        <v>72.075000000000003</v>
      </c>
      <c r="F464" t="str">
        <f t="shared" si="50"/>
        <v>71.875</v>
      </c>
      <c r="G464" t="s">
        <v>687</v>
      </c>
      <c r="I464" t="str">
        <f t="shared" si="55"/>
        <v>&lt;note time="90.186" string="1" fret="7" /&gt;</v>
      </c>
      <c r="J464" t="str">
        <f t="shared" si="52"/>
        <v>68.875</v>
      </c>
      <c r="K464" t="s">
        <v>1431</v>
      </c>
    </row>
    <row r="465" spans="1:11" x14ac:dyDescent="0.45">
      <c r="A465" t="str">
        <f t="shared" si="51"/>
        <v>&lt;chord time="90.343" chordId="3" &gt;&lt;chordNote time="90.343" string="1" fret="4" leftHand="1" /&gt;&lt;chordNote time="90.343" string="2" fret="6" leftHand="3" /&gt;&lt;chordNote time="90.343" string="3" fret="6" leftHand="4" /&gt;&lt;/chord&gt;</v>
      </c>
      <c r="D465" s="3">
        <f t="shared" si="53"/>
        <v>90.343000000000004</v>
      </c>
      <c r="E465" s="3">
        <f t="shared" si="54"/>
        <v>72.2</v>
      </c>
      <c r="F465" t="str">
        <f t="shared" ref="F465:F528" si="56">RIGHT(LEFT(G465,19),6)</f>
        <v>72.000</v>
      </c>
      <c r="G465" t="s">
        <v>688</v>
      </c>
      <c r="I465" t="str">
        <f t="shared" si="55"/>
        <v>&lt;note time="90.343" string="1" fret="7" /&gt;</v>
      </c>
      <c r="J465" t="str">
        <f t="shared" si="52"/>
        <v>69.000</v>
      </c>
      <c r="K465" t="s">
        <v>1432</v>
      </c>
    </row>
    <row r="466" spans="1:11" x14ac:dyDescent="0.45">
      <c r="A466" t="str">
        <f t="shared" ref="A466:A529" si="57">SUBSTITUTE(G466,F466,TEXT(D466,"0.000"))</f>
        <v>&lt;chord time="90.499" chordId="3" highDensity="1" &gt;&lt;chordNote time="90.499" string="1" fret="4" leftHand="1" /&gt;&lt;chordNote time="90.499" string="2" fret="6" leftHand="3" /&gt;&lt;chordNote time="90.499" string="3" fret="6" leftHand="4" /&gt;&lt;/chord&gt;</v>
      </c>
      <c r="D466" s="3">
        <f t="shared" si="53"/>
        <v>90.498999999999995</v>
      </c>
      <c r="E466" s="3">
        <f t="shared" si="54"/>
        <v>72.325000000000003</v>
      </c>
      <c r="F466" t="str">
        <f t="shared" si="56"/>
        <v>72.125</v>
      </c>
      <c r="G466" t="s">
        <v>689</v>
      </c>
      <c r="I466" t="str">
        <f t="shared" si="55"/>
        <v>&lt;note time="90.499" string="1" fret="7" /&gt;</v>
      </c>
      <c r="J466" t="str">
        <f t="shared" si="52"/>
        <v>69.125</v>
      </c>
      <c r="K466" t="s">
        <v>1433</v>
      </c>
    </row>
    <row r="467" spans="1:11" x14ac:dyDescent="0.45">
      <c r="A467" t="str">
        <f t="shared" si="57"/>
        <v>&lt;chord time="90.656" chordId="3" highDensity="1" &gt;&lt;chordNote time="90.656" string="1" fret="4" leftHand="1" /&gt;&lt;chordNote time="90.656" string="2" fret="6" leftHand="3" /&gt;&lt;chordNote time="90.656" string="3" fret="6" leftHand="4" /&gt;&lt;/chord&gt;</v>
      </c>
      <c r="D467" s="3">
        <f t="shared" si="53"/>
        <v>90.656000000000006</v>
      </c>
      <c r="E467" s="3">
        <f t="shared" si="54"/>
        <v>72.45</v>
      </c>
      <c r="F467" t="str">
        <f t="shared" si="56"/>
        <v>72.250</v>
      </c>
      <c r="G467" t="s">
        <v>690</v>
      </c>
      <c r="I467" t="str">
        <f t="shared" si="55"/>
        <v>&lt;note time="90.656" string="1" fret="7" /&gt;</v>
      </c>
      <c r="J467" t="str">
        <f t="shared" si="52"/>
        <v>69.250</v>
      </c>
      <c r="K467" t="s">
        <v>1434</v>
      </c>
    </row>
    <row r="468" spans="1:11" x14ac:dyDescent="0.45">
      <c r="A468" t="str">
        <f t="shared" si="57"/>
        <v>&lt;chord time="90.812" chordId="3" highDensity="1" &gt;&lt;chordNote time="90.812" string="1" fret="4" leftHand="1" /&gt;&lt;chordNote time="90.812" string="2" fret="6" leftHand="3" /&gt;&lt;chordNote time="90.812" string="3" fret="6" leftHand="4" /&gt;&lt;/chord&gt;</v>
      </c>
      <c r="D468" s="3">
        <f t="shared" si="53"/>
        <v>90.811999999999998</v>
      </c>
      <c r="E468" s="3">
        <f t="shared" si="54"/>
        <v>72.575000000000003</v>
      </c>
      <c r="F468" t="str">
        <f t="shared" si="56"/>
        <v>72.375</v>
      </c>
      <c r="G468" t="s">
        <v>691</v>
      </c>
      <c r="I468" t="str">
        <f t="shared" si="55"/>
        <v>&lt;note time="90.812" string="1" fret="7" /&gt;</v>
      </c>
      <c r="J468" t="str">
        <f t="shared" si="52"/>
        <v>69.375</v>
      </c>
      <c r="K468" t="s">
        <v>1435</v>
      </c>
    </row>
    <row r="469" spans="1:11" x14ac:dyDescent="0.45">
      <c r="A469" t="str">
        <f t="shared" si="57"/>
        <v>&lt;chord time="90.969" chordId="3" highDensity="1" &gt;&lt;chordNote time="90.969" string="1" fret="4" leftHand="1" /&gt;&lt;chordNote time="90.969" string="2" fret="6" leftHand="3" /&gt;&lt;chordNote time="90.969" string="3" fret="6" leftHand="4" /&gt;&lt;/chord&gt;</v>
      </c>
      <c r="D469" s="3">
        <f t="shared" si="53"/>
        <v>90.968999999999994</v>
      </c>
      <c r="E469" s="3">
        <f t="shared" si="54"/>
        <v>72.7</v>
      </c>
      <c r="F469" t="str">
        <f t="shared" si="56"/>
        <v>72.500</v>
      </c>
      <c r="G469" t="s">
        <v>692</v>
      </c>
      <c r="I469" t="str">
        <f t="shared" si="55"/>
        <v>&lt;note time="90.969" string="1" fret="7" /&gt;</v>
      </c>
      <c r="J469" t="str">
        <f t="shared" si="52"/>
        <v>69.500</v>
      </c>
      <c r="K469" t="s">
        <v>1436</v>
      </c>
    </row>
    <row r="470" spans="1:11" x14ac:dyDescent="0.45">
      <c r="A470" t="str">
        <f t="shared" si="57"/>
        <v>&lt;chord time="91.125" chordId="3" highDensity="1" &gt;&lt;chordNote time="91.125" string="1" fret="4" leftHand="1" /&gt;&lt;chordNote time="91.125" string="2" fret="6" leftHand="3" /&gt;&lt;chordNote time="91.125" string="3" fret="6" leftHand="4" /&gt;&lt;/chord&gt;</v>
      </c>
      <c r="D470" s="3">
        <f t="shared" si="53"/>
        <v>91.125</v>
      </c>
      <c r="E470" s="3">
        <f t="shared" si="54"/>
        <v>72.825000000000003</v>
      </c>
      <c r="F470" t="str">
        <f t="shared" si="56"/>
        <v>72.625</v>
      </c>
      <c r="G470" t="s">
        <v>693</v>
      </c>
      <c r="I470" t="str">
        <f t="shared" si="55"/>
        <v>&lt;note time="91.125" string="1" fret="7" /&gt;</v>
      </c>
      <c r="J470" t="str">
        <f t="shared" si="52"/>
        <v>69.625</v>
      </c>
      <c r="K470" t="s">
        <v>1437</v>
      </c>
    </row>
    <row r="471" spans="1:11" x14ac:dyDescent="0.45">
      <c r="A471" t="str">
        <f t="shared" si="57"/>
        <v>&lt;chord time="91.282" chordId="3" highDensity="1" &gt;&lt;chordNote time="91.282" string="1" fret="4" leftHand="1" /&gt;&lt;chordNote time="91.282" string="2" fret="6" leftHand="3" /&gt;&lt;chordNote time="91.282" string="3" fret="6" leftHand="4" /&gt;&lt;/chord&gt;</v>
      </c>
      <c r="D471" s="3">
        <f t="shared" si="53"/>
        <v>91.281999999999996</v>
      </c>
      <c r="E471" s="3">
        <f t="shared" si="54"/>
        <v>72.95</v>
      </c>
      <c r="F471" t="str">
        <f t="shared" si="56"/>
        <v>72.750</v>
      </c>
      <c r="G471" t="s">
        <v>694</v>
      </c>
      <c r="I471" t="str">
        <f t="shared" si="55"/>
        <v>&lt;note time="91.282" string="1" fret="7" /&gt;</v>
      </c>
      <c r="J471" t="str">
        <f t="shared" si="52"/>
        <v>69.750</v>
      </c>
      <c r="K471" t="s">
        <v>1438</v>
      </c>
    </row>
    <row r="472" spans="1:11" x14ac:dyDescent="0.45">
      <c r="A472" t="str">
        <f t="shared" si="57"/>
        <v>&lt;chord time="91.438" chordId="3" highDensity="1" &gt;&lt;chordNote time="91.438" string="1" fret="4" leftHand="1" /&gt;&lt;chordNote time="91.438" string="2" fret="6" leftHand="3" /&gt;&lt;chordNote time="91.438" string="3" fret="6" leftHand="4" /&gt;&lt;/chord&gt;</v>
      </c>
      <c r="D472" s="3">
        <f t="shared" si="53"/>
        <v>91.438000000000002</v>
      </c>
      <c r="E472" s="3">
        <f t="shared" si="54"/>
        <v>73.075000000000003</v>
      </c>
      <c r="F472" t="str">
        <f t="shared" si="56"/>
        <v>72.875</v>
      </c>
      <c r="G472" t="s">
        <v>695</v>
      </c>
      <c r="I472" t="str">
        <f t="shared" si="55"/>
        <v>&lt;note time="91.438" string="1" fret="7" /&gt;</v>
      </c>
      <c r="J472" t="str">
        <f t="shared" si="52"/>
        <v>69.875</v>
      </c>
      <c r="K472" t="s">
        <v>1439</v>
      </c>
    </row>
    <row r="473" spans="1:11" x14ac:dyDescent="0.45">
      <c r="A473" t="str">
        <f t="shared" si="57"/>
        <v>&lt;chord time="91.595" chordId="3" highDensity="1" &gt;&lt;chordNote time="91.595" string="1" fret="4" leftHand="1" /&gt;&lt;chordNote time="91.595" string="2" fret="6" leftHand="3" /&gt;&lt;chordNote time="91.595" string="3" fret="6" leftHand="4" /&gt;&lt;/chord&gt;</v>
      </c>
      <c r="D473" s="3">
        <f t="shared" si="53"/>
        <v>91.594999999999999</v>
      </c>
      <c r="E473" s="3">
        <f t="shared" si="54"/>
        <v>73.2</v>
      </c>
      <c r="F473" t="str">
        <f t="shared" si="56"/>
        <v>73.000</v>
      </c>
      <c r="G473" t="s">
        <v>696</v>
      </c>
      <c r="I473" t="str">
        <f t="shared" si="55"/>
        <v>&lt;note time="91.595" string="1" fret="9" /&gt;</v>
      </c>
      <c r="J473" t="str">
        <f t="shared" si="52"/>
        <v>70.000</v>
      </c>
      <c r="K473" t="s">
        <v>1440</v>
      </c>
    </row>
    <row r="474" spans="1:11" x14ac:dyDescent="0.45">
      <c r="A474" t="str">
        <f t="shared" si="57"/>
        <v>&lt;chord time="91.751" chordId="3" highDensity="1" &gt;&lt;chordNote time="91.751" string="1" fret="4" leftHand="1" /&gt;&lt;chordNote time="91.751" string="2" fret="6" leftHand="3" /&gt;&lt;chordNote time="91.751" string="3" fret="6" leftHand="4" /&gt;&lt;/chord&gt;</v>
      </c>
      <c r="D474" s="3">
        <f t="shared" si="53"/>
        <v>91.751000000000005</v>
      </c>
      <c r="E474" s="3">
        <f t="shared" si="54"/>
        <v>73.325000000000003</v>
      </c>
      <c r="F474" t="str">
        <f t="shared" si="56"/>
        <v>73.125</v>
      </c>
      <c r="G474" t="s">
        <v>697</v>
      </c>
      <c r="I474" t="str">
        <f t="shared" si="55"/>
        <v>&lt;note time="91.751" string="1" fret="9" /&gt;</v>
      </c>
      <c r="J474" t="str">
        <f t="shared" si="52"/>
        <v>70.125</v>
      </c>
      <c r="K474" t="s">
        <v>1441</v>
      </c>
    </row>
    <row r="475" spans="1:11" x14ac:dyDescent="0.45">
      <c r="A475" t="str">
        <f t="shared" si="57"/>
        <v>&lt;chord time="91.908" chordId="3" highDensity="1" &gt;&lt;chordNote time="91.908" string="1" fret="4" leftHand="1" /&gt;&lt;chordNote time="91.908" string="2" fret="6" leftHand="3" /&gt;&lt;chordNote time="91.908" string="3" fret="6" leftHand="4" /&gt;&lt;/chord&gt;</v>
      </c>
      <c r="D475" s="3">
        <f t="shared" si="53"/>
        <v>91.908000000000001</v>
      </c>
      <c r="E475" s="3">
        <f t="shared" si="54"/>
        <v>73.45</v>
      </c>
      <c r="F475" t="str">
        <f t="shared" si="56"/>
        <v>73.250</v>
      </c>
      <c r="G475" t="s">
        <v>698</v>
      </c>
      <c r="I475" t="str">
        <f t="shared" si="55"/>
        <v>&lt;note time="91.908" string="1" fret="9" /&gt;</v>
      </c>
      <c r="J475" t="str">
        <f t="shared" si="52"/>
        <v>70.250</v>
      </c>
      <c r="K475" t="s">
        <v>1442</v>
      </c>
    </row>
    <row r="476" spans="1:11" x14ac:dyDescent="0.45">
      <c r="A476" t="str">
        <f t="shared" si="57"/>
        <v>&lt;chord time="92.064" chordId="3" highDensity="1" &gt;&lt;chordNote time="92.064" string="1" fret="4" leftHand="1" /&gt;&lt;chordNote time="92.064" string="2" fret="6" leftHand="3" /&gt;&lt;chordNote time="92.064" string="3" fret="6" leftHand="4" /&gt;&lt;/chord&gt;</v>
      </c>
      <c r="D476" s="3">
        <f t="shared" si="53"/>
        <v>92.063999999999993</v>
      </c>
      <c r="E476" s="3">
        <f t="shared" si="54"/>
        <v>73.575000000000003</v>
      </c>
      <c r="F476" t="str">
        <f t="shared" si="56"/>
        <v>73.375</v>
      </c>
      <c r="G476" t="s">
        <v>699</v>
      </c>
      <c r="I476" t="str">
        <f t="shared" si="55"/>
        <v>&lt;note time="92.064" string="1" fret="9" /&gt;</v>
      </c>
      <c r="J476" t="str">
        <f t="shared" si="52"/>
        <v>70.375</v>
      </c>
      <c r="K476" t="s">
        <v>1443</v>
      </c>
    </row>
    <row r="477" spans="1:11" x14ac:dyDescent="0.45">
      <c r="A477" t="str">
        <f t="shared" si="57"/>
        <v>&lt;chord time="92.220" chordId="3" highDensity="1" &gt;&lt;chordNote time="92.220" string="1" fret="4" leftHand="1" /&gt;&lt;chordNote time="92.220" string="2" fret="6" leftHand="3" /&gt;&lt;chordNote time="92.220" string="3" fret="6" leftHand="4" /&gt;&lt;/chord&gt;</v>
      </c>
      <c r="D477" s="3">
        <f t="shared" si="53"/>
        <v>92.22</v>
      </c>
      <c r="E477" s="3">
        <f t="shared" si="54"/>
        <v>73.7</v>
      </c>
      <c r="F477" t="str">
        <f t="shared" si="56"/>
        <v>73.500</v>
      </c>
      <c r="G477" t="s">
        <v>700</v>
      </c>
      <c r="I477" t="str">
        <f t="shared" si="55"/>
        <v>&lt;note time="92.220" string="1" fret="9" /&gt;</v>
      </c>
      <c r="J477" t="str">
        <f t="shared" si="52"/>
        <v>70.500</v>
      </c>
      <c r="K477" t="s">
        <v>1444</v>
      </c>
    </row>
    <row r="478" spans="1:11" x14ac:dyDescent="0.45">
      <c r="A478" t="str">
        <f t="shared" si="57"/>
        <v>&lt;chord time="92.377" chordId="3" highDensity="1" &gt;&lt;chordNote time="92.377" string="1" fret="4" leftHand="1" /&gt;&lt;chordNote time="92.377" string="2" fret="6" leftHand="3" /&gt;&lt;chordNote time="92.377" string="3" fret="6" leftHand="4" /&gt;&lt;/chord&gt;</v>
      </c>
      <c r="D478" s="3">
        <f t="shared" si="53"/>
        <v>92.376999999999995</v>
      </c>
      <c r="E478" s="3">
        <f t="shared" si="54"/>
        <v>73.825000000000003</v>
      </c>
      <c r="F478" t="str">
        <f t="shared" si="56"/>
        <v>73.625</v>
      </c>
      <c r="G478" t="s">
        <v>701</v>
      </c>
      <c r="I478" t="str">
        <f t="shared" si="55"/>
        <v>&lt;note time="92.377" string="1" fret="9" /&gt;</v>
      </c>
      <c r="J478" t="str">
        <f t="shared" si="52"/>
        <v>70.625</v>
      </c>
      <c r="K478" t="s">
        <v>1445</v>
      </c>
    </row>
    <row r="479" spans="1:11" x14ac:dyDescent="0.45">
      <c r="A479" t="str">
        <f t="shared" si="57"/>
        <v>&lt;chord time="92.533" chordId="3" highDensity="1" &gt;&lt;chordNote time="92.533" string="1" fret="4" leftHand="1" /&gt;&lt;chordNote time="92.533" string="2" fret="6" leftHand="3" /&gt;&lt;chordNote time="92.533" string="3" fret="6" leftHand="4" /&gt;&lt;/chord&gt;</v>
      </c>
      <c r="D479" s="3">
        <f t="shared" si="53"/>
        <v>92.533000000000001</v>
      </c>
      <c r="E479" s="3">
        <f t="shared" si="54"/>
        <v>73.95</v>
      </c>
      <c r="F479" t="str">
        <f t="shared" si="56"/>
        <v>73.750</v>
      </c>
      <c r="G479" t="s">
        <v>702</v>
      </c>
      <c r="I479" t="str">
        <f t="shared" si="55"/>
        <v>&lt;note time="92.533" string="1" fret="9" /&gt;</v>
      </c>
      <c r="J479" t="str">
        <f t="shared" si="52"/>
        <v>70.750</v>
      </c>
      <c r="K479" t="s">
        <v>1446</v>
      </c>
    </row>
    <row r="480" spans="1:11" x14ac:dyDescent="0.45">
      <c r="A480" t="str">
        <f t="shared" si="57"/>
        <v>&lt;chord time="92.690" chordId="3" highDensity="1" &gt;&lt;chordNote time="92.690" string="1" fret="4" leftHand="1" /&gt;&lt;chordNote time="92.690" string="2" fret="6" leftHand="3" /&gt;&lt;chordNote time="92.690" string="3" fret="6" leftHand="4" /&gt;&lt;/chord&gt;</v>
      </c>
      <c r="D480" s="3">
        <f t="shared" si="53"/>
        <v>92.69</v>
      </c>
      <c r="E480" s="3">
        <f t="shared" si="54"/>
        <v>74.075000000000003</v>
      </c>
      <c r="F480" t="str">
        <f t="shared" si="56"/>
        <v>73.875</v>
      </c>
      <c r="G480" t="s">
        <v>703</v>
      </c>
      <c r="I480" t="str">
        <f t="shared" si="55"/>
        <v>&lt;note time="92.690" string="1" fret="9" /&gt;</v>
      </c>
      <c r="J480" t="str">
        <f t="shared" si="52"/>
        <v>70.875</v>
      </c>
      <c r="K480" t="s">
        <v>1447</v>
      </c>
    </row>
    <row r="481" spans="1:11" x14ac:dyDescent="0.45">
      <c r="A481" t="str">
        <f t="shared" si="57"/>
        <v>&lt;chord time="92.846" chordId="4" &gt;&lt;chordNote time="92.846" string="1" fret="2" leftHand="1" /&gt;&lt;chordNote time="92.846" string="2" fret="4" leftHand="3" /&gt;&lt;chordNote time="92.846" string="3" fret="4" leftHand="4" /&gt;&lt;/chord&gt;</v>
      </c>
      <c r="D481" s="3">
        <f t="shared" si="53"/>
        <v>92.846000000000004</v>
      </c>
      <c r="E481" s="3">
        <f t="shared" si="54"/>
        <v>74.2</v>
      </c>
      <c r="F481" t="str">
        <f t="shared" si="56"/>
        <v>74.000</v>
      </c>
      <c r="G481" t="s">
        <v>704</v>
      </c>
      <c r="I481" t="str">
        <f t="shared" si="55"/>
        <v>&lt;note time="92.846" string="1" fret="9" /&gt;</v>
      </c>
      <c r="J481" t="str">
        <f t="shared" si="52"/>
        <v>71.000</v>
      </c>
      <c r="K481" t="s">
        <v>1448</v>
      </c>
    </row>
    <row r="482" spans="1:11" x14ac:dyDescent="0.45">
      <c r="A482" t="str">
        <f t="shared" si="57"/>
        <v>&lt;chord time="93.003" chordId="4" highDensity="1" &gt;&lt;chordNote time="93.003" string="1" fret="2" leftHand="1" /&gt;&lt;chordNote time="93.003" string="2" fret="4" leftHand="3" /&gt;&lt;chordNote time="93.003" string="3" fret="4" leftHand="4" /&gt;&lt;/chord&gt;</v>
      </c>
      <c r="D482" s="3">
        <f t="shared" si="53"/>
        <v>93.003</v>
      </c>
      <c r="E482" s="3">
        <f t="shared" si="54"/>
        <v>74.325000000000003</v>
      </c>
      <c r="F482" t="str">
        <f t="shared" si="56"/>
        <v>74.125</v>
      </c>
      <c r="G482" t="s">
        <v>705</v>
      </c>
      <c r="I482" t="str">
        <f t="shared" si="55"/>
        <v>&lt;note time="93.003" string="1" fret="9" /&gt;</v>
      </c>
      <c r="J482" t="str">
        <f t="shared" si="52"/>
        <v>71.125</v>
      </c>
      <c r="K482" t="s">
        <v>1449</v>
      </c>
    </row>
    <row r="483" spans="1:11" x14ac:dyDescent="0.45">
      <c r="A483" t="str">
        <f t="shared" si="57"/>
        <v>&lt;chord time="93.159" chordId="4" highDensity="1" &gt;&lt;chordNote time="93.159" string="1" fret="2" leftHand="1" /&gt;&lt;chordNote time="93.159" string="2" fret="4" leftHand="3" /&gt;&lt;chordNote time="93.159" string="3" fret="4" leftHand="4" /&gt;&lt;/chord&gt;</v>
      </c>
      <c r="D483" s="3">
        <f t="shared" si="53"/>
        <v>93.159000000000006</v>
      </c>
      <c r="E483" s="3">
        <f t="shared" si="54"/>
        <v>74.45</v>
      </c>
      <c r="F483" t="str">
        <f t="shared" si="56"/>
        <v>74.250</v>
      </c>
      <c r="G483" t="s">
        <v>706</v>
      </c>
      <c r="I483" t="str">
        <f t="shared" si="55"/>
        <v>&lt;note time="93.159" string="1" fret="9" /&gt;</v>
      </c>
      <c r="J483" t="str">
        <f t="shared" si="52"/>
        <v>71.250</v>
      </c>
      <c r="K483" t="s">
        <v>1450</v>
      </c>
    </row>
    <row r="484" spans="1:11" x14ac:dyDescent="0.45">
      <c r="A484" t="str">
        <f t="shared" si="57"/>
        <v>&lt;chord time="93.316" chordId="4" highDensity="1" &gt;&lt;chordNote time="93.316" string="1" fret="2" leftHand="1" /&gt;&lt;chordNote time="93.316" string="2" fret="4" leftHand="3" /&gt;&lt;chordNote time="93.316" string="3" fret="4" leftHand="4" /&gt;&lt;/chord&gt;</v>
      </c>
      <c r="D484" s="3">
        <f t="shared" si="53"/>
        <v>93.316000000000003</v>
      </c>
      <c r="E484" s="3">
        <f t="shared" si="54"/>
        <v>74.575000000000003</v>
      </c>
      <c r="F484" t="str">
        <f t="shared" si="56"/>
        <v>74.375</v>
      </c>
      <c r="G484" t="s">
        <v>707</v>
      </c>
      <c r="I484" t="str">
        <f t="shared" si="55"/>
        <v>&lt;note time="93.316" string="1" fret="9" /&gt;</v>
      </c>
      <c r="J484" t="str">
        <f t="shared" ref="J484:J547" si="58">RIGHT(LEFT(K484,18),6)</f>
        <v>71.375</v>
      </c>
      <c r="K484" t="s">
        <v>1451</v>
      </c>
    </row>
    <row r="485" spans="1:11" x14ac:dyDescent="0.45">
      <c r="A485" t="str">
        <f t="shared" si="57"/>
        <v>&lt;chord time="93.472" chordId="4" highDensity="1" &gt;&lt;chordNote time="93.472" string="1" fret="2" leftHand="1" /&gt;&lt;chordNote time="93.472" string="2" fret="4" leftHand="3" /&gt;&lt;chordNote time="93.472" string="3" fret="4" leftHand="4" /&gt;&lt;/chord&gt;</v>
      </c>
      <c r="D485" s="3">
        <f t="shared" si="53"/>
        <v>93.471999999999994</v>
      </c>
      <c r="E485" s="3">
        <f t="shared" si="54"/>
        <v>74.7</v>
      </c>
      <c r="F485" t="str">
        <f t="shared" si="56"/>
        <v>74.500</v>
      </c>
      <c r="G485" t="s">
        <v>708</v>
      </c>
      <c r="I485" t="str">
        <f t="shared" si="55"/>
        <v>&lt;note time="93.472" string="1" fret="9" /&gt;</v>
      </c>
      <c r="J485" t="str">
        <f t="shared" si="58"/>
        <v>71.500</v>
      </c>
      <c r="K485" t="s">
        <v>1452</v>
      </c>
    </row>
    <row r="486" spans="1:11" x14ac:dyDescent="0.45">
      <c r="A486" t="str">
        <f t="shared" si="57"/>
        <v>&lt;chord time="93.629" chordId="4" highDensity="1" &gt;&lt;chordNote time="93.629" string="1" fret="2" leftHand="1" /&gt;&lt;chordNote time="93.629" string="2" fret="4" leftHand="3" /&gt;&lt;chordNote time="93.629" string="3" fret="4" leftHand="4" /&gt;&lt;/chord&gt;</v>
      </c>
      <c r="D486" s="3">
        <f t="shared" si="53"/>
        <v>93.629000000000005</v>
      </c>
      <c r="E486" s="3">
        <f t="shared" si="54"/>
        <v>74.825000000000003</v>
      </c>
      <c r="F486" t="str">
        <f t="shared" si="56"/>
        <v>74.625</v>
      </c>
      <c r="G486" t="s">
        <v>709</v>
      </c>
      <c r="I486" t="str">
        <f t="shared" si="55"/>
        <v>&lt;note time="93.629" string="1" fret="9" /&gt;</v>
      </c>
      <c r="J486" t="str">
        <f t="shared" si="58"/>
        <v>71.625</v>
      </c>
      <c r="K486" t="s">
        <v>1453</v>
      </c>
    </row>
    <row r="487" spans="1:11" x14ac:dyDescent="0.45">
      <c r="A487" t="str">
        <f t="shared" si="57"/>
        <v>&lt;chord time="93.785" chordId="4" highDensity="1" &gt;&lt;chordNote time="93.785" string="1" fret="2" leftHand="1" /&gt;&lt;chordNote time="93.785" string="2" fret="4" leftHand="3" /&gt;&lt;chordNote time="93.785" string="3" fret="4" leftHand="4" /&gt;&lt;/chord&gt;</v>
      </c>
      <c r="D487" s="3">
        <f t="shared" si="53"/>
        <v>93.784999999999997</v>
      </c>
      <c r="E487" s="3">
        <f t="shared" si="54"/>
        <v>74.95</v>
      </c>
      <c r="F487" t="str">
        <f t="shared" si="56"/>
        <v>74.750</v>
      </c>
      <c r="G487" t="s">
        <v>710</v>
      </c>
      <c r="I487" t="str">
        <f t="shared" si="55"/>
        <v>&lt;note time="93.785" string="1" fret="9" /&gt;</v>
      </c>
      <c r="J487" t="str">
        <f t="shared" si="58"/>
        <v>71.750</v>
      </c>
      <c r="K487" t="s">
        <v>1454</v>
      </c>
    </row>
    <row r="488" spans="1:11" x14ac:dyDescent="0.45">
      <c r="A488" t="str">
        <f t="shared" si="57"/>
        <v>&lt;chord time="93.942" chordId="4" highDensity="1" &gt;&lt;chordNote time="93.942" string="1" fret="2" leftHand="1" /&gt;&lt;chordNote time="93.942" string="2" fret="4" leftHand="3" /&gt;&lt;chordNote time="93.942" string="3" fret="4" leftHand="4" /&gt;&lt;/chord&gt;</v>
      </c>
      <c r="D488" s="3">
        <f t="shared" si="53"/>
        <v>93.941999999999993</v>
      </c>
      <c r="E488" s="3">
        <f t="shared" si="54"/>
        <v>75.075000000000003</v>
      </c>
      <c r="F488" t="str">
        <f t="shared" si="56"/>
        <v>74.875</v>
      </c>
      <c r="G488" t="s">
        <v>711</v>
      </c>
      <c r="I488" t="str">
        <f t="shared" si="55"/>
        <v>&lt;note time="93.942" string="1" fret="9" /&gt;</v>
      </c>
      <c r="J488" t="str">
        <f t="shared" si="58"/>
        <v>71.875</v>
      </c>
      <c r="K488" t="s">
        <v>1455</v>
      </c>
    </row>
    <row r="489" spans="1:11" x14ac:dyDescent="0.45">
      <c r="A489" t="str">
        <f t="shared" si="57"/>
        <v>&lt;chord time="94.098" chordId="4" highDensity="1" &gt;&lt;chordNote time="94.098" string="1" fret="2" leftHand="1" /&gt;&lt;chordNote time="94.098" string="2" fret="4" leftHand="3" /&gt;&lt;chordNote time="94.098" string="3" fret="4" leftHand="4" /&gt;&lt;/chord&gt;</v>
      </c>
      <c r="D489" s="3">
        <f t="shared" si="53"/>
        <v>94.097999999999999</v>
      </c>
      <c r="E489" s="3">
        <f t="shared" si="54"/>
        <v>75.2</v>
      </c>
      <c r="F489" t="str">
        <f t="shared" si="56"/>
        <v>75.000</v>
      </c>
      <c r="G489" t="s">
        <v>712</v>
      </c>
      <c r="I489" t="str">
        <f t="shared" si="55"/>
        <v>&lt;note time="94.098" string="1" fret="4" /&gt;</v>
      </c>
      <c r="J489" t="str">
        <f t="shared" si="58"/>
        <v>72.000</v>
      </c>
      <c r="K489" t="s">
        <v>1456</v>
      </c>
    </row>
    <row r="490" spans="1:11" x14ac:dyDescent="0.45">
      <c r="A490" t="str">
        <f t="shared" si="57"/>
        <v>&lt;chord time="94.255" chordId="4" highDensity="1" &gt;&lt;chordNote time="94.255" string="1" fret="2" leftHand="1" /&gt;&lt;chordNote time="94.255" string="2" fret="4" leftHand="3" /&gt;&lt;chordNote time="94.255" string="3" fret="4" leftHand="4" /&gt;&lt;/chord&gt;</v>
      </c>
      <c r="D490" s="3">
        <f t="shared" si="53"/>
        <v>94.254999999999995</v>
      </c>
      <c r="E490" s="3">
        <f t="shared" si="54"/>
        <v>75.325000000000003</v>
      </c>
      <c r="F490" t="str">
        <f t="shared" si="56"/>
        <v>75.125</v>
      </c>
      <c r="G490" t="s">
        <v>713</v>
      </c>
      <c r="I490" t="str">
        <f t="shared" si="55"/>
        <v>&lt;note time="94.255" string="1" fret="4" /&gt;</v>
      </c>
      <c r="J490" t="str">
        <f t="shared" si="58"/>
        <v>72.125</v>
      </c>
      <c r="K490" t="s">
        <v>1457</v>
      </c>
    </row>
    <row r="491" spans="1:11" x14ac:dyDescent="0.45">
      <c r="A491" t="str">
        <f t="shared" si="57"/>
        <v>&lt;chord time="94.411" chordId="4" highDensity="1" &gt;&lt;chordNote time="94.411" string="1" fret="2" leftHand="1" /&gt;&lt;chordNote time="94.411" string="2" fret="4" leftHand="3" /&gt;&lt;chordNote time="94.411" string="3" fret="4" leftHand="4" /&gt;&lt;/chord&gt;</v>
      </c>
      <c r="D491" s="3">
        <f t="shared" si="53"/>
        <v>94.411000000000001</v>
      </c>
      <c r="E491" s="3">
        <f t="shared" si="54"/>
        <v>75.45</v>
      </c>
      <c r="F491" t="str">
        <f t="shared" si="56"/>
        <v>75.250</v>
      </c>
      <c r="G491" t="s">
        <v>714</v>
      </c>
      <c r="I491" t="str">
        <f t="shared" si="55"/>
        <v>&lt;note time="94.411" string="1" fret="4" /&gt;</v>
      </c>
      <c r="J491" t="str">
        <f t="shared" si="58"/>
        <v>72.250</v>
      </c>
      <c r="K491" t="s">
        <v>1458</v>
      </c>
    </row>
    <row r="492" spans="1:11" x14ac:dyDescent="0.45">
      <c r="A492" t="str">
        <f t="shared" si="57"/>
        <v>&lt;chord time="94.568" chordId="4" highDensity="1" &gt;&lt;chordNote time="94.568" string="1" fret="2" leftHand="1" /&gt;&lt;chordNote time="94.568" string="2" fret="4" leftHand="3" /&gt;&lt;chordNote time="94.568" string="3" fret="4" leftHand="4" /&gt;&lt;/chord&gt;</v>
      </c>
      <c r="D492" s="3">
        <f t="shared" si="53"/>
        <v>94.567999999999998</v>
      </c>
      <c r="E492" s="3">
        <f t="shared" si="54"/>
        <v>75.575000000000003</v>
      </c>
      <c r="F492" t="str">
        <f t="shared" si="56"/>
        <v>75.375</v>
      </c>
      <c r="G492" t="s">
        <v>715</v>
      </c>
      <c r="I492" t="str">
        <f t="shared" si="55"/>
        <v>&lt;note time="94.568" string="1" fret="4" /&gt;</v>
      </c>
      <c r="J492" t="str">
        <f t="shared" si="58"/>
        <v>72.375</v>
      </c>
      <c r="K492" t="s">
        <v>1459</v>
      </c>
    </row>
    <row r="493" spans="1:11" x14ac:dyDescent="0.45">
      <c r="A493" t="str">
        <f t="shared" si="57"/>
        <v>&lt;chord time="94.724" chordId="4" highDensity="1" &gt;&lt;chordNote time="94.724" string="1" fret="2" leftHand="1" /&gt;&lt;chordNote time="94.724" string="2" fret="4" leftHand="3" /&gt;&lt;chordNote time="94.724" string="3" fret="4" leftHand="4" /&gt;&lt;/chord&gt;</v>
      </c>
      <c r="D493" s="3">
        <f t="shared" si="53"/>
        <v>94.724000000000004</v>
      </c>
      <c r="E493" s="3">
        <f t="shared" si="54"/>
        <v>75.7</v>
      </c>
      <c r="F493" t="str">
        <f t="shared" si="56"/>
        <v>75.500</v>
      </c>
      <c r="G493" t="s">
        <v>716</v>
      </c>
      <c r="I493" t="str">
        <f t="shared" si="55"/>
        <v>&lt;note time="94.724" string="1" fret="4" /&gt;</v>
      </c>
      <c r="J493" t="str">
        <f t="shared" si="58"/>
        <v>72.500</v>
      </c>
      <c r="K493" t="s">
        <v>1460</v>
      </c>
    </row>
    <row r="494" spans="1:11" x14ac:dyDescent="0.45">
      <c r="A494" t="str">
        <f t="shared" si="57"/>
        <v>&lt;chord time="94.881" chordId="4" highDensity="1" &gt;&lt;chordNote time="94.881" string="1" fret="2" leftHand="1" /&gt;&lt;chordNote time="94.881" string="2" fret="4" leftHand="3" /&gt;&lt;chordNote time="94.881" string="3" fret="4" leftHand="4" /&gt;&lt;/chord&gt;</v>
      </c>
      <c r="D494" s="3">
        <f t="shared" si="53"/>
        <v>94.881</v>
      </c>
      <c r="E494" s="3">
        <f t="shared" si="54"/>
        <v>75.825000000000003</v>
      </c>
      <c r="F494" t="str">
        <f t="shared" si="56"/>
        <v>75.625</v>
      </c>
      <c r="G494" t="s">
        <v>717</v>
      </c>
      <c r="I494" t="str">
        <f t="shared" si="55"/>
        <v>&lt;note time="94.881" string="1" fret="4" /&gt;</v>
      </c>
      <c r="J494" t="str">
        <f t="shared" si="58"/>
        <v>72.625</v>
      </c>
      <c r="K494" t="s">
        <v>1461</v>
      </c>
    </row>
    <row r="495" spans="1:11" x14ac:dyDescent="0.45">
      <c r="A495" t="str">
        <f t="shared" si="57"/>
        <v>&lt;chord time="95.037" chordId="4" highDensity="1" &gt;&lt;chordNote time="95.037" string="1" fret="2" leftHand="1" /&gt;&lt;chordNote time="95.037" string="2" fret="4" leftHand="3" /&gt;&lt;chordNote time="95.037" string="3" fret="4" leftHand="4" /&gt;&lt;/chord&gt;</v>
      </c>
      <c r="D495" s="3">
        <f t="shared" si="53"/>
        <v>95.037000000000006</v>
      </c>
      <c r="E495" s="3">
        <f t="shared" si="54"/>
        <v>75.95</v>
      </c>
      <c r="F495" t="str">
        <f t="shared" si="56"/>
        <v>75.750</v>
      </c>
      <c r="G495" t="s">
        <v>718</v>
      </c>
      <c r="I495" t="str">
        <f t="shared" si="55"/>
        <v>&lt;note time="95.037" string="1" fret="4" /&gt;</v>
      </c>
      <c r="J495" t="str">
        <f t="shared" si="58"/>
        <v>72.750</v>
      </c>
      <c r="K495" t="s">
        <v>1462</v>
      </c>
    </row>
    <row r="496" spans="1:11" x14ac:dyDescent="0.45">
      <c r="A496" t="str">
        <f t="shared" si="57"/>
        <v>&lt;chord time="95.194" chordId="4" highDensity="1" &gt;&lt;chordNote time="95.194" string="1" fret="2" leftHand="1" /&gt;&lt;chordNote time="95.194" string="2" fret="4" leftHand="3" /&gt;&lt;chordNote time="95.194" string="3" fret="4" leftHand="4" /&gt;&lt;/chord&gt;</v>
      </c>
      <c r="D496" s="3">
        <f t="shared" si="53"/>
        <v>95.194000000000003</v>
      </c>
      <c r="E496" s="3">
        <f t="shared" si="54"/>
        <v>76.075000000000003</v>
      </c>
      <c r="F496" t="str">
        <f t="shared" si="56"/>
        <v>75.875</v>
      </c>
      <c r="G496" t="s">
        <v>719</v>
      </c>
      <c r="I496" t="str">
        <f t="shared" si="55"/>
        <v>&lt;note time="95.194" string="1" fret="4" /&gt;</v>
      </c>
      <c r="J496" t="str">
        <f t="shared" si="58"/>
        <v>72.875</v>
      </c>
      <c r="K496" t="s">
        <v>1463</v>
      </c>
    </row>
    <row r="497" spans="1:11" x14ac:dyDescent="0.45">
      <c r="A497" t="str">
        <f t="shared" si="57"/>
        <v>&lt;chord time="95.350" chordId="0" &gt;&lt;chordNote time="95.350" string="1" fret="7" leftHand="1" /&gt;&lt;chordNote time="95.350" string="2" fret="9" leftHand="3" /&gt;&lt;chordNote time="95.350" string="3" fret="9" leftHand="4" /&gt;&lt;/chord&gt;</v>
      </c>
      <c r="D497" s="3">
        <f t="shared" si="53"/>
        <v>95.35</v>
      </c>
      <c r="E497" s="3">
        <f t="shared" si="54"/>
        <v>76.2</v>
      </c>
      <c r="F497" t="str">
        <f t="shared" si="56"/>
        <v>76.000</v>
      </c>
      <c r="G497" t="s">
        <v>720</v>
      </c>
      <c r="I497" t="str">
        <f t="shared" si="55"/>
        <v>&lt;note time="95.350" string="1" fret="4" /&gt;</v>
      </c>
      <c r="J497" t="str">
        <f t="shared" si="58"/>
        <v>73.000</v>
      </c>
      <c r="K497" t="s">
        <v>1464</v>
      </c>
    </row>
    <row r="498" spans="1:11" x14ac:dyDescent="0.45">
      <c r="A498" t="str">
        <f t="shared" si="57"/>
        <v>&lt;chord time="95.507" chordId="0" highDensity="1" &gt;&lt;chordNote time="95.507" string="1" fret="7" leftHand="1" /&gt;&lt;chordNote time="95.507" string="2" fret="9" leftHand="3" /&gt;&lt;chordNote time="95.507" string="3" fret="9" leftHand="4" /&gt;&lt;/chord&gt;</v>
      </c>
      <c r="D498" s="3">
        <f t="shared" si="53"/>
        <v>95.507000000000005</v>
      </c>
      <c r="E498" s="3">
        <f t="shared" si="54"/>
        <v>76.325000000000003</v>
      </c>
      <c r="F498" t="str">
        <f t="shared" si="56"/>
        <v>76.125</v>
      </c>
      <c r="G498" t="s">
        <v>721</v>
      </c>
      <c r="I498" t="str">
        <f t="shared" si="55"/>
        <v>&lt;note time="95.507" string="1" fret="4" /&gt;</v>
      </c>
      <c r="J498" t="str">
        <f t="shared" si="58"/>
        <v>73.125</v>
      </c>
      <c r="K498" t="s">
        <v>1465</v>
      </c>
    </row>
    <row r="499" spans="1:11" x14ac:dyDescent="0.45">
      <c r="A499" t="str">
        <f t="shared" si="57"/>
        <v>&lt;chord time="95.663" chordId="0" highDensity="1" &gt;&lt;chordNote time="95.663" string="1" fret="7" leftHand="1" /&gt;&lt;chordNote time="95.663" string="2" fret="9" leftHand="3" /&gt;&lt;chordNote time="95.663" string="3" fret="9" leftHand="4" /&gt;&lt;/chord&gt;</v>
      </c>
      <c r="D499" s="3">
        <f t="shared" si="53"/>
        <v>95.662999999999997</v>
      </c>
      <c r="E499" s="3">
        <f t="shared" si="54"/>
        <v>76.45</v>
      </c>
      <c r="F499" t="str">
        <f t="shared" si="56"/>
        <v>76.250</v>
      </c>
      <c r="G499" t="s">
        <v>722</v>
      </c>
      <c r="I499" t="str">
        <f t="shared" si="55"/>
        <v>&lt;note time="95.663" string="1" fret="4" /&gt;</v>
      </c>
      <c r="J499" t="str">
        <f t="shared" si="58"/>
        <v>73.250</v>
      </c>
      <c r="K499" t="s">
        <v>1466</v>
      </c>
    </row>
    <row r="500" spans="1:11" x14ac:dyDescent="0.45">
      <c r="A500" t="str">
        <f t="shared" si="57"/>
        <v>&lt;chord time="95.820" chordId="0" highDensity="1" &gt;&lt;chordNote time="95.820" string="1" fret="7" leftHand="1" /&gt;&lt;chordNote time="95.820" string="2" fret="9" leftHand="3" /&gt;&lt;chordNote time="95.820" string="3" fret="9" leftHand="4" /&gt;&lt;/chord&gt;</v>
      </c>
      <c r="D500" s="3">
        <f t="shared" si="53"/>
        <v>95.82</v>
      </c>
      <c r="E500" s="3">
        <f t="shared" si="54"/>
        <v>76.575000000000003</v>
      </c>
      <c r="F500" t="str">
        <f t="shared" si="56"/>
        <v>76.375</v>
      </c>
      <c r="G500" t="s">
        <v>723</v>
      </c>
      <c r="I500" t="str">
        <f t="shared" si="55"/>
        <v>&lt;note time="95.820" string="1" fret="4" /&gt;</v>
      </c>
      <c r="J500" t="str">
        <f t="shared" si="58"/>
        <v>73.375</v>
      </c>
      <c r="K500" t="s">
        <v>1467</v>
      </c>
    </row>
    <row r="501" spans="1:11" x14ac:dyDescent="0.45">
      <c r="A501" t="str">
        <f t="shared" si="57"/>
        <v>&lt;chord time="95.976" chordId="0" highDensity="1" &gt;&lt;chordNote time="95.976" string="1" fret="7" leftHand="1" /&gt;&lt;chordNote time="95.976" string="2" fret="9" leftHand="3" /&gt;&lt;chordNote time="95.976" string="3" fret="9" leftHand="4" /&gt;&lt;/chord&gt;</v>
      </c>
      <c r="D501" s="3">
        <f t="shared" si="53"/>
        <v>95.975999999999999</v>
      </c>
      <c r="E501" s="3">
        <f t="shared" si="54"/>
        <v>76.7</v>
      </c>
      <c r="F501" t="str">
        <f t="shared" si="56"/>
        <v>76.500</v>
      </c>
      <c r="G501" t="s">
        <v>724</v>
      </c>
      <c r="I501" t="str">
        <f t="shared" si="55"/>
        <v>&lt;note time="95.976" string="1" fret="4" /&gt;</v>
      </c>
      <c r="J501" t="str">
        <f t="shared" si="58"/>
        <v>73.500</v>
      </c>
      <c r="K501" t="s">
        <v>1468</v>
      </c>
    </row>
    <row r="502" spans="1:11" x14ac:dyDescent="0.45">
      <c r="A502" t="str">
        <f t="shared" si="57"/>
        <v>&lt;chord time="96.133" chordId="0" highDensity="1" &gt;&lt;chordNote time="96.133" string="1" fret="7" leftHand="1" /&gt;&lt;chordNote time="96.133" string="2" fret="9" leftHand="3" /&gt;&lt;chordNote time="96.133" string="3" fret="9" leftHand="4" /&gt;&lt;/chord&gt;</v>
      </c>
      <c r="D502" s="3">
        <f t="shared" si="53"/>
        <v>96.132999999999996</v>
      </c>
      <c r="E502" s="3">
        <f t="shared" si="54"/>
        <v>76.825000000000003</v>
      </c>
      <c r="F502" t="str">
        <f t="shared" si="56"/>
        <v>76.625</v>
      </c>
      <c r="G502" t="s">
        <v>725</v>
      </c>
      <c r="I502" t="str">
        <f t="shared" si="55"/>
        <v>&lt;note time="96.133" string="1" fret="4" /&gt;</v>
      </c>
      <c r="J502" t="str">
        <f t="shared" si="58"/>
        <v>73.625</v>
      </c>
      <c r="K502" t="s">
        <v>1469</v>
      </c>
    </row>
    <row r="503" spans="1:11" x14ac:dyDescent="0.45">
      <c r="A503" t="str">
        <f t="shared" si="57"/>
        <v>&lt;chord time="96.289" chordId="0" highDensity="1" &gt;&lt;chordNote time="96.289" string="1" fret="7" leftHand="1" /&gt;&lt;chordNote time="96.289" string="2" fret="9" leftHand="3" /&gt;&lt;chordNote time="96.289" string="3" fret="9" leftHand="4" /&gt;&lt;/chord&gt;</v>
      </c>
      <c r="D503" s="3">
        <f t="shared" si="53"/>
        <v>96.289000000000001</v>
      </c>
      <c r="E503" s="3">
        <f t="shared" si="54"/>
        <v>76.95</v>
      </c>
      <c r="F503" t="str">
        <f t="shared" si="56"/>
        <v>76.750</v>
      </c>
      <c r="G503" t="s">
        <v>726</v>
      </c>
      <c r="I503" t="str">
        <f t="shared" si="55"/>
        <v>&lt;note time="96.289" string="1" fret="4" /&gt;</v>
      </c>
      <c r="J503" t="str">
        <f t="shared" si="58"/>
        <v>73.750</v>
      </c>
      <c r="K503" t="s">
        <v>1470</v>
      </c>
    </row>
    <row r="504" spans="1:11" x14ac:dyDescent="0.45">
      <c r="A504" t="str">
        <f t="shared" si="57"/>
        <v>&lt;chord time="96.446" chordId="0" highDensity="1" &gt;&lt;chordNote time="96.446" string="1" fret="7" leftHand="1" /&gt;&lt;chordNote time="96.446" string="2" fret="9" leftHand="3" /&gt;&lt;chordNote time="96.446" string="3" fret="9" leftHand="4" /&gt;&lt;/chord&gt;</v>
      </c>
      <c r="D504" s="3">
        <f t="shared" si="53"/>
        <v>96.445999999999998</v>
      </c>
      <c r="E504" s="3">
        <f t="shared" si="54"/>
        <v>77.075000000000003</v>
      </c>
      <c r="F504" t="str">
        <f t="shared" si="56"/>
        <v>76.875</v>
      </c>
      <c r="G504" t="s">
        <v>727</v>
      </c>
      <c r="I504" t="str">
        <f t="shared" si="55"/>
        <v>&lt;note time="96.446" string="1" fret="4" /&gt;</v>
      </c>
      <c r="J504" t="str">
        <f t="shared" si="58"/>
        <v>73.875</v>
      </c>
      <c r="K504" t="s">
        <v>1471</v>
      </c>
    </row>
    <row r="505" spans="1:11" x14ac:dyDescent="0.45">
      <c r="A505" t="str">
        <f t="shared" si="57"/>
        <v>&lt;chord time="96.602" chordId="0" highDensity="1" &gt;&lt;chordNote time="96.602" string="1" fret="7" leftHand="1" /&gt;&lt;chordNote time="96.602" string="2" fret="9" leftHand="3" /&gt;&lt;chordNote time="96.602" string="3" fret="9" leftHand="4" /&gt;&lt;/chord&gt;</v>
      </c>
      <c r="D505" s="3">
        <f t="shared" si="53"/>
        <v>96.602000000000004</v>
      </c>
      <c r="E505" s="3">
        <f t="shared" si="54"/>
        <v>77.2</v>
      </c>
      <c r="F505" t="str">
        <f t="shared" si="56"/>
        <v>77.000</v>
      </c>
      <c r="G505" t="s">
        <v>728</v>
      </c>
      <c r="I505" t="str">
        <f t="shared" si="55"/>
        <v>&lt;note time="96.602" string="1" fret="2" /&gt;</v>
      </c>
      <c r="J505" t="str">
        <f t="shared" si="58"/>
        <v>74.000</v>
      </c>
      <c r="K505" t="s">
        <v>1472</v>
      </c>
    </row>
    <row r="506" spans="1:11" x14ac:dyDescent="0.45">
      <c r="A506" t="str">
        <f t="shared" si="57"/>
        <v>&lt;chord time="96.759" chordId="0" highDensity="1" &gt;&lt;chordNote time="96.759" string="1" fret="7" leftHand="1" /&gt;&lt;chordNote time="96.759" string="2" fret="9" leftHand="3" /&gt;&lt;chordNote time="96.759" string="3" fret="9" leftHand="4" /&gt;&lt;/chord&gt;</v>
      </c>
      <c r="D506" s="3">
        <f t="shared" si="53"/>
        <v>96.759</v>
      </c>
      <c r="E506" s="3">
        <f t="shared" si="54"/>
        <v>77.325000000000003</v>
      </c>
      <c r="F506" t="str">
        <f t="shared" si="56"/>
        <v>77.125</v>
      </c>
      <c r="G506" t="s">
        <v>729</v>
      </c>
      <c r="I506" t="str">
        <f t="shared" si="55"/>
        <v>&lt;note time="96.759" string="1" fret="2" /&gt;</v>
      </c>
      <c r="J506" t="str">
        <f t="shared" si="58"/>
        <v>74.125</v>
      </c>
      <c r="K506" t="s">
        <v>1473</v>
      </c>
    </row>
    <row r="507" spans="1:11" x14ac:dyDescent="0.45">
      <c r="A507" t="str">
        <f t="shared" si="57"/>
        <v>&lt;chord time="96.915" chordId="0" highDensity="1" &gt;&lt;chordNote time="96.915" string="1" fret="7" leftHand="1" /&gt;&lt;chordNote time="96.915" string="2" fret="9" leftHand="3" /&gt;&lt;chordNote time="96.915" string="3" fret="9" leftHand="4" /&gt;&lt;/chord&gt;</v>
      </c>
      <c r="D507" s="3">
        <f t="shared" si="53"/>
        <v>96.915000000000006</v>
      </c>
      <c r="E507" s="3">
        <f t="shared" si="54"/>
        <v>77.45</v>
      </c>
      <c r="F507" t="str">
        <f t="shared" si="56"/>
        <v>77.250</v>
      </c>
      <c r="G507" t="s">
        <v>730</v>
      </c>
      <c r="I507" t="str">
        <f t="shared" si="55"/>
        <v>&lt;note time="96.915" string="1" fret="2" /&gt;</v>
      </c>
      <c r="J507" t="str">
        <f t="shared" si="58"/>
        <v>74.250</v>
      </c>
      <c r="K507" t="s">
        <v>1474</v>
      </c>
    </row>
    <row r="508" spans="1:11" x14ac:dyDescent="0.45">
      <c r="A508" t="str">
        <f t="shared" si="57"/>
        <v>&lt;chord time="97.072" chordId="0" highDensity="1" &gt;&lt;chordNote time="97.072" string="1" fret="7" leftHand="1" /&gt;&lt;chordNote time="97.072" string="2" fret="9" leftHand="3" /&gt;&lt;chordNote time="97.072" string="3" fret="9" leftHand="4" /&gt;&lt;/chord&gt;</v>
      </c>
      <c r="D508" s="3">
        <f t="shared" si="53"/>
        <v>97.072000000000003</v>
      </c>
      <c r="E508" s="3">
        <f t="shared" si="54"/>
        <v>77.575000000000003</v>
      </c>
      <c r="F508" t="str">
        <f t="shared" si="56"/>
        <v>77.375</v>
      </c>
      <c r="G508" t="s">
        <v>731</v>
      </c>
      <c r="I508" t="str">
        <f t="shared" si="55"/>
        <v>&lt;note time="97.072" string="1" fret="2" /&gt;</v>
      </c>
      <c r="J508" t="str">
        <f t="shared" si="58"/>
        <v>74.375</v>
      </c>
      <c r="K508" t="s">
        <v>1475</v>
      </c>
    </row>
    <row r="509" spans="1:11" x14ac:dyDescent="0.45">
      <c r="A509" t="str">
        <f t="shared" si="57"/>
        <v>&lt;chord time="97.228" chordId="0" highDensity="1" &gt;&lt;chordNote time="97.228" string="1" fret="7" leftHand="1" /&gt;&lt;chordNote time="97.228" string="2" fret="9" leftHand="3" /&gt;&lt;chordNote time="97.228" string="3" fret="9" leftHand="4" /&gt;&lt;/chord&gt;</v>
      </c>
      <c r="D509" s="3">
        <f t="shared" si="53"/>
        <v>97.227999999999994</v>
      </c>
      <c r="E509" s="3">
        <f t="shared" si="54"/>
        <v>77.7</v>
      </c>
      <c r="F509" t="str">
        <f t="shared" si="56"/>
        <v>77.500</v>
      </c>
      <c r="G509" t="s">
        <v>732</v>
      </c>
      <c r="I509" t="str">
        <f t="shared" si="55"/>
        <v>&lt;note time="97.228" string="1" fret="2" /&gt;</v>
      </c>
      <c r="J509" t="str">
        <f t="shared" si="58"/>
        <v>74.500</v>
      </c>
      <c r="K509" t="s">
        <v>1476</v>
      </c>
    </row>
    <row r="510" spans="1:11" x14ac:dyDescent="0.45">
      <c r="A510" t="str">
        <f t="shared" si="57"/>
        <v>&lt;chord time="97.385" chordId="0" highDensity="1" &gt;&lt;chordNote time="97.385" string="1" fret="7" leftHand="1" /&gt;&lt;chordNote time="97.385" string="2" fret="9" leftHand="3" /&gt;&lt;chordNote time="97.385" string="3" fret="9" leftHand="4" /&gt;&lt;/chord&gt;</v>
      </c>
      <c r="D510" s="3">
        <f t="shared" si="53"/>
        <v>97.385000000000005</v>
      </c>
      <c r="E510" s="3">
        <f t="shared" si="54"/>
        <v>77.825000000000003</v>
      </c>
      <c r="F510" t="str">
        <f t="shared" si="56"/>
        <v>77.625</v>
      </c>
      <c r="G510" t="s">
        <v>733</v>
      </c>
      <c r="I510" t="str">
        <f t="shared" si="55"/>
        <v>&lt;note time="97.385" string="1" fret="2" /&gt;</v>
      </c>
      <c r="J510" t="str">
        <f t="shared" si="58"/>
        <v>74.625</v>
      </c>
      <c r="K510" t="s">
        <v>1477</v>
      </c>
    </row>
    <row r="511" spans="1:11" x14ac:dyDescent="0.45">
      <c r="A511" t="str">
        <f t="shared" si="57"/>
        <v>&lt;chord time="97.541" chordId="0" highDensity="1" &gt;&lt;chordNote time="97.541" string="1" fret="7" leftHand="1" /&gt;&lt;chordNote time="97.541" string="2" fret="9" leftHand="3" /&gt;&lt;chordNote time="97.541" string="3" fret="9" leftHand="4" /&gt;&lt;/chord&gt;</v>
      </c>
      <c r="D511" s="3">
        <f t="shared" si="53"/>
        <v>97.540999999999997</v>
      </c>
      <c r="E511" s="3">
        <f t="shared" si="54"/>
        <v>77.95</v>
      </c>
      <c r="F511" t="str">
        <f t="shared" si="56"/>
        <v>77.750</v>
      </c>
      <c r="G511" t="s">
        <v>734</v>
      </c>
      <c r="I511" t="str">
        <f t="shared" si="55"/>
        <v>&lt;note time="97.541" string="1" fret="2" /&gt;</v>
      </c>
      <c r="J511" t="str">
        <f t="shared" si="58"/>
        <v>74.750</v>
      </c>
      <c r="K511" t="s">
        <v>1478</v>
      </c>
    </row>
    <row r="512" spans="1:11" x14ac:dyDescent="0.45">
      <c r="A512" t="str">
        <f t="shared" si="57"/>
        <v>&lt;chord time="97.698" chordId="0" highDensity="1" &gt;&lt;chordNote time="97.698" string="1" fret="7" leftHand="1" /&gt;&lt;chordNote time="97.698" string="2" fret="9" leftHand="3" /&gt;&lt;chordNote time="97.698" string="3" fret="9" leftHand="4" /&gt;&lt;/chord&gt;</v>
      </c>
      <c r="D512" s="3">
        <f t="shared" si="53"/>
        <v>97.697999999999993</v>
      </c>
      <c r="E512" s="3">
        <f t="shared" si="54"/>
        <v>78.075000000000003</v>
      </c>
      <c r="F512" t="str">
        <f t="shared" si="56"/>
        <v>77.875</v>
      </c>
      <c r="G512" t="s">
        <v>735</v>
      </c>
      <c r="I512" t="str">
        <f t="shared" si="55"/>
        <v>&lt;note time="97.698" string="1" fret="2" /&gt;</v>
      </c>
      <c r="J512" t="str">
        <f t="shared" si="58"/>
        <v>74.875</v>
      </c>
      <c r="K512" t="s">
        <v>1479</v>
      </c>
    </row>
    <row r="513" spans="1:11" x14ac:dyDescent="0.45">
      <c r="A513" t="str">
        <f t="shared" si="57"/>
        <v>&lt;chord time="97.854" chordId="1" &gt;&lt;chordNote time="97.854" string="1" fret="9" leftHand="1" /&gt;&lt;chordNote time="97.854" string="2" fret="11" leftHand="3" /&gt;&lt;chordNote time="97.854" string="3" fret="11" leftHand="4" /&gt;&lt;/chord&gt;</v>
      </c>
      <c r="D513" s="3">
        <f t="shared" si="53"/>
        <v>97.853999999999999</v>
      </c>
      <c r="E513" s="3">
        <f t="shared" si="54"/>
        <v>78.2</v>
      </c>
      <c r="F513" t="str">
        <f t="shared" si="56"/>
        <v>78.000</v>
      </c>
      <c r="G513" t="s">
        <v>736</v>
      </c>
      <c r="I513" t="str">
        <f t="shared" si="55"/>
        <v>&lt;note time="97.854" string="1" fret="2" /&gt;</v>
      </c>
      <c r="J513" t="str">
        <f t="shared" si="58"/>
        <v>75.000</v>
      </c>
      <c r="K513" t="s">
        <v>1480</v>
      </c>
    </row>
    <row r="514" spans="1:11" x14ac:dyDescent="0.45">
      <c r="A514" t="str">
        <f t="shared" si="57"/>
        <v>&lt;chord time="98.011" chordId="1" highDensity="1" &gt;&lt;chordNote time="98.011" string="1" fret="9" leftHand="1" /&gt;&lt;chordNote time="98.011" string="2" fret="11" leftHand="3" /&gt;&lt;chordNote time="98.011" string="3" fret="11" leftHand="4" /&gt;&lt;/chord&gt;</v>
      </c>
      <c r="D514" s="3">
        <f t="shared" ref="D514:D577" si="59">ROUNDDOWN(E514-($C$3*(E514-$E$1)/100),3)</f>
        <v>98.010999999999996</v>
      </c>
      <c r="E514" s="3">
        <f t="shared" ref="E514:E577" si="60">0.2+F514</f>
        <v>78.325000000000003</v>
      </c>
      <c r="F514" t="str">
        <f t="shared" si="56"/>
        <v>78.125</v>
      </c>
      <c r="G514" t="s">
        <v>737</v>
      </c>
      <c r="I514" t="str">
        <f t="shared" ref="I514:I577" si="61">SUBSTITUTE(K514,J514,TEXT(D514,"0.000"))</f>
        <v>&lt;note time="98.011" string="1" fret="2" /&gt;</v>
      </c>
      <c r="J514" t="str">
        <f t="shared" si="58"/>
        <v>75.125</v>
      </c>
      <c r="K514" t="s">
        <v>1481</v>
      </c>
    </row>
    <row r="515" spans="1:11" x14ac:dyDescent="0.45">
      <c r="A515" t="str">
        <f t="shared" si="57"/>
        <v>&lt;chord time="98.167" chordId="1" highDensity="1" &gt;&lt;chordNote time="98.167" string="1" fret="9" leftHand="1" /&gt;&lt;chordNote time="98.167" string="2" fret="11" leftHand="3" /&gt;&lt;chordNote time="98.167" string="3" fret="11" leftHand="4" /&gt;&lt;/chord&gt;</v>
      </c>
      <c r="D515" s="3">
        <f t="shared" si="59"/>
        <v>98.167000000000002</v>
      </c>
      <c r="E515" s="3">
        <f t="shared" si="60"/>
        <v>78.45</v>
      </c>
      <c r="F515" t="str">
        <f t="shared" si="56"/>
        <v>78.250</v>
      </c>
      <c r="G515" t="s">
        <v>738</v>
      </c>
      <c r="I515" t="str">
        <f t="shared" si="61"/>
        <v>&lt;note time="98.167" string="1" fret="2" /&gt;</v>
      </c>
      <c r="J515" t="str">
        <f t="shared" si="58"/>
        <v>75.250</v>
      </c>
      <c r="K515" t="s">
        <v>1482</v>
      </c>
    </row>
    <row r="516" spans="1:11" x14ac:dyDescent="0.45">
      <c r="A516" t="str">
        <f t="shared" si="57"/>
        <v>&lt;chord time="98.324" chordId="1" highDensity="1" &gt;&lt;chordNote time="98.324" string="1" fret="9" leftHand="1" /&gt;&lt;chordNote time="98.324" string="2" fret="11" leftHand="3" /&gt;&lt;chordNote time="98.324" string="3" fret="11" leftHand="4" /&gt;&lt;/chord&gt;</v>
      </c>
      <c r="D516" s="3">
        <f t="shared" si="59"/>
        <v>98.323999999999998</v>
      </c>
      <c r="E516" s="3">
        <f t="shared" si="60"/>
        <v>78.575000000000003</v>
      </c>
      <c r="F516" t="str">
        <f t="shared" si="56"/>
        <v>78.375</v>
      </c>
      <c r="G516" t="s">
        <v>739</v>
      </c>
      <c r="I516" t="str">
        <f t="shared" si="61"/>
        <v>&lt;note time="98.324" string="1" fret="2" /&gt;</v>
      </c>
      <c r="J516" t="str">
        <f t="shared" si="58"/>
        <v>75.375</v>
      </c>
      <c r="K516" t="s">
        <v>1483</v>
      </c>
    </row>
    <row r="517" spans="1:11" x14ac:dyDescent="0.45">
      <c r="A517" t="str">
        <f t="shared" si="57"/>
        <v>&lt;chord time="98.480" chordId="1" highDensity="1" &gt;&lt;chordNote time="98.480" string="1" fret="9" leftHand="1" /&gt;&lt;chordNote time="98.480" string="2" fret="11" leftHand="3" /&gt;&lt;chordNote time="98.480" string="3" fret="11" leftHand="4" /&gt;&lt;/chord&gt;</v>
      </c>
      <c r="D517" s="3">
        <f t="shared" si="59"/>
        <v>98.48</v>
      </c>
      <c r="E517" s="3">
        <f t="shared" si="60"/>
        <v>78.7</v>
      </c>
      <c r="F517" t="str">
        <f t="shared" si="56"/>
        <v>78.500</v>
      </c>
      <c r="G517" t="s">
        <v>740</v>
      </c>
      <c r="I517" t="str">
        <f t="shared" si="61"/>
        <v>&lt;note time="98.480" string="1" fret="2" /&gt;</v>
      </c>
      <c r="J517" t="str">
        <f t="shared" si="58"/>
        <v>75.500</v>
      </c>
      <c r="K517" t="s">
        <v>1484</v>
      </c>
    </row>
    <row r="518" spans="1:11" x14ac:dyDescent="0.45">
      <c r="A518" t="str">
        <f t="shared" si="57"/>
        <v>&lt;chord time="98.637" chordId="1" highDensity="1" &gt;&lt;chordNote time="98.637" string="1" fret="9" leftHand="1" /&gt;&lt;chordNote time="98.637" string="2" fret="11" leftHand="3" /&gt;&lt;chordNote time="98.637" string="3" fret="11" leftHand="4" /&gt;&lt;/chord&gt;</v>
      </c>
      <c r="D518" s="3">
        <f t="shared" si="59"/>
        <v>98.637</v>
      </c>
      <c r="E518" s="3">
        <f t="shared" si="60"/>
        <v>78.825000000000003</v>
      </c>
      <c r="F518" t="str">
        <f t="shared" si="56"/>
        <v>78.625</v>
      </c>
      <c r="G518" t="s">
        <v>741</v>
      </c>
      <c r="I518" t="str">
        <f t="shared" si="61"/>
        <v>&lt;note time="98.637" string="1" fret="2" /&gt;</v>
      </c>
      <c r="J518" t="str">
        <f t="shared" si="58"/>
        <v>75.625</v>
      </c>
      <c r="K518" t="s">
        <v>1485</v>
      </c>
    </row>
    <row r="519" spans="1:11" x14ac:dyDescent="0.45">
      <c r="A519" t="str">
        <f t="shared" si="57"/>
        <v>&lt;chord time="98.793" chordId="1" highDensity="1" &gt;&lt;chordNote time="98.793" string="1" fret="9" leftHand="1" /&gt;&lt;chordNote time="98.793" string="2" fret="11" leftHand="3" /&gt;&lt;chordNote time="98.793" string="3" fret="11" leftHand="4" /&gt;&lt;/chord&gt;</v>
      </c>
      <c r="D519" s="3">
        <f t="shared" si="59"/>
        <v>98.793000000000006</v>
      </c>
      <c r="E519" s="3">
        <f t="shared" si="60"/>
        <v>78.95</v>
      </c>
      <c r="F519" t="str">
        <f t="shared" si="56"/>
        <v>78.750</v>
      </c>
      <c r="G519" t="s">
        <v>742</v>
      </c>
      <c r="I519" t="str">
        <f t="shared" si="61"/>
        <v>&lt;note time="98.793" string="1" fret="2" /&gt;</v>
      </c>
      <c r="J519" t="str">
        <f t="shared" si="58"/>
        <v>75.750</v>
      </c>
      <c r="K519" t="s">
        <v>1486</v>
      </c>
    </row>
    <row r="520" spans="1:11" x14ac:dyDescent="0.45">
      <c r="A520" t="str">
        <f t="shared" si="57"/>
        <v>&lt;chord time="98.950" chordId="1" highDensity="1" &gt;&lt;chordNote time="98.950" string="1" fret="9" leftHand="1" /&gt;&lt;chordNote time="98.950" string="2" fret="11" leftHand="3" /&gt;&lt;chordNote time="98.950" string="3" fret="11" leftHand="4" /&gt;&lt;/chord&gt;</v>
      </c>
      <c r="D520" s="3">
        <f t="shared" si="59"/>
        <v>98.95</v>
      </c>
      <c r="E520" s="3">
        <f t="shared" si="60"/>
        <v>79.075000000000003</v>
      </c>
      <c r="F520" t="str">
        <f t="shared" si="56"/>
        <v>78.875</v>
      </c>
      <c r="G520" t="s">
        <v>743</v>
      </c>
      <c r="I520" t="str">
        <f t="shared" si="61"/>
        <v>&lt;note time="98.950" string="1" fret="2" /&gt;</v>
      </c>
      <c r="J520" t="str">
        <f t="shared" si="58"/>
        <v>75.875</v>
      </c>
      <c r="K520" t="s">
        <v>1487</v>
      </c>
    </row>
    <row r="521" spans="1:11" x14ac:dyDescent="0.45">
      <c r="A521" t="str">
        <f t="shared" si="57"/>
        <v>&lt;chord time="99.106" chordId="1" highDensity="1" &gt;&lt;chordNote time="99.106" string="1" fret="9" leftHand="1" /&gt;&lt;chordNote time="99.106" string="2" fret="11" leftHand="3" /&gt;&lt;chordNote time="99.106" string="3" fret="11" leftHand="4" /&gt;&lt;/chord&gt;</v>
      </c>
      <c r="D521" s="3">
        <f t="shared" si="59"/>
        <v>99.105999999999995</v>
      </c>
      <c r="E521" s="3">
        <f t="shared" si="60"/>
        <v>79.2</v>
      </c>
      <c r="F521" t="str">
        <f t="shared" si="56"/>
        <v>79.000</v>
      </c>
      <c r="G521" t="s">
        <v>744</v>
      </c>
      <c r="I521" t="str">
        <f t="shared" si="61"/>
        <v>&lt;note time="99.106" string="1" fret="7" /&gt;</v>
      </c>
      <c r="J521" t="str">
        <f t="shared" si="58"/>
        <v>76.000</v>
      </c>
      <c r="K521" t="s">
        <v>1488</v>
      </c>
    </row>
    <row r="522" spans="1:11" x14ac:dyDescent="0.45">
      <c r="A522" t="str">
        <f t="shared" si="57"/>
        <v>&lt;chord time="99.263" chordId="1" highDensity="1" &gt;&lt;chordNote time="99.263" string="1" fret="9" leftHand="1" /&gt;&lt;chordNote time="99.263" string="2" fret="11" leftHand="3" /&gt;&lt;chordNote time="99.263" string="3" fret="11" leftHand="4" /&gt;&lt;/chord&gt;</v>
      </c>
      <c r="D522" s="3">
        <f t="shared" si="59"/>
        <v>99.263000000000005</v>
      </c>
      <c r="E522" s="3">
        <f t="shared" si="60"/>
        <v>79.325000000000003</v>
      </c>
      <c r="F522" t="str">
        <f t="shared" si="56"/>
        <v>79.125</v>
      </c>
      <c r="G522" t="s">
        <v>745</v>
      </c>
      <c r="I522" t="str">
        <f t="shared" si="61"/>
        <v>&lt;note time="99.263" string="1" fret="7" /&gt;</v>
      </c>
      <c r="J522" t="str">
        <f t="shared" si="58"/>
        <v>76.125</v>
      </c>
      <c r="K522" t="s">
        <v>1489</v>
      </c>
    </row>
    <row r="523" spans="1:11" x14ac:dyDescent="0.45">
      <c r="A523" t="str">
        <f t="shared" si="57"/>
        <v>&lt;chord time="99.419" chordId="1" highDensity="1" &gt;&lt;chordNote time="99.419" string="1" fret="9" leftHand="1" /&gt;&lt;chordNote time="99.419" string="2" fret="11" leftHand="3" /&gt;&lt;chordNote time="99.419" string="3" fret="11" leftHand="4" /&gt;&lt;/chord&gt;</v>
      </c>
      <c r="D523" s="3">
        <f t="shared" si="59"/>
        <v>99.418999999999997</v>
      </c>
      <c r="E523" s="3">
        <f t="shared" si="60"/>
        <v>79.45</v>
      </c>
      <c r="F523" t="str">
        <f t="shared" si="56"/>
        <v>79.250</v>
      </c>
      <c r="G523" t="s">
        <v>746</v>
      </c>
      <c r="I523" t="str">
        <f t="shared" si="61"/>
        <v>&lt;note time="99.419" string="1" fret="7" /&gt;</v>
      </c>
      <c r="J523" t="str">
        <f t="shared" si="58"/>
        <v>76.250</v>
      </c>
      <c r="K523" t="s">
        <v>1490</v>
      </c>
    </row>
    <row r="524" spans="1:11" x14ac:dyDescent="0.45">
      <c r="A524" t="str">
        <f t="shared" si="57"/>
        <v>&lt;chord time="99.576" chordId="1" highDensity="1" &gt;&lt;chordNote time="99.576" string="1" fret="9" leftHand="1" /&gt;&lt;chordNote time="99.576" string="2" fret="11" leftHand="3" /&gt;&lt;chordNote time="99.576" string="3" fret="11" leftHand="4" /&gt;&lt;/chord&gt;</v>
      </c>
      <c r="D524" s="3">
        <f t="shared" si="59"/>
        <v>99.575999999999993</v>
      </c>
      <c r="E524" s="3">
        <f t="shared" si="60"/>
        <v>79.575000000000003</v>
      </c>
      <c r="F524" t="str">
        <f t="shared" si="56"/>
        <v>79.375</v>
      </c>
      <c r="G524" t="s">
        <v>747</v>
      </c>
      <c r="I524" t="str">
        <f t="shared" si="61"/>
        <v>&lt;note time="99.576" string="1" fret="7" /&gt;</v>
      </c>
      <c r="J524" t="str">
        <f t="shared" si="58"/>
        <v>76.375</v>
      </c>
      <c r="K524" t="s">
        <v>1491</v>
      </c>
    </row>
    <row r="525" spans="1:11" x14ac:dyDescent="0.45">
      <c r="A525" t="str">
        <f t="shared" si="57"/>
        <v>&lt;chord time="99.732" chordId="1" highDensity="1" &gt;&lt;chordNote time="99.732" string="1" fret="9" leftHand="1" /&gt;&lt;chordNote time="99.732" string="2" fret="11" leftHand="3" /&gt;&lt;chordNote time="99.732" string="3" fret="11" leftHand="4" /&gt;&lt;/chord&gt;</v>
      </c>
      <c r="D525" s="3">
        <f t="shared" si="59"/>
        <v>99.731999999999999</v>
      </c>
      <c r="E525" s="3">
        <f t="shared" si="60"/>
        <v>79.7</v>
      </c>
      <c r="F525" t="str">
        <f t="shared" si="56"/>
        <v>79.500</v>
      </c>
      <c r="G525" t="s">
        <v>748</v>
      </c>
      <c r="I525" t="str">
        <f t="shared" si="61"/>
        <v>&lt;note time="99.732" string="1" fret="7" /&gt;</v>
      </c>
      <c r="J525" t="str">
        <f t="shared" si="58"/>
        <v>76.500</v>
      </c>
      <c r="K525" t="s">
        <v>1492</v>
      </c>
    </row>
    <row r="526" spans="1:11" x14ac:dyDescent="0.45">
      <c r="A526" t="str">
        <f t="shared" si="57"/>
        <v>&lt;chord time="99.889" chordId="1" highDensity="1" &gt;&lt;chordNote time="99.889" string="1" fret="9" leftHand="1" /&gt;&lt;chordNote time="99.889" string="2" fret="11" leftHand="3" /&gt;&lt;chordNote time="99.889" string="3" fret="11" leftHand="4" /&gt;&lt;/chord&gt;</v>
      </c>
      <c r="D526" s="3">
        <f t="shared" si="59"/>
        <v>99.888999999999996</v>
      </c>
      <c r="E526" s="3">
        <f t="shared" si="60"/>
        <v>79.825000000000003</v>
      </c>
      <c r="F526" t="str">
        <f t="shared" si="56"/>
        <v>79.625</v>
      </c>
      <c r="G526" t="s">
        <v>749</v>
      </c>
      <c r="I526" t="str">
        <f t="shared" si="61"/>
        <v>&lt;note time="99.889" string="1" fret="7" /&gt;</v>
      </c>
      <c r="J526" t="str">
        <f t="shared" si="58"/>
        <v>76.625</v>
      </c>
      <c r="K526" t="s">
        <v>1493</v>
      </c>
    </row>
    <row r="527" spans="1:11" x14ac:dyDescent="0.45">
      <c r="A527" t="str">
        <f t="shared" si="57"/>
        <v>&lt;chord time="100.045" chordId="1" highDensity="1" &gt;&lt;chordNote time="100.045" string="1" fret="9" leftHand="1" /&gt;&lt;chordNote time="100.045" string="2" fret="11" leftHand="3" /&gt;&lt;chordNote time="100.045" string="3" fret="11" leftHand="4" /&gt;&lt;/chord&gt;</v>
      </c>
      <c r="D527" s="3">
        <f t="shared" si="59"/>
        <v>100.045</v>
      </c>
      <c r="E527" s="3">
        <f t="shared" si="60"/>
        <v>79.95</v>
      </c>
      <c r="F527" t="str">
        <f t="shared" si="56"/>
        <v>79.750</v>
      </c>
      <c r="G527" t="s">
        <v>750</v>
      </c>
      <c r="I527" t="str">
        <f t="shared" si="61"/>
        <v>&lt;note time="100.045" string="1" fret="7" /&gt;</v>
      </c>
      <c r="J527" t="str">
        <f t="shared" si="58"/>
        <v>76.750</v>
      </c>
      <c r="K527" t="s">
        <v>1494</v>
      </c>
    </row>
    <row r="528" spans="1:11" x14ac:dyDescent="0.45">
      <c r="A528" t="str">
        <f t="shared" si="57"/>
        <v>&lt;chord time="100.202" chordId="1" highDensity="1" &gt;&lt;chordNote time="100.202" string="1" fret="9" leftHand="1" /&gt;&lt;chordNote time="100.202" string="2" fret="11" leftHand="3" /&gt;&lt;chordNote time="100.202" string="3" fret="11" leftHand="4" /&gt;&lt;/chord&gt;</v>
      </c>
      <c r="D528" s="3">
        <f t="shared" si="59"/>
        <v>100.202</v>
      </c>
      <c r="E528" s="3">
        <f t="shared" si="60"/>
        <v>80.075000000000003</v>
      </c>
      <c r="F528" t="str">
        <f t="shared" si="56"/>
        <v>79.875</v>
      </c>
      <c r="G528" t="s">
        <v>751</v>
      </c>
      <c r="I528" t="str">
        <f t="shared" si="61"/>
        <v>&lt;note time="100.202" string="1" fret="7" /&gt;</v>
      </c>
      <c r="J528" t="str">
        <f t="shared" si="58"/>
        <v>76.875</v>
      </c>
      <c r="K528" t="s">
        <v>1495</v>
      </c>
    </row>
    <row r="529" spans="1:11" x14ac:dyDescent="0.45">
      <c r="A529" t="str">
        <f t="shared" si="57"/>
        <v>&lt;chord time="100.358" chordId="3" &gt;&lt;chordNote time="100.358" string="1" fret="4" leftHand="1" /&gt;&lt;chordNote time="100.358" string="2" fret="6" leftHand="3" /&gt;&lt;chordNote time="100.358" string="3" fret="6" leftHand="4" /&gt;&lt;/chord&gt;</v>
      </c>
      <c r="D529" s="3">
        <f t="shared" si="59"/>
        <v>100.358</v>
      </c>
      <c r="E529" s="3">
        <f t="shared" si="60"/>
        <v>80.2</v>
      </c>
      <c r="F529" t="str">
        <f t="shared" ref="F529:F592" si="62">RIGHT(LEFT(G529,19),6)</f>
        <v>80.000</v>
      </c>
      <c r="G529" t="s">
        <v>752</v>
      </c>
      <c r="I529" t="str">
        <f t="shared" si="61"/>
        <v>&lt;note time="100.358" string="1" fret="7" /&gt;</v>
      </c>
      <c r="J529" t="str">
        <f t="shared" si="58"/>
        <v>77.000</v>
      </c>
      <c r="K529" t="s">
        <v>1496</v>
      </c>
    </row>
    <row r="530" spans="1:11" x14ac:dyDescent="0.45">
      <c r="A530" t="str">
        <f t="shared" ref="A530:A593" si="63">SUBSTITUTE(G530,F530,TEXT(D530,"0.000"))</f>
        <v>&lt;chord time="100.515" chordId="3" highDensity="1" &gt;&lt;chordNote time="100.515" string="1" fret="4" leftHand="1" /&gt;&lt;chordNote time="100.515" string="2" fret="6" leftHand="3" /&gt;&lt;chordNote time="100.515" string="3" fret="6" leftHand="4" /&gt;&lt;/chord&gt;</v>
      </c>
      <c r="D530" s="3">
        <f t="shared" si="59"/>
        <v>100.515</v>
      </c>
      <c r="E530" s="3">
        <f t="shared" si="60"/>
        <v>80.325000000000003</v>
      </c>
      <c r="F530" t="str">
        <f t="shared" si="62"/>
        <v>80.125</v>
      </c>
      <c r="G530" t="s">
        <v>753</v>
      </c>
      <c r="I530" t="str">
        <f t="shared" si="61"/>
        <v>&lt;note time="100.515" string="1" fret="7" /&gt;</v>
      </c>
      <c r="J530" t="str">
        <f t="shared" si="58"/>
        <v>77.125</v>
      </c>
      <c r="K530" t="s">
        <v>1497</v>
      </c>
    </row>
    <row r="531" spans="1:11" x14ac:dyDescent="0.45">
      <c r="A531" t="str">
        <f t="shared" si="63"/>
        <v>&lt;chord time="100.671" chordId="3" highDensity="1" &gt;&lt;chordNote time="100.671" string="1" fret="4" leftHand="1" /&gt;&lt;chordNote time="100.671" string="2" fret="6" leftHand="3" /&gt;&lt;chordNote time="100.671" string="3" fret="6" leftHand="4" /&gt;&lt;/chord&gt;</v>
      </c>
      <c r="D531" s="3">
        <f t="shared" si="59"/>
        <v>100.67100000000001</v>
      </c>
      <c r="E531" s="3">
        <f t="shared" si="60"/>
        <v>80.45</v>
      </c>
      <c r="F531" t="str">
        <f t="shared" si="62"/>
        <v>80.250</v>
      </c>
      <c r="G531" t="s">
        <v>754</v>
      </c>
      <c r="I531" t="str">
        <f t="shared" si="61"/>
        <v>&lt;note time="100.671" string="1" fret="7" /&gt;</v>
      </c>
      <c r="J531" t="str">
        <f t="shared" si="58"/>
        <v>77.250</v>
      </c>
      <c r="K531" t="s">
        <v>1498</v>
      </c>
    </row>
    <row r="532" spans="1:11" x14ac:dyDescent="0.45">
      <c r="A532" t="str">
        <f t="shared" si="63"/>
        <v>&lt;chord time="100.828" chordId="3" highDensity="1" &gt;&lt;chordNote time="100.828" string="1" fret="4" leftHand="1" /&gt;&lt;chordNote time="100.828" string="2" fret="6" leftHand="3" /&gt;&lt;chordNote time="100.828" string="3" fret="6" leftHand="4" /&gt;&lt;/chord&gt;</v>
      </c>
      <c r="D532" s="3">
        <f t="shared" si="59"/>
        <v>100.828</v>
      </c>
      <c r="E532" s="3">
        <f t="shared" si="60"/>
        <v>80.575000000000003</v>
      </c>
      <c r="F532" t="str">
        <f t="shared" si="62"/>
        <v>80.375</v>
      </c>
      <c r="G532" t="s">
        <v>755</v>
      </c>
      <c r="I532" t="str">
        <f t="shared" si="61"/>
        <v>&lt;note time="100.828" string="1" fret="7" /&gt;</v>
      </c>
      <c r="J532" t="str">
        <f t="shared" si="58"/>
        <v>77.375</v>
      </c>
      <c r="K532" t="s">
        <v>1499</v>
      </c>
    </row>
    <row r="533" spans="1:11" x14ac:dyDescent="0.45">
      <c r="A533" t="str">
        <f t="shared" si="63"/>
        <v>&lt;chord time="100.984" chordId="3" highDensity="1" &gt;&lt;chordNote time="100.984" string="1" fret="4" leftHand="1" /&gt;&lt;chordNote time="100.984" string="2" fret="6" leftHand="3" /&gt;&lt;chordNote time="100.984" string="3" fret="6" leftHand="4" /&gt;&lt;/chord&gt;</v>
      </c>
      <c r="D533" s="3">
        <f t="shared" si="59"/>
        <v>100.98399999999999</v>
      </c>
      <c r="E533" s="3">
        <f t="shared" si="60"/>
        <v>80.7</v>
      </c>
      <c r="F533" t="str">
        <f t="shared" si="62"/>
        <v>80.500</v>
      </c>
      <c r="G533" t="s">
        <v>756</v>
      </c>
      <c r="I533" t="str">
        <f t="shared" si="61"/>
        <v>&lt;note time="100.984" string="1" fret="7" /&gt;</v>
      </c>
      <c r="J533" t="str">
        <f t="shared" si="58"/>
        <v>77.500</v>
      </c>
      <c r="K533" t="s">
        <v>1500</v>
      </c>
    </row>
    <row r="534" spans="1:11" x14ac:dyDescent="0.45">
      <c r="A534" t="str">
        <f t="shared" si="63"/>
        <v>&lt;chord time="101.141" chordId="3" highDensity="1" &gt;&lt;chordNote time="101.141" string="1" fret="4" leftHand="1" /&gt;&lt;chordNote time="101.141" string="2" fret="6" leftHand="3" /&gt;&lt;chordNote time="101.141" string="3" fret="6" leftHand="4" /&gt;&lt;/chord&gt;</v>
      </c>
      <c r="D534" s="3">
        <f t="shared" si="59"/>
        <v>101.14100000000001</v>
      </c>
      <c r="E534" s="3">
        <f t="shared" si="60"/>
        <v>80.825000000000003</v>
      </c>
      <c r="F534" t="str">
        <f t="shared" si="62"/>
        <v>80.625</v>
      </c>
      <c r="G534" t="s">
        <v>757</v>
      </c>
      <c r="I534" t="str">
        <f t="shared" si="61"/>
        <v>&lt;note time="101.141" string="1" fret="7" /&gt;</v>
      </c>
      <c r="J534" t="str">
        <f t="shared" si="58"/>
        <v>77.625</v>
      </c>
      <c r="K534" t="s">
        <v>1501</v>
      </c>
    </row>
    <row r="535" spans="1:11" x14ac:dyDescent="0.45">
      <c r="A535" t="str">
        <f t="shared" si="63"/>
        <v>&lt;chord time="101.297" chordId="3" highDensity="1" &gt;&lt;chordNote time="101.297" string="1" fret="4" leftHand="1" /&gt;&lt;chordNote time="101.297" string="2" fret="6" leftHand="3" /&gt;&lt;chordNote time="101.297" string="3" fret="6" leftHand="4" /&gt;&lt;/chord&gt;</v>
      </c>
      <c r="D535" s="3">
        <f t="shared" si="59"/>
        <v>101.297</v>
      </c>
      <c r="E535" s="3">
        <f t="shared" si="60"/>
        <v>80.95</v>
      </c>
      <c r="F535" t="str">
        <f t="shared" si="62"/>
        <v>80.750</v>
      </c>
      <c r="G535" t="s">
        <v>758</v>
      </c>
      <c r="I535" t="str">
        <f t="shared" si="61"/>
        <v>&lt;note time="101.297" string="1" fret="7" /&gt;</v>
      </c>
      <c r="J535" t="str">
        <f t="shared" si="58"/>
        <v>77.750</v>
      </c>
      <c r="K535" t="s">
        <v>1502</v>
      </c>
    </row>
    <row r="536" spans="1:11" x14ac:dyDescent="0.45">
      <c r="A536" t="str">
        <f t="shared" si="63"/>
        <v>&lt;chord time="101.454" chordId="3" highDensity="1" &gt;&lt;chordNote time="101.454" string="1" fret="4" leftHand="1" /&gt;&lt;chordNote time="101.454" string="2" fret="6" leftHand="3" /&gt;&lt;chordNote time="101.454" string="3" fret="6" leftHand="4" /&gt;&lt;/chord&gt;</v>
      </c>
      <c r="D536" s="3">
        <f t="shared" si="59"/>
        <v>101.45399999999999</v>
      </c>
      <c r="E536" s="3">
        <f t="shared" si="60"/>
        <v>81.075000000000003</v>
      </c>
      <c r="F536" t="str">
        <f t="shared" si="62"/>
        <v>80.875</v>
      </c>
      <c r="G536" t="s">
        <v>759</v>
      </c>
      <c r="I536" t="str">
        <f t="shared" si="61"/>
        <v>&lt;note time="101.454" string="1" fret="7" /&gt;</v>
      </c>
      <c r="J536" t="str">
        <f t="shared" si="58"/>
        <v>77.875</v>
      </c>
      <c r="K536" t="s">
        <v>1503</v>
      </c>
    </row>
    <row r="537" spans="1:11" x14ac:dyDescent="0.45">
      <c r="A537" t="str">
        <f t="shared" si="63"/>
        <v>&lt;chord time="101.610" chordId="3" highDensity="1" &gt;&lt;chordNote time="101.610" string="1" fret="4" leftHand="1" /&gt;&lt;chordNote time="101.610" string="2" fret="6" leftHand="3" /&gt;&lt;chordNote time="101.610" string="3" fret="6" leftHand="4" /&gt;&lt;/chord&gt;</v>
      </c>
      <c r="D537" s="3">
        <f t="shared" si="59"/>
        <v>101.61</v>
      </c>
      <c r="E537" s="3">
        <f t="shared" si="60"/>
        <v>81.2</v>
      </c>
      <c r="F537" t="str">
        <f t="shared" si="62"/>
        <v>81.000</v>
      </c>
      <c r="G537" t="s">
        <v>760</v>
      </c>
      <c r="I537" t="str">
        <f t="shared" si="61"/>
        <v>&lt;note time="101.610" string="1" fret="9" /&gt;</v>
      </c>
      <c r="J537" t="str">
        <f t="shared" si="58"/>
        <v>78.000</v>
      </c>
      <c r="K537" t="s">
        <v>1504</v>
      </c>
    </row>
    <row r="538" spans="1:11" x14ac:dyDescent="0.45">
      <c r="A538" t="str">
        <f t="shared" si="63"/>
        <v>&lt;chord time="101.767" chordId="3" highDensity="1" &gt;&lt;chordNote time="101.767" string="1" fret="4" leftHand="1" /&gt;&lt;chordNote time="101.767" string="2" fret="6" leftHand="3" /&gt;&lt;chordNote time="101.767" string="3" fret="6" leftHand="4" /&gt;&lt;/chord&gt;</v>
      </c>
      <c r="D538" s="3">
        <f t="shared" si="59"/>
        <v>101.767</v>
      </c>
      <c r="E538" s="3">
        <f t="shared" si="60"/>
        <v>81.325000000000003</v>
      </c>
      <c r="F538" t="str">
        <f t="shared" si="62"/>
        <v>81.125</v>
      </c>
      <c r="G538" t="s">
        <v>761</v>
      </c>
      <c r="I538" t="str">
        <f t="shared" si="61"/>
        <v>&lt;note time="101.767" string="1" fret="9" /&gt;</v>
      </c>
      <c r="J538" t="str">
        <f t="shared" si="58"/>
        <v>78.125</v>
      </c>
      <c r="K538" t="s">
        <v>1505</v>
      </c>
    </row>
    <row r="539" spans="1:11" x14ac:dyDescent="0.45">
      <c r="A539" t="str">
        <f t="shared" si="63"/>
        <v>&lt;chord time="101.923" chordId="3" highDensity="1" &gt;&lt;chordNote time="101.923" string="1" fret="4" leftHand="1" /&gt;&lt;chordNote time="101.923" string="2" fret="6" leftHand="3" /&gt;&lt;chordNote time="101.923" string="3" fret="6" leftHand="4" /&gt;&lt;/chord&gt;</v>
      </c>
      <c r="D539" s="3">
        <f t="shared" si="59"/>
        <v>101.923</v>
      </c>
      <c r="E539" s="3">
        <f t="shared" si="60"/>
        <v>81.45</v>
      </c>
      <c r="F539" t="str">
        <f t="shared" si="62"/>
        <v>81.250</v>
      </c>
      <c r="G539" t="s">
        <v>762</v>
      </c>
      <c r="I539" t="str">
        <f t="shared" si="61"/>
        <v>&lt;note time="101.923" string="1" fret="9" /&gt;</v>
      </c>
      <c r="J539" t="str">
        <f t="shared" si="58"/>
        <v>78.250</v>
      </c>
      <c r="K539" t="s">
        <v>1506</v>
      </c>
    </row>
    <row r="540" spans="1:11" x14ac:dyDescent="0.45">
      <c r="A540" t="str">
        <f t="shared" si="63"/>
        <v>&lt;chord time="102.080" chordId="3" highDensity="1" &gt;&lt;chordNote time="102.080" string="1" fret="4" leftHand="1" /&gt;&lt;chordNote time="102.080" string="2" fret="6" leftHand="3" /&gt;&lt;chordNote time="102.080" string="3" fret="6" leftHand="4" /&gt;&lt;/chord&gt;</v>
      </c>
      <c r="D540" s="3">
        <f t="shared" si="59"/>
        <v>102.08</v>
      </c>
      <c r="E540" s="3">
        <f t="shared" si="60"/>
        <v>81.575000000000003</v>
      </c>
      <c r="F540" t="str">
        <f t="shared" si="62"/>
        <v>81.375</v>
      </c>
      <c r="G540" t="s">
        <v>763</v>
      </c>
      <c r="I540" t="str">
        <f t="shared" si="61"/>
        <v>&lt;note time="102.080" string="1" fret="9" /&gt;</v>
      </c>
      <c r="J540" t="str">
        <f t="shared" si="58"/>
        <v>78.375</v>
      </c>
      <c r="K540" t="s">
        <v>1507</v>
      </c>
    </row>
    <row r="541" spans="1:11" x14ac:dyDescent="0.45">
      <c r="A541" t="str">
        <f t="shared" si="63"/>
        <v>&lt;chord time="102.236" chordId="3" highDensity="1" &gt;&lt;chordNote time="102.236" string="1" fret="4" leftHand="1" /&gt;&lt;chordNote time="102.236" string="2" fret="6" leftHand="3" /&gt;&lt;chordNote time="102.236" string="3" fret="6" leftHand="4" /&gt;&lt;/chord&gt;</v>
      </c>
      <c r="D541" s="3">
        <f t="shared" si="59"/>
        <v>102.236</v>
      </c>
      <c r="E541" s="3">
        <f t="shared" si="60"/>
        <v>81.7</v>
      </c>
      <c r="F541" t="str">
        <f t="shared" si="62"/>
        <v>81.500</v>
      </c>
      <c r="G541" t="s">
        <v>764</v>
      </c>
      <c r="I541" t="str">
        <f t="shared" si="61"/>
        <v>&lt;note time="102.236" string="1" fret="9" /&gt;</v>
      </c>
      <c r="J541" t="str">
        <f t="shared" si="58"/>
        <v>78.500</v>
      </c>
      <c r="K541" t="s">
        <v>1508</v>
      </c>
    </row>
    <row r="542" spans="1:11" x14ac:dyDescent="0.45">
      <c r="A542" t="str">
        <f t="shared" si="63"/>
        <v>&lt;chord time="102.393" chordId="3" highDensity="1" &gt;&lt;chordNote time="102.393" string="1" fret="4" leftHand="1" /&gt;&lt;chordNote time="102.393" string="2" fret="6" leftHand="3" /&gt;&lt;chordNote time="102.393" string="3" fret="6" leftHand="4" /&gt;&lt;/chord&gt;</v>
      </c>
      <c r="D542" s="3">
        <f t="shared" si="59"/>
        <v>102.393</v>
      </c>
      <c r="E542" s="3">
        <f t="shared" si="60"/>
        <v>81.825000000000003</v>
      </c>
      <c r="F542" t="str">
        <f t="shared" si="62"/>
        <v>81.625</v>
      </c>
      <c r="G542" t="s">
        <v>765</v>
      </c>
      <c r="I542" t="str">
        <f t="shared" si="61"/>
        <v>&lt;note time="102.393" string="1" fret="9" /&gt;</v>
      </c>
      <c r="J542" t="str">
        <f t="shared" si="58"/>
        <v>78.625</v>
      </c>
      <c r="K542" t="s">
        <v>1509</v>
      </c>
    </row>
    <row r="543" spans="1:11" x14ac:dyDescent="0.45">
      <c r="A543" t="str">
        <f t="shared" si="63"/>
        <v>&lt;chord time="102.549" chordId="3" highDensity="1" &gt;&lt;chordNote time="102.549" string="1" fret="4" leftHand="1" /&gt;&lt;chordNote time="102.549" string="2" fret="6" leftHand="3" /&gt;&lt;chordNote time="102.549" string="3" fret="6" leftHand="4" /&gt;&lt;/chord&gt;</v>
      </c>
      <c r="D543" s="3">
        <f t="shared" si="59"/>
        <v>102.54900000000001</v>
      </c>
      <c r="E543" s="3">
        <f t="shared" si="60"/>
        <v>81.95</v>
      </c>
      <c r="F543" t="str">
        <f t="shared" si="62"/>
        <v>81.750</v>
      </c>
      <c r="G543" t="s">
        <v>766</v>
      </c>
      <c r="I543" t="str">
        <f t="shared" si="61"/>
        <v>&lt;note time="102.549" string="1" fret="9" /&gt;</v>
      </c>
      <c r="J543" t="str">
        <f t="shared" si="58"/>
        <v>78.750</v>
      </c>
      <c r="K543" t="s">
        <v>1510</v>
      </c>
    </row>
    <row r="544" spans="1:11" x14ac:dyDescent="0.45">
      <c r="A544" t="str">
        <f t="shared" si="63"/>
        <v>&lt;chord time="102.706" chordId="3" highDensity="1" &gt;&lt;chordNote time="102.706" string="1" fret="4" leftHand="1" /&gt;&lt;chordNote time="102.706" string="2" fret="6" leftHand="3" /&gt;&lt;chordNote time="102.706" string="3" fret="6" leftHand="4" /&gt;&lt;/chord&gt;</v>
      </c>
      <c r="D544" s="3">
        <f t="shared" si="59"/>
        <v>102.706</v>
      </c>
      <c r="E544" s="3">
        <f t="shared" si="60"/>
        <v>82.075000000000003</v>
      </c>
      <c r="F544" t="str">
        <f t="shared" si="62"/>
        <v>81.875</v>
      </c>
      <c r="G544" t="s">
        <v>767</v>
      </c>
      <c r="I544" t="str">
        <f t="shared" si="61"/>
        <v>&lt;note time="102.706" string="1" fret="9" /&gt;</v>
      </c>
      <c r="J544" t="str">
        <f t="shared" si="58"/>
        <v>78.875</v>
      </c>
      <c r="K544" t="s">
        <v>1511</v>
      </c>
    </row>
    <row r="545" spans="1:11" x14ac:dyDescent="0.45">
      <c r="A545" t="str">
        <f t="shared" si="63"/>
        <v>&lt;chord time="102.862" chordId="4" &gt;&lt;chordNote time="102.862" string="1" fret="2" leftHand="1" /&gt;&lt;chordNote time="102.862" string="2" fret="4" leftHand="3" /&gt;&lt;chordNote time="102.862" string="3" fret="4" leftHand="4" /&gt;&lt;/chord&gt;</v>
      </c>
      <c r="D545" s="3">
        <f t="shared" si="59"/>
        <v>102.86199999999999</v>
      </c>
      <c r="E545" s="3">
        <f t="shared" si="60"/>
        <v>82.2</v>
      </c>
      <c r="F545" t="str">
        <f t="shared" si="62"/>
        <v>82.000</v>
      </c>
      <c r="G545" t="s">
        <v>768</v>
      </c>
      <c r="I545" t="str">
        <f t="shared" si="61"/>
        <v>&lt;note time="102.862" string="1" fret="9" /&gt;</v>
      </c>
      <c r="J545" t="str">
        <f t="shared" si="58"/>
        <v>79.000</v>
      </c>
      <c r="K545" t="s">
        <v>1512</v>
      </c>
    </row>
    <row r="546" spans="1:11" x14ac:dyDescent="0.45">
      <c r="A546" t="str">
        <f t="shared" si="63"/>
        <v>&lt;chord time="103.019" chordId="4" highDensity="1" &gt;&lt;chordNote time="103.019" string="1" fret="2" leftHand="1" /&gt;&lt;chordNote time="103.019" string="2" fret="4" leftHand="3" /&gt;&lt;chordNote time="103.019" string="3" fret="4" leftHand="4" /&gt;&lt;/chord&gt;</v>
      </c>
      <c r="D546" s="3">
        <f t="shared" si="59"/>
        <v>103.01900000000001</v>
      </c>
      <c r="E546" s="3">
        <f t="shared" si="60"/>
        <v>82.325000000000003</v>
      </c>
      <c r="F546" t="str">
        <f t="shared" si="62"/>
        <v>82.125</v>
      </c>
      <c r="G546" t="s">
        <v>769</v>
      </c>
      <c r="I546" t="str">
        <f t="shared" si="61"/>
        <v>&lt;note time="103.019" string="1" fret="9" /&gt;</v>
      </c>
      <c r="J546" t="str">
        <f t="shared" si="58"/>
        <v>79.125</v>
      </c>
      <c r="K546" t="s">
        <v>1513</v>
      </c>
    </row>
    <row r="547" spans="1:11" x14ac:dyDescent="0.45">
      <c r="A547" t="str">
        <f t="shared" si="63"/>
        <v>&lt;chord time="103.175" chordId="4" highDensity="1" &gt;&lt;chordNote time="103.175" string="1" fret="2" leftHand="1" /&gt;&lt;chordNote time="103.175" string="2" fret="4" leftHand="3" /&gt;&lt;chordNote time="103.175" string="3" fret="4" leftHand="4" /&gt;&lt;/chord&gt;</v>
      </c>
      <c r="D547" s="3">
        <f t="shared" si="59"/>
        <v>103.175</v>
      </c>
      <c r="E547" s="3">
        <f t="shared" si="60"/>
        <v>82.45</v>
      </c>
      <c r="F547" t="str">
        <f t="shared" si="62"/>
        <v>82.250</v>
      </c>
      <c r="G547" t="s">
        <v>770</v>
      </c>
      <c r="I547" t="str">
        <f t="shared" si="61"/>
        <v>&lt;note time="103.175" string="1" fret="9" /&gt;</v>
      </c>
      <c r="J547" t="str">
        <f t="shared" si="58"/>
        <v>79.250</v>
      </c>
      <c r="K547" t="s">
        <v>1514</v>
      </c>
    </row>
    <row r="548" spans="1:11" x14ac:dyDescent="0.45">
      <c r="A548" t="str">
        <f t="shared" si="63"/>
        <v>&lt;chord time="103.332" chordId="4" highDensity="1" &gt;&lt;chordNote time="103.332" string="1" fret="2" leftHand="1" /&gt;&lt;chordNote time="103.332" string="2" fret="4" leftHand="3" /&gt;&lt;chordNote time="103.332" string="3" fret="4" leftHand="4" /&gt;&lt;/chord&gt;</v>
      </c>
      <c r="D548" s="3">
        <f t="shared" si="59"/>
        <v>103.33199999999999</v>
      </c>
      <c r="E548" s="3">
        <f t="shared" si="60"/>
        <v>82.575000000000003</v>
      </c>
      <c r="F548" t="str">
        <f t="shared" si="62"/>
        <v>82.375</v>
      </c>
      <c r="G548" t="s">
        <v>771</v>
      </c>
      <c r="I548" t="str">
        <f t="shared" si="61"/>
        <v>&lt;note time="103.332" string="1" fret="9" /&gt;</v>
      </c>
      <c r="J548" t="str">
        <f t="shared" ref="J548:J611" si="64">RIGHT(LEFT(K548,18),6)</f>
        <v>79.375</v>
      </c>
      <c r="K548" t="s">
        <v>1515</v>
      </c>
    </row>
    <row r="549" spans="1:11" x14ac:dyDescent="0.45">
      <c r="A549" t="str">
        <f t="shared" si="63"/>
        <v>&lt;chord time="103.488" chordId="4" highDensity="1" &gt;&lt;chordNote time="103.488" string="1" fret="2" leftHand="1" /&gt;&lt;chordNote time="103.488" string="2" fret="4" leftHand="3" /&gt;&lt;chordNote time="103.488" string="3" fret="4" leftHand="4" /&gt;&lt;/chord&gt;</v>
      </c>
      <c r="D549" s="3">
        <f t="shared" si="59"/>
        <v>103.488</v>
      </c>
      <c r="E549" s="3">
        <f t="shared" si="60"/>
        <v>82.7</v>
      </c>
      <c r="F549" t="str">
        <f t="shared" si="62"/>
        <v>82.500</v>
      </c>
      <c r="G549" t="s">
        <v>772</v>
      </c>
      <c r="I549" t="str">
        <f t="shared" si="61"/>
        <v>&lt;note time="103.488" string="1" fret="9" /&gt;</v>
      </c>
      <c r="J549" t="str">
        <f t="shared" si="64"/>
        <v>79.500</v>
      </c>
      <c r="K549" t="s">
        <v>1516</v>
      </c>
    </row>
    <row r="550" spans="1:11" x14ac:dyDescent="0.45">
      <c r="A550" t="str">
        <f t="shared" si="63"/>
        <v>&lt;chord time="103.645" chordId="4" highDensity="1" &gt;&lt;chordNote time="103.645" string="1" fret="2" leftHand="1" /&gt;&lt;chordNote time="103.645" string="2" fret="4" leftHand="3" /&gt;&lt;chordNote time="103.645" string="3" fret="4" leftHand="4" /&gt;&lt;/chord&gt;</v>
      </c>
      <c r="D550" s="3">
        <f t="shared" si="59"/>
        <v>103.645</v>
      </c>
      <c r="E550" s="3">
        <f t="shared" si="60"/>
        <v>82.825000000000003</v>
      </c>
      <c r="F550" t="str">
        <f t="shared" si="62"/>
        <v>82.625</v>
      </c>
      <c r="G550" t="s">
        <v>773</v>
      </c>
      <c r="I550" t="str">
        <f t="shared" si="61"/>
        <v>&lt;note time="103.645" string="1" fret="9" /&gt;</v>
      </c>
      <c r="J550" t="str">
        <f t="shared" si="64"/>
        <v>79.625</v>
      </c>
      <c r="K550" t="s">
        <v>1517</v>
      </c>
    </row>
    <row r="551" spans="1:11" x14ac:dyDescent="0.45">
      <c r="A551" t="str">
        <f t="shared" si="63"/>
        <v>&lt;chord time="103.801" chordId="4" highDensity="1" &gt;&lt;chordNote time="103.801" string="1" fret="2" leftHand="1" /&gt;&lt;chordNote time="103.801" string="2" fret="4" leftHand="3" /&gt;&lt;chordNote time="103.801" string="3" fret="4" leftHand="4" /&gt;&lt;/chord&gt;</v>
      </c>
      <c r="D551" s="3">
        <f t="shared" si="59"/>
        <v>103.801</v>
      </c>
      <c r="E551" s="3">
        <f t="shared" si="60"/>
        <v>82.95</v>
      </c>
      <c r="F551" t="str">
        <f t="shared" si="62"/>
        <v>82.750</v>
      </c>
      <c r="G551" t="s">
        <v>774</v>
      </c>
      <c r="I551" t="str">
        <f t="shared" si="61"/>
        <v>&lt;note time="103.801" string="1" fret="9" /&gt;</v>
      </c>
      <c r="J551" t="str">
        <f t="shared" si="64"/>
        <v>79.750</v>
      </c>
      <c r="K551" t="s">
        <v>1518</v>
      </c>
    </row>
    <row r="552" spans="1:11" x14ac:dyDescent="0.45">
      <c r="A552" t="str">
        <f t="shared" si="63"/>
        <v>&lt;chord time="103.958" chordId="4" highDensity="1" &gt;&lt;chordNote time="103.958" string="1" fret="2" leftHand="1" /&gt;&lt;chordNote time="103.958" string="2" fret="4" leftHand="3" /&gt;&lt;chordNote time="103.958" string="3" fret="4" leftHand="4" /&gt;&lt;/chord&gt;</v>
      </c>
      <c r="D552" s="3">
        <f t="shared" si="59"/>
        <v>103.958</v>
      </c>
      <c r="E552" s="3">
        <f t="shared" si="60"/>
        <v>83.075000000000003</v>
      </c>
      <c r="F552" t="str">
        <f t="shared" si="62"/>
        <v>82.875</v>
      </c>
      <c r="G552" t="s">
        <v>775</v>
      </c>
      <c r="I552" t="str">
        <f t="shared" si="61"/>
        <v>&lt;note time="103.958" string="1" fret="9" /&gt;</v>
      </c>
      <c r="J552" t="str">
        <f t="shared" si="64"/>
        <v>79.875</v>
      </c>
      <c r="K552" t="s">
        <v>1519</v>
      </c>
    </row>
    <row r="553" spans="1:11" x14ac:dyDescent="0.45">
      <c r="A553" t="str">
        <f t="shared" si="63"/>
        <v>&lt;chord time="104.114" chordId="4" highDensity="1" &gt;&lt;chordNote time="104.114" string="1" fret="2" leftHand="1" /&gt;&lt;chordNote time="104.114" string="2" fret="4" leftHand="3" /&gt;&lt;chordNote time="104.114" string="3" fret="4" leftHand="4" /&gt;&lt;/chord&gt;</v>
      </c>
      <c r="D553" s="3">
        <f t="shared" si="59"/>
        <v>104.114</v>
      </c>
      <c r="E553" s="3">
        <f t="shared" si="60"/>
        <v>83.2</v>
      </c>
      <c r="F553" t="str">
        <f t="shared" si="62"/>
        <v>83.000</v>
      </c>
      <c r="G553" t="s">
        <v>776</v>
      </c>
      <c r="I553" t="str">
        <f t="shared" si="61"/>
        <v>&lt;note time="104.114" string="1" fret="4" /&gt;</v>
      </c>
      <c r="J553" t="str">
        <f t="shared" si="64"/>
        <v>80.000</v>
      </c>
      <c r="K553" t="s">
        <v>1520</v>
      </c>
    </row>
    <row r="554" spans="1:11" x14ac:dyDescent="0.45">
      <c r="A554" t="str">
        <f t="shared" si="63"/>
        <v>&lt;chord time="104.271" chordId="4" highDensity="1" &gt;&lt;chordNote time="104.271" string="1" fret="2" leftHand="1" /&gt;&lt;chordNote time="104.271" string="2" fret="4" leftHand="3" /&gt;&lt;chordNote time="104.271" string="3" fret="4" leftHand="4" /&gt;&lt;/chord&gt;</v>
      </c>
      <c r="D554" s="3">
        <f t="shared" si="59"/>
        <v>104.271</v>
      </c>
      <c r="E554" s="3">
        <f t="shared" si="60"/>
        <v>83.325000000000003</v>
      </c>
      <c r="F554" t="str">
        <f t="shared" si="62"/>
        <v>83.125</v>
      </c>
      <c r="G554" t="s">
        <v>777</v>
      </c>
      <c r="I554" t="str">
        <f t="shared" si="61"/>
        <v>&lt;note time="104.271" string="1" fret="4" /&gt;</v>
      </c>
      <c r="J554" t="str">
        <f t="shared" si="64"/>
        <v>80.125</v>
      </c>
      <c r="K554" t="s">
        <v>1521</v>
      </c>
    </row>
    <row r="555" spans="1:11" x14ac:dyDescent="0.45">
      <c r="A555" t="str">
        <f t="shared" si="63"/>
        <v>&lt;chord time="104.427" chordId="4" highDensity="1" &gt;&lt;chordNote time="104.427" string="1" fret="2" leftHand="1" /&gt;&lt;chordNote time="104.427" string="2" fret="4" leftHand="3" /&gt;&lt;chordNote time="104.427" string="3" fret="4" leftHand="4" /&gt;&lt;/chord&gt;</v>
      </c>
      <c r="D555" s="3">
        <f t="shared" si="59"/>
        <v>104.42700000000001</v>
      </c>
      <c r="E555" s="3">
        <f t="shared" si="60"/>
        <v>83.45</v>
      </c>
      <c r="F555" t="str">
        <f t="shared" si="62"/>
        <v>83.250</v>
      </c>
      <c r="G555" t="s">
        <v>778</v>
      </c>
      <c r="I555" t="str">
        <f t="shared" si="61"/>
        <v>&lt;note time="104.427" string="1" fret="4" /&gt;</v>
      </c>
      <c r="J555" t="str">
        <f t="shared" si="64"/>
        <v>80.250</v>
      </c>
      <c r="K555" t="s">
        <v>1522</v>
      </c>
    </row>
    <row r="556" spans="1:11" x14ac:dyDescent="0.45">
      <c r="A556" t="str">
        <f t="shared" si="63"/>
        <v>&lt;chord time="104.584" chordId="4" highDensity="1" &gt;&lt;chordNote time="104.584" string="1" fret="2" leftHand="1" /&gt;&lt;chordNote time="104.584" string="2" fret="4" leftHand="3" /&gt;&lt;chordNote time="104.584" string="3" fret="4" leftHand="4" /&gt;&lt;/chord&gt;</v>
      </c>
      <c r="D556" s="3">
        <f t="shared" si="59"/>
        <v>104.584</v>
      </c>
      <c r="E556" s="3">
        <f t="shared" si="60"/>
        <v>83.575000000000003</v>
      </c>
      <c r="F556" t="str">
        <f t="shared" si="62"/>
        <v>83.375</v>
      </c>
      <c r="G556" t="s">
        <v>779</v>
      </c>
      <c r="I556" t="str">
        <f t="shared" si="61"/>
        <v>&lt;note time="104.584" string="1" fret="4" /&gt;</v>
      </c>
      <c r="J556" t="str">
        <f t="shared" si="64"/>
        <v>80.375</v>
      </c>
      <c r="K556" t="s">
        <v>1523</v>
      </c>
    </row>
    <row r="557" spans="1:11" x14ac:dyDescent="0.45">
      <c r="A557" t="str">
        <f t="shared" si="63"/>
        <v>&lt;chord time="104.740" chordId="4" highDensity="1" &gt;&lt;chordNote time="104.740" string="1" fret="2" leftHand="1" /&gt;&lt;chordNote time="104.740" string="2" fret="4" leftHand="3" /&gt;&lt;chordNote time="104.740" string="3" fret="4" leftHand="4" /&gt;&lt;/chord&gt;</v>
      </c>
      <c r="D557" s="3">
        <f t="shared" si="59"/>
        <v>104.74</v>
      </c>
      <c r="E557" s="3">
        <f t="shared" si="60"/>
        <v>83.7</v>
      </c>
      <c r="F557" t="str">
        <f t="shared" si="62"/>
        <v>83.500</v>
      </c>
      <c r="G557" t="s">
        <v>780</v>
      </c>
      <c r="I557" t="str">
        <f t="shared" si="61"/>
        <v>&lt;note time="104.740" string="1" fret="4" /&gt;</v>
      </c>
      <c r="J557" t="str">
        <f t="shared" si="64"/>
        <v>80.500</v>
      </c>
      <c r="K557" t="s">
        <v>1524</v>
      </c>
    </row>
    <row r="558" spans="1:11" x14ac:dyDescent="0.45">
      <c r="A558" t="str">
        <f t="shared" si="63"/>
        <v>&lt;chord time="104.897" chordId="4" highDensity="1" &gt;&lt;chordNote time="104.897" string="1" fret="2" leftHand="1" /&gt;&lt;chordNote time="104.897" string="2" fret="4" leftHand="3" /&gt;&lt;chordNote time="104.897" string="3" fret="4" leftHand="4" /&gt;&lt;/chord&gt;</v>
      </c>
      <c r="D558" s="3">
        <f t="shared" si="59"/>
        <v>104.89700000000001</v>
      </c>
      <c r="E558" s="3">
        <f t="shared" si="60"/>
        <v>83.825000000000003</v>
      </c>
      <c r="F558" t="str">
        <f t="shared" si="62"/>
        <v>83.625</v>
      </c>
      <c r="G558" t="s">
        <v>781</v>
      </c>
      <c r="I558" t="str">
        <f t="shared" si="61"/>
        <v>&lt;note time="104.897" string="1" fret="4" /&gt;</v>
      </c>
      <c r="J558" t="str">
        <f t="shared" si="64"/>
        <v>80.625</v>
      </c>
      <c r="K558" t="s">
        <v>1525</v>
      </c>
    </row>
    <row r="559" spans="1:11" x14ac:dyDescent="0.45">
      <c r="A559" t="str">
        <f t="shared" si="63"/>
        <v>&lt;chord time="105.053" chordId="4" highDensity="1" &gt;&lt;chordNote time="105.053" string="1" fret="2" leftHand="1" /&gt;&lt;chordNote time="105.053" string="2" fret="4" leftHand="3" /&gt;&lt;chordNote time="105.053" string="3" fret="4" leftHand="4" /&gt;&lt;/chord&gt;</v>
      </c>
      <c r="D559" s="3">
        <f t="shared" si="59"/>
        <v>105.053</v>
      </c>
      <c r="E559" s="3">
        <f t="shared" si="60"/>
        <v>83.95</v>
      </c>
      <c r="F559" t="str">
        <f t="shared" si="62"/>
        <v>83.750</v>
      </c>
      <c r="G559" t="s">
        <v>782</v>
      </c>
      <c r="I559" t="str">
        <f t="shared" si="61"/>
        <v>&lt;note time="105.053" string="1" fret="4" /&gt;</v>
      </c>
      <c r="J559" t="str">
        <f t="shared" si="64"/>
        <v>80.750</v>
      </c>
      <c r="K559" t="s">
        <v>1526</v>
      </c>
    </row>
    <row r="560" spans="1:11" x14ac:dyDescent="0.45">
      <c r="A560" t="str">
        <f t="shared" si="63"/>
        <v>&lt;chord time="105.210" chordId="4" highDensity="1" &gt;&lt;chordNote time="105.210" string="1" fret="2" leftHand="1" /&gt;&lt;chordNote time="105.210" string="2" fret="4" leftHand="3" /&gt;&lt;chordNote time="105.210" string="3" fret="4" leftHand="4" /&gt;&lt;/chord&gt;</v>
      </c>
      <c r="D560" s="3">
        <f t="shared" si="59"/>
        <v>105.21</v>
      </c>
      <c r="E560" s="3">
        <f t="shared" si="60"/>
        <v>84.075000000000003</v>
      </c>
      <c r="F560" t="str">
        <f t="shared" si="62"/>
        <v>83.875</v>
      </c>
      <c r="G560" t="s">
        <v>783</v>
      </c>
      <c r="I560" t="str">
        <f t="shared" si="61"/>
        <v>&lt;note time="105.210" string="1" fret="4" /&gt;</v>
      </c>
      <c r="J560" t="str">
        <f t="shared" si="64"/>
        <v>80.875</v>
      </c>
      <c r="K560" t="s">
        <v>1527</v>
      </c>
    </row>
    <row r="561" spans="1:11" x14ac:dyDescent="0.45">
      <c r="A561" t="str">
        <f t="shared" si="63"/>
        <v>&lt;chord time="105.366" chordId="0" &gt;&lt;chordNote time="105.366" string="1" fret="7" leftHand="1" /&gt;&lt;chordNote time="105.366" string="2" fret="9" leftHand="3" /&gt;&lt;chordNote time="105.366" string="3" fret="9" leftHand="4" /&gt;&lt;/chord&gt;</v>
      </c>
      <c r="D561" s="3">
        <f t="shared" si="59"/>
        <v>105.366</v>
      </c>
      <c r="E561" s="3">
        <f t="shared" si="60"/>
        <v>84.2</v>
      </c>
      <c r="F561" t="str">
        <f t="shared" si="62"/>
        <v>84.000</v>
      </c>
      <c r="G561" t="s">
        <v>784</v>
      </c>
      <c r="I561" t="str">
        <f t="shared" si="61"/>
        <v>&lt;note time="105.366" string="1" fret="4" /&gt;</v>
      </c>
      <c r="J561" t="str">
        <f t="shared" si="64"/>
        <v>81.000</v>
      </c>
      <c r="K561" t="s">
        <v>1528</v>
      </c>
    </row>
    <row r="562" spans="1:11" x14ac:dyDescent="0.45">
      <c r="A562" t="str">
        <f t="shared" si="63"/>
        <v>&lt;chord time="105.523" chordId="0" highDensity="1" &gt;&lt;chordNote time="105.523" string="1" fret="7" leftHand="1" /&gt;&lt;chordNote time="105.523" string="2" fret="9" leftHand="3" /&gt;&lt;chordNote time="105.523" string="3" fret="9" leftHand="4" /&gt;&lt;/chord&gt;</v>
      </c>
      <c r="D562" s="3">
        <f t="shared" si="59"/>
        <v>105.523</v>
      </c>
      <c r="E562" s="3">
        <f t="shared" si="60"/>
        <v>84.325000000000003</v>
      </c>
      <c r="F562" t="str">
        <f t="shared" si="62"/>
        <v>84.125</v>
      </c>
      <c r="G562" t="s">
        <v>785</v>
      </c>
      <c r="I562" t="str">
        <f t="shared" si="61"/>
        <v>&lt;note time="105.523" string="1" fret="4" /&gt;</v>
      </c>
      <c r="J562" t="str">
        <f t="shared" si="64"/>
        <v>81.125</v>
      </c>
      <c r="K562" t="s">
        <v>1529</v>
      </c>
    </row>
    <row r="563" spans="1:11" x14ac:dyDescent="0.45">
      <c r="A563" t="str">
        <f t="shared" si="63"/>
        <v>&lt;chord time="105.679" chordId="0" highDensity="1" &gt;&lt;chordNote time="105.679" string="1" fret="7" leftHand="1" /&gt;&lt;chordNote time="105.679" string="2" fret="9" leftHand="3" /&gt;&lt;chordNote time="105.679" string="3" fret="9" leftHand="4" /&gt;&lt;/chord&gt;</v>
      </c>
      <c r="D563" s="3">
        <f t="shared" si="59"/>
        <v>105.679</v>
      </c>
      <c r="E563" s="3">
        <f t="shared" si="60"/>
        <v>84.45</v>
      </c>
      <c r="F563" t="str">
        <f t="shared" si="62"/>
        <v>84.250</v>
      </c>
      <c r="G563" t="s">
        <v>786</v>
      </c>
      <c r="I563" t="str">
        <f t="shared" si="61"/>
        <v>&lt;note time="105.679" string="1" fret="4" /&gt;</v>
      </c>
      <c r="J563" t="str">
        <f t="shared" si="64"/>
        <v>81.250</v>
      </c>
      <c r="K563" t="s">
        <v>1530</v>
      </c>
    </row>
    <row r="564" spans="1:11" x14ac:dyDescent="0.45">
      <c r="A564" t="str">
        <f t="shared" si="63"/>
        <v>&lt;chord time="105.836" chordId="0" highDensity="1" &gt;&lt;chordNote time="105.836" string="1" fret="7" leftHand="1" /&gt;&lt;chordNote time="105.836" string="2" fret="9" leftHand="3" /&gt;&lt;chordNote time="105.836" string="3" fret="9" leftHand="4" /&gt;&lt;/chord&gt;</v>
      </c>
      <c r="D564" s="3">
        <f t="shared" si="59"/>
        <v>105.836</v>
      </c>
      <c r="E564" s="3">
        <f t="shared" si="60"/>
        <v>84.575000000000003</v>
      </c>
      <c r="F564" t="str">
        <f t="shared" si="62"/>
        <v>84.375</v>
      </c>
      <c r="G564" t="s">
        <v>787</v>
      </c>
      <c r="I564" t="str">
        <f t="shared" si="61"/>
        <v>&lt;note time="105.836" string="1" fret="4" /&gt;</v>
      </c>
      <c r="J564" t="str">
        <f t="shared" si="64"/>
        <v>81.375</v>
      </c>
      <c r="K564" t="s">
        <v>1531</v>
      </c>
    </row>
    <row r="565" spans="1:11" x14ac:dyDescent="0.45">
      <c r="A565" t="str">
        <f t="shared" si="63"/>
        <v>&lt;chord time="105.992" chordId="0" highDensity="1" &gt;&lt;chordNote time="105.992" string="1" fret="7" leftHand="1" /&gt;&lt;chordNote time="105.992" string="2" fret="9" leftHand="3" /&gt;&lt;chordNote time="105.992" string="3" fret="9" leftHand="4" /&gt;&lt;/chord&gt;</v>
      </c>
      <c r="D565" s="3">
        <f t="shared" si="59"/>
        <v>105.992</v>
      </c>
      <c r="E565" s="3">
        <f t="shared" si="60"/>
        <v>84.7</v>
      </c>
      <c r="F565" t="str">
        <f t="shared" si="62"/>
        <v>84.500</v>
      </c>
      <c r="G565" t="s">
        <v>788</v>
      </c>
      <c r="I565" t="str">
        <f t="shared" si="61"/>
        <v>&lt;note time="105.992" string="1" fret="4" /&gt;</v>
      </c>
      <c r="J565" t="str">
        <f t="shared" si="64"/>
        <v>81.500</v>
      </c>
      <c r="K565" t="s">
        <v>1532</v>
      </c>
    </row>
    <row r="566" spans="1:11" x14ac:dyDescent="0.45">
      <c r="A566" t="str">
        <f t="shared" si="63"/>
        <v>&lt;chord time="106.149" chordId="0" highDensity="1" &gt;&lt;chordNote time="106.149" string="1" fret="7" leftHand="1" /&gt;&lt;chordNote time="106.149" string="2" fret="9" leftHand="3" /&gt;&lt;chordNote time="106.149" string="3" fret="9" leftHand="4" /&gt;&lt;/chord&gt;</v>
      </c>
      <c r="D566" s="3">
        <f t="shared" si="59"/>
        <v>106.149</v>
      </c>
      <c r="E566" s="3">
        <f t="shared" si="60"/>
        <v>84.825000000000003</v>
      </c>
      <c r="F566" t="str">
        <f t="shared" si="62"/>
        <v>84.625</v>
      </c>
      <c r="G566" t="s">
        <v>789</v>
      </c>
      <c r="I566" t="str">
        <f t="shared" si="61"/>
        <v>&lt;note time="106.149" string="1" fret="4" /&gt;</v>
      </c>
      <c r="J566" t="str">
        <f t="shared" si="64"/>
        <v>81.625</v>
      </c>
      <c r="K566" t="s">
        <v>1533</v>
      </c>
    </row>
    <row r="567" spans="1:11" x14ac:dyDescent="0.45">
      <c r="A567" t="str">
        <f t="shared" si="63"/>
        <v>&lt;chord time="106.305" chordId="0" highDensity="1" &gt;&lt;chordNote time="106.305" string="1" fret="7" leftHand="1" /&gt;&lt;chordNote time="106.305" string="2" fret="9" leftHand="3" /&gt;&lt;chordNote time="106.305" string="3" fret="9" leftHand="4" /&gt;&lt;/chord&gt;</v>
      </c>
      <c r="D567" s="3">
        <f t="shared" si="59"/>
        <v>106.30500000000001</v>
      </c>
      <c r="E567" s="3">
        <f t="shared" si="60"/>
        <v>84.95</v>
      </c>
      <c r="F567" t="str">
        <f t="shared" si="62"/>
        <v>84.750</v>
      </c>
      <c r="G567" t="s">
        <v>790</v>
      </c>
      <c r="I567" t="str">
        <f t="shared" si="61"/>
        <v>&lt;note time="106.305" string="1" fret="4" /&gt;</v>
      </c>
      <c r="J567" t="str">
        <f t="shared" si="64"/>
        <v>81.750</v>
      </c>
      <c r="K567" t="s">
        <v>1534</v>
      </c>
    </row>
    <row r="568" spans="1:11" x14ac:dyDescent="0.45">
      <c r="A568" t="str">
        <f t="shared" si="63"/>
        <v>&lt;chord time="106.462" chordId="0" highDensity="1" &gt;&lt;chordNote time="106.462" string="1" fret="7" leftHand="1" /&gt;&lt;chordNote time="106.462" string="2" fret="9" leftHand="3" /&gt;&lt;chordNote time="106.462" string="3" fret="9" leftHand="4" /&gt;&lt;/chord&gt;</v>
      </c>
      <c r="D568" s="3">
        <f t="shared" si="59"/>
        <v>106.462</v>
      </c>
      <c r="E568" s="3">
        <f t="shared" si="60"/>
        <v>85.075000000000003</v>
      </c>
      <c r="F568" t="str">
        <f t="shared" si="62"/>
        <v>84.875</v>
      </c>
      <c r="G568" t="s">
        <v>791</v>
      </c>
      <c r="I568" t="str">
        <f t="shared" si="61"/>
        <v>&lt;note time="106.462" string="1" fret="4" /&gt;</v>
      </c>
      <c r="J568" t="str">
        <f t="shared" si="64"/>
        <v>81.875</v>
      </c>
      <c r="K568" t="s">
        <v>1535</v>
      </c>
    </row>
    <row r="569" spans="1:11" x14ac:dyDescent="0.45">
      <c r="A569" t="str">
        <f t="shared" si="63"/>
        <v>&lt;chord time="106.618" chordId="0" highDensity="1" &gt;&lt;chordNote time="106.618" string="1" fret="7" leftHand="1" /&gt;&lt;chordNote time="106.618" string="2" fret="9" leftHand="3" /&gt;&lt;chordNote time="106.618" string="3" fret="9" leftHand="4" /&gt;&lt;/chord&gt;</v>
      </c>
      <c r="D569" s="3">
        <f t="shared" si="59"/>
        <v>106.61799999999999</v>
      </c>
      <c r="E569" s="3">
        <f t="shared" si="60"/>
        <v>85.2</v>
      </c>
      <c r="F569" t="str">
        <f t="shared" si="62"/>
        <v>85.000</v>
      </c>
      <c r="G569" t="s">
        <v>792</v>
      </c>
      <c r="I569" t="str">
        <f t="shared" si="61"/>
        <v>&lt;note time="106.618" string="1" fret="2" /&gt;</v>
      </c>
      <c r="J569" t="str">
        <f t="shared" si="64"/>
        <v>82.000</v>
      </c>
      <c r="K569" t="s">
        <v>1536</v>
      </c>
    </row>
    <row r="570" spans="1:11" x14ac:dyDescent="0.45">
      <c r="A570" t="str">
        <f t="shared" si="63"/>
        <v>&lt;chord time="106.775" chordId="0" highDensity="1" &gt;&lt;chordNote time="106.775" string="1" fret="7" leftHand="1" /&gt;&lt;chordNote time="106.775" string="2" fret="9" leftHand="3" /&gt;&lt;chordNote time="106.775" string="3" fret="9" leftHand="4" /&gt;&lt;/chord&gt;</v>
      </c>
      <c r="D570" s="3">
        <f t="shared" si="59"/>
        <v>106.77500000000001</v>
      </c>
      <c r="E570" s="3">
        <f t="shared" si="60"/>
        <v>85.325000000000003</v>
      </c>
      <c r="F570" t="str">
        <f t="shared" si="62"/>
        <v>85.125</v>
      </c>
      <c r="G570" t="s">
        <v>793</v>
      </c>
      <c r="I570" t="str">
        <f t="shared" si="61"/>
        <v>&lt;note time="106.775" string="1" fret="2" /&gt;</v>
      </c>
      <c r="J570" t="str">
        <f t="shared" si="64"/>
        <v>82.125</v>
      </c>
      <c r="K570" t="s">
        <v>1537</v>
      </c>
    </row>
    <row r="571" spans="1:11" x14ac:dyDescent="0.45">
      <c r="A571" t="str">
        <f t="shared" si="63"/>
        <v>&lt;chord time="106.931" chordId="0" highDensity="1" &gt;&lt;chordNote time="106.931" string="1" fret="7" leftHand="1" /&gt;&lt;chordNote time="106.931" string="2" fret="9" leftHand="3" /&gt;&lt;chordNote time="106.931" string="3" fret="9" leftHand="4" /&gt;&lt;/chord&gt;</v>
      </c>
      <c r="D571" s="3">
        <f t="shared" si="59"/>
        <v>106.931</v>
      </c>
      <c r="E571" s="3">
        <f t="shared" si="60"/>
        <v>85.45</v>
      </c>
      <c r="F571" t="str">
        <f t="shared" si="62"/>
        <v>85.250</v>
      </c>
      <c r="G571" t="s">
        <v>794</v>
      </c>
      <c r="I571" t="str">
        <f t="shared" si="61"/>
        <v>&lt;note time="106.931" string="1" fret="2" /&gt;</v>
      </c>
      <c r="J571" t="str">
        <f t="shared" si="64"/>
        <v>82.250</v>
      </c>
      <c r="K571" t="s">
        <v>1538</v>
      </c>
    </row>
    <row r="572" spans="1:11" x14ac:dyDescent="0.45">
      <c r="A572" t="str">
        <f t="shared" si="63"/>
        <v>&lt;chord time="107.088" chordId="0" highDensity="1" &gt;&lt;chordNote time="107.088" string="1" fret="7" leftHand="1" /&gt;&lt;chordNote time="107.088" string="2" fret="9" leftHand="3" /&gt;&lt;chordNote time="107.088" string="3" fret="9" leftHand="4" /&gt;&lt;/chord&gt;</v>
      </c>
      <c r="D572" s="3">
        <f t="shared" si="59"/>
        <v>107.08799999999999</v>
      </c>
      <c r="E572" s="3">
        <f t="shared" si="60"/>
        <v>85.575000000000003</v>
      </c>
      <c r="F572" t="str">
        <f t="shared" si="62"/>
        <v>85.375</v>
      </c>
      <c r="G572" t="s">
        <v>795</v>
      </c>
      <c r="I572" t="str">
        <f t="shared" si="61"/>
        <v>&lt;note time="107.088" string="1" fret="2" /&gt;</v>
      </c>
      <c r="J572" t="str">
        <f t="shared" si="64"/>
        <v>82.375</v>
      </c>
      <c r="K572" t="s">
        <v>1539</v>
      </c>
    </row>
    <row r="573" spans="1:11" x14ac:dyDescent="0.45">
      <c r="A573" t="str">
        <f t="shared" si="63"/>
        <v>&lt;chord time="107.244" chordId="0" highDensity="1" &gt;&lt;chordNote time="107.244" string="1" fret="7" leftHand="1" /&gt;&lt;chordNote time="107.244" string="2" fret="9" leftHand="3" /&gt;&lt;chordNote time="107.244" string="3" fret="9" leftHand="4" /&gt;&lt;/chord&gt;</v>
      </c>
      <c r="D573" s="3">
        <f t="shared" si="59"/>
        <v>107.244</v>
      </c>
      <c r="E573" s="3">
        <f t="shared" si="60"/>
        <v>85.7</v>
      </c>
      <c r="F573" t="str">
        <f t="shared" si="62"/>
        <v>85.500</v>
      </c>
      <c r="G573" t="s">
        <v>796</v>
      </c>
      <c r="I573" t="str">
        <f t="shared" si="61"/>
        <v>&lt;note time="107.244" string="1" fret="2" /&gt;</v>
      </c>
      <c r="J573" t="str">
        <f t="shared" si="64"/>
        <v>82.500</v>
      </c>
      <c r="K573" t="s">
        <v>1540</v>
      </c>
    </row>
    <row r="574" spans="1:11" x14ac:dyDescent="0.45">
      <c r="A574" t="str">
        <f t="shared" si="63"/>
        <v>&lt;chord time="107.401" chordId="0" highDensity="1" &gt;&lt;chordNote time="107.401" string="1" fret="7" leftHand="1" /&gt;&lt;chordNote time="107.401" string="2" fret="9" leftHand="3" /&gt;&lt;chordNote time="107.401" string="3" fret="9" leftHand="4" /&gt;&lt;/chord&gt;</v>
      </c>
      <c r="D574" s="3">
        <f t="shared" si="59"/>
        <v>107.401</v>
      </c>
      <c r="E574" s="3">
        <f t="shared" si="60"/>
        <v>85.825000000000003</v>
      </c>
      <c r="F574" t="str">
        <f t="shared" si="62"/>
        <v>85.625</v>
      </c>
      <c r="G574" t="s">
        <v>797</v>
      </c>
      <c r="I574" t="str">
        <f t="shared" si="61"/>
        <v>&lt;note time="107.401" string="1" fret="2" /&gt;</v>
      </c>
      <c r="J574" t="str">
        <f t="shared" si="64"/>
        <v>82.625</v>
      </c>
      <c r="K574" t="s">
        <v>1541</v>
      </c>
    </row>
    <row r="575" spans="1:11" x14ac:dyDescent="0.45">
      <c r="A575" t="str">
        <f t="shared" si="63"/>
        <v>&lt;chord time="107.557" chordId="0" highDensity="1" &gt;&lt;chordNote time="107.557" string="1" fret="7" leftHand="1" /&gt;&lt;chordNote time="107.557" string="2" fret="9" leftHand="3" /&gt;&lt;chordNote time="107.557" string="3" fret="9" leftHand="4" /&gt;&lt;/chord&gt;</v>
      </c>
      <c r="D575" s="3">
        <f t="shared" si="59"/>
        <v>107.557</v>
      </c>
      <c r="E575" s="3">
        <f t="shared" si="60"/>
        <v>85.95</v>
      </c>
      <c r="F575" t="str">
        <f t="shared" si="62"/>
        <v>85.750</v>
      </c>
      <c r="G575" t="s">
        <v>798</v>
      </c>
      <c r="I575" t="str">
        <f t="shared" si="61"/>
        <v>&lt;note time="107.557" string="1" fret="2" /&gt;</v>
      </c>
      <c r="J575" t="str">
        <f t="shared" si="64"/>
        <v>82.750</v>
      </c>
      <c r="K575" t="s">
        <v>1542</v>
      </c>
    </row>
    <row r="576" spans="1:11" x14ac:dyDescent="0.45">
      <c r="A576" t="str">
        <f t="shared" si="63"/>
        <v>&lt;chord time="107.714" chordId="0" highDensity="1" &gt;&lt;chordNote time="107.714" string="1" fret="7" leftHand="1" /&gt;&lt;chordNote time="107.714" string="2" fret="9" leftHand="3" /&gt;&lt;chordNote time="107.714" string="3" fret="9" leftHand="4" /&gt;&lt;/chord&gt;</v>
      </c>
      <c r="D576" s="3">
        <f t="shared" si="59"/>
        <v>107.714</v>
      </c>
      <c r="E576" s="3">
        <f t="shared" si="60"/>
        <v>86.075000000000003</v>
      </c>
      <c r="F576" t="str">
        <f t="shared" si="62"/>
        <v>85.875</v>
      </c>
      <c r="G576" t="s">
        <v>799</v>
      </c>
      <c r="I576" t="str">
        <f t="shared" si="61"/>
        <v>&lt;note time="107.714" string="1" fret="2" /&gt;</v>
      </c>
      <c r="J576" t="str">
        <f t="shared" si="64"/>
        <v>82.875</v>
      </c>
      <c r="K576" t="s">
        <v>1543</v>
      </c>
    </row>
    <row r="577" spans="1:11" x14ac:dyDescent="0.45">
      <c r="A577" t="str">
        <f t="shared" si="63"/>
        <v>&lt;chord time="107.870" chordId="1" &gt;&lt;chordNote time="107.870" string="1" fret="9" leftHand="1" /&gt;&lt;chordNote time="107.870" string="2" fret="11" leftHand="3" /&gt;&lt;chordNote time="107.870" string="3" fret="11" leftHand="4" /&gt;&lt;/chord&gt;</v>
      </c>
      <c r="D577" s="3">
        <f t="shared" si="59"/>
        <v>107.87</v>
      </c>
      <c r="E577" s="3">
        <f t="shared" si="60"/>
        <v>86.2</v>
      </c>
      <c r="F577" t="str">
        <f t="shared" si="62"/>
        <v>86.000</v>
      </c>
      <c r="G577" t="s">
        <v>800</v>
      </c>
      <c r="I577" t="str">
        <f t="shared" si="61"/>
        <v>&lt;note time="107.870" string="1" fret="2" /&gt;</v>
      </c>
      <c r="J577" t="str">
        <f t="shared" si="64"/>
        <v>83.000</v>
      </c>
      <c r="K577" t="s">
        <v>1544</v>
      </c>
    </row>
    <row r="578" spans="1:11" x14ac:dyDescent="0.45">
      <c r="A578" t="str">
        <f t="shared" si="63"/>
        <v>&lt;chord time="108.027" chordId="1" highDensity="1" &gt;&lt;chordNote time="108.027" string="1" fret="9" leftHand="1" /&gt;&lt;chordNote time="108.027" string="2" fret="11" leftHand="3" /&gt;&lt;chordNote time="108.027" string="3" fret="11" leftHand="4" /&gt;&lt;/chord&gt;</v>
      </c>
      <c r="D578" s="3">
        <f t="shared" ref="D578:D641" si="65">ROUNDDOWN(E578-($C$3*(E578-$E$1)/100),3)</f>
        <v>108.027</v>
      </c>
      <c r="E578" s="3">
        <f t="shared" ref="E578:E641" si="66">0.2+F578</f>
        <v>86.325000000000003</v>
      </c>
      <c r="F578" t="str">
        <f t="shared" si="62"/>
        <v>86.125</v>
      </c>
      <c r="G578" t="s">
        <v>801</v>
      </c>
      <c r="I578" t="str">
        <f t="shared" ref="I578:I641" si="67">SUBSTITUTE(K578,J578,TEXT(D578,"0.000"))</f>
        <v>&lt;note time="108.027" string="1" fret="2" /&gt;</v>
      </c>
      <c r="J578" t="str">
        <f t="shared" si="64"/>
        <v>83.125</v>
      </c>
      <c r="K578" t="s">
        <v>1545</v>
      </c>
    </row>
    <row r="579" spans="1:11" x14ac:dyDescent="0.45">
      <c r="A579" t="str">
        <f t="shared" si="63"/>
        <v>&lt;chord time="108.183" chordId="1" highDensity="1" &gt;&lt;chordNote time="108.183" string="1" fret="9" leftHand="1" /&gt;&lt;chordNote time="108.183" string="2" fret="11" leftHand="3" /&gt;&lt;chordNote time="108.183" string="3" fret="11" leftHand="4" /&gt;&lt;/chord&gt;</v>
      </c>
      <c r="D579" s="3">
        <f t="shared" si="65"/>
        <v>108.18300000000001</v>
      </c>
      <c r="E579" s="3">
        <f t="shared" si="66"/>
        <v>86.45</v>
      </c>
      <c r="F579" t="str">
        <f t="shared" si="62"/>
        <v>86.250</v>
      </c>
      <c r="G579" t="s">
        <v>802</v>
      </c>
      <c r="I579" t="str">
        <f t="shared" si="67"/>
        <v>&lt;note time="108.183" string="1" fret="2" /&gt;</v>
      </c>
      <c r="J579" t="str">
        <f t="shared" si="64"/>
        <v>83.250</v>
      </c>
      <c r="K579" t="s">
        <v>1546</v>
      </c>
    </row>
    <row r="580" spans="1:11" x14ac:dyDescent="0.45">
      <c r="A580" t="str">
        <f t="shared" si="63"/>
        <v>&lt;chord time="108.340" chordId="1" highDensity="1" &gt;&lt;chordNote time="108.340" string="1" fret="9" leftHand="1" /&gt;&lt;chordNote time="108.340" string="2" fret="11" leftHand="3" /&gt;&lt;chordNote time="108.340" string="3" fret="11" leftHand="4" /&gt;&lt;/chord&gt;</v>
      </c>
      <c r="D580" s="3">
        <f t="shared" si="65"/>
        <v>108.34</v>
      </c>
      <c r="E580" s="3">
        <f t="shared" si="66"/>
        <v>86.575000000000003</v>
      </c>
      <c r="F580" t="str">
        <f t="shared" si="62"/>
        <v>86.375</v>
      </c>
      <c r="G580" t="s">
        <v>803</v>
      </c>
      <c r="I580" t="str">
        <f t="shared" si="67"/>
        <v>&lt;note time="108.340" string="1" fret="2" /&gt;</v>
      </c>
      <c r="J580" t="str">
        <f t="shared" si="64"/>
        <v>83.375</v>
      </c>
      <c r="K580" t="s">
        <v>1547</v>
      </c>
    </row>
    <row r="581" spans="1:11" x14ac:dyDescent="0.45">
      <c r="A581" t="str">
        <f t="shared" si="63"/>
        <v>&lt;chord time="108.496" chordId="1" highDensity="1" &gt;&lt;chordNote time="108.496" string="1" fret="9" leftHand="1" /&gt;&lt;chordNote time="108.496" string="2" fret="11" leftHand="3" /&gt;&lt;chordNote time="108.496" string="3" fret="11" leftHand="4" /&gt;&lt;/chord&gt;</v>
      </c>
      <c r="D581" s="3">
        <f t="shared" si="65"/>
        <v>108.496</v>
      </c>
      <c r="E581" s="3">
        <f t="shared" si="66"/>
        <v>86.7</v>
      </c>
      <c r="F581" t="str">
        <f t="shared" si="62"/>
        <v>86.500</v>
      </c>
      <c r="G581" t="s">
        <v>804</v>
      </c>
      <c r="I581" t="str">
        <f t="shared" si="67"/>
        <v>&lt;note time="108.496" string="1" fret="2" /&gt;</v>
      </c>
      <c r="J581" t="str">
        <f t="shared" si="64"/>
        <v>83.500</v>
      </c>
      <c r="K581" t="s">
        <v>1548</v>
      </c>
    </row>
    <row r="582" spans="1:11" x14ac:dyDescent="0.45">
      <c r="A582" t="str">
        <f t="shared" si="63"/>
        <v>&lt;chord time="108.653" chordId="1" highDensity="1" &gt;&lt;chordNote time="108.653" string="1" fret="9" leftHand="1" /&gt;&lt;chordNote time="108.653" string="2" fret="11" leftHand="3" /&gt;&lt;chordNote time="108.653" string="3" fret="11" leftHand="4" /&gt;&lt;/chord&gt;</v>
      </c>
      <c r="D582" s="3">
        <f t="shared" si="65"/>
        <v>108.65300000000001</v>
      </c>
      <c r="E582" s="3">
        <f t="shared" si="66"/>
        <v>86.825000000000003</v>
      </c>
      <c r="F582" t="str">
        <f t="shared" si="62"/>
        <v>86.625</v>
      </c>
      <c r="G582" t="s">
        <v>805</v>
      </c>
      <c r="I582" t="str">
        <f t="shared" si="67"/>
        <v>&lt;note time="108.653" string="1" fret="2" /&gt;</v>
      </c>
      <c r="J582" t="str">
        <f t="shared" si="64"/>
        <v>83.625</v>
      </c>
      <c r="K582" t="s">
        <v>1549</v>
      </c>
    </row>
    <row r="583" spans="1:11" x14ac:dyDescent="0.45">
      <c r="A583" t="str">
        <f t="shared" si="63"/>
        <v>&lt;chord time="108.809" chordId="1" highDensity="1" &gt;&lt;chordNote time="108.809" string="1" fret="9" leftHand="1" /&gt;&lt;chordNote time="108.809" string="2" fret="11" leftHand="3" /&gt;&lt;chordNote time="108.809" string="3" fret="11" leftHand="4" /&gt;&lt;/chord&gt;</v>
      </c>
      <c r="D583" s="3">
        <f t="shared" si="65"/>
        <v>108.809</v>
      </c>
      <c r="E583" s="3">
        <f t="shared" si="66"/>
        <v>86.95</v>
      </c>
      <c r="F583" t="str">
        <f t="shared" si="62"/>
        <v>86.750</v>
      </c>
      <c r="G583" t="s">
        <v>806</v>
      </c>
      <c r="I583" t="str">
        <f t="shared" si="67"/>
        <v>&lt;note time="108.809" string="1" fret="2" /&gt;</v>
      </c>
      <c r="J583" t="str">
        <f t="shared" si="64"/>
        <v>83.750</v>
      </c>
      <c r="K583" t="s">
        <v>1550</v>
      </c>
    </row>
    <row r="584" spans="1:11" x14ac:dyDescent="0.45">
      <c r="A584" t="str">
        <f t="shared" si="63"/>
        <v>&lt;chord time="108.966" chordId="1" highDensity="1" &gt;&lt;chordNote time="108.966" string="1" fret="9" leftHand="1" /&gt;&lt;chordNote time="108.966" string="2" fret="11" leftHand="3" /&gt;&lt;chordNote time="108.966" string="3" fret="11" leftHand="4" /&gt;&lt;/chord&gt;</v>
      </c>
      <c r="D584" s="3">
        <f t="shared" si="65"/>
        <v>108.96599999999999</v>
      </c>
      <c r="E584" s="3">
        <f t="shared" si="66"/>
        <v>87.075000000000003</v>
      </c>
      <c r="F584" t="str">
        <f t="shared" si="62"/>
        <v>86.875</v>
      </c>
      <c r="G584" t="s">
        <v>807</v>
      </c>
      <c r="I584" t="str">
        <f t="shared" si="67"/>
        <v>&lt;note time="108.966" string="1" fret="2" /&gt;</v>
      </c>
      <c r="J584" t="str">
        <f t="shared" si="64"/>
        <v>83.875</v>
      </c>
      <c r="K584" t="s">
        <v>1551</v>
      </c>
    </row>
    <row r="585" spans="1:11" x14ac:dyDescent="0.45">
      <c r="A585" t="str">
        <f t="shared" si="63"/>
        <v>&lt;chord time="109.122" chordId="1" highDensity="1" &gt;&lt;chordNote time="109.122" string="1" fret="9" leftHand="1" /&gt;&lt;chordNote time="109.122" string="2" fret="11" leftHand="3" /&gt;&lt;chordNote time="109.122" string="3" fret="11" leftHand="4" /&gt;&lt;/chord&gt;</v>
      </c>
      <c r="D585" s="3">
        <f t="shared" si="65"/>
        <v>109.122</v>
      </c>
      <c r="E585" s="3">
        <f t="shared" si="66"/>
        <v>87.2</v>
      </c>
      <c r="F585" t="str">
        <f t="shared" si="62"/>
        <v>87.000</v>
      </c>
      <c r="G585" t="s">
        <v>808</v>
      </c>
      <c r="I585" t="str">
        <f t="shared" si="67"/>
        <v>&lt;note time="109.122" string="1" fret="7" /&gt;</v>
      </c>
      <c r="J585" t="str">
        <f t="shared" si="64"/>
        <v>84.000</v>
      </c>
      <c r="K585" t="s">
        <v>1552</v>
      </c>
    </row>
    <row r="586" spans="1:11" x14ac:dyDescent="0.45">
      <c r="A586" t="str">
        <f t="shared" si="63"/>
        <v>&lt;chord time="109.279" chordId="1" highDensity="1" &gt;&lt;chordNote time="109.279" string="1" fret="9" leftHand="1" /&gt;&lt;chordNote time="109.279" string="2" fret="11" leftHand="3" /&gt;&lt;chordNote time="109.279" string="3" fret="11" leftHand="4" /&gt;&lt;/chord&gt;</v>
      </c>
      <c r="D586" s="3">
        <f t="shared" si="65"/>
        <v>109.279</v>
      </c>
      <c r="E586" s="3">
        <f t="shared" si="66"/>
        <v>87.325000000000003</v>
      </c>
      <c r="F586" t="str">
        <f t="shared" si="62"/>
        <v>87.125</v>
      </c>
      <c r="G586" t="s">
        <v>809</v>
      </c>
      <c r="I586" t="str">
        <f t="shared" si="67"/>
        <v>&lt;note time="109.279" string="1" fret="7" /&gt;</v>
      </c>
      <c r="J586" t="str">
        <f t="shared" si="64"/>
        <v>84.125</v>
      </c>
      <c r="K586" t="s">
        <v>1553</v>
      </c>
    </row>
    <row r="587" spans="1:11" x14ac:dyDescent="0.45">
      <c r="A587" t="str">
        <f t="shared" si="63"/>
        <v>&lt;chord time="109.435" chordId="1" highDensity="1" &gt;&lt;chordNote time="109.435" string="1" fret="9" leftHand="1" /&gt;&lt;chordNote time="109.435" string="2" fret="11" leftHand="3" /&gt;&lt;chordNote time="109.435" string="3" fret="11" leftHand="4" /&gt;&lt;/chord&gt;</v>
      </c>
      <c r="D587" s="3">
        <f t="shared" si="65"/>
        <v>109.435</v>
      </c>
      <c r="E587" s="3">
        <f t="shared" si="66"/>
        <v>87.45</v>
      </c>
      <c r="F587" t="str">
        <f t="shared" si="62"/>
        <v>87.250</v>
      </c>
      <c r="G587" t="s">
        <v>810</v>
      </c>
      <c r="I587" t="str">
        <f t="shared" si="67"/>
        <v>&lt;note time="109.435" string="1" fret="7" /&gt;</v>
      </c>
      <c r="J587" t="str">
        <f t="shared" si="64"/>
        <v>84.250</v>
      </c>
      <c r="K587" t="s">
        <v>1554</v>
      </c>
    </row>
    <row r="588" spans="1:11" x14ac:dyDescent="0.45">
      <c r="A588" t="str">
        <f t="shared" si="63"/>
        <v>&lt;chord time="109.592" chordId="1" highDensity="1" &gt;&lt;chordNote time="109.592" string="1" fret="9" leftHand="1" /&gt;&lt;chordNote time="109.592" string="2" fret="11" leftHand="3" /&gt;&lt;chordNote time="109.592" string="3" fret="11" leftHand="4" /&gt;&lt;/chord&gt;</v>
      </c>
      <c r="D588" s="3">
        <f t="shared" si="65"/>
        <v>109.592</v>
      </c>
      <c r="E588" s="3">
        <f t="shared" si="66"/>
        <v>87.575000000000003</v>
      </c>
      <c r="F588" t="str">
        <f t="shared" si="62"/>
        <v>87.375</v>
      </c>
      <c r="G588" t="s">
        <v>811</v>
      </c>
      <c r="I588" t="str">
        <f t="shared" si="67"/>
        <v>&lt;note time="109.592" string="1" fret="7" /&gt;</v>
      </c>
      <c r="J588" t="str">
        <f t="shared" si="64"/>
        <v>84.375</v>
      </c>
      <c r="K588" t="s">
        <v>1555</v>
      </c>
    </row>
    <row r="589" spans="1:11" x14ac:dyDescent="0.45">
      <c r="A589" t="str">
        <f t="shared" si="63"/>
        <v>&lt;chord time="109.748" chordId="1" highDensity="1" &gt;&lt;chordNote time="109.748" string="1" fret="9" leftHand="1" /&gt;&lt;chordNote time="109.748" string="2" fret="11" leftHand="3" /&gt;&lt;chordNote time="109.748" string="3" fret="11" leftHand="4" /&gt;&lt;/chord&gt;</v>
      </c>
      <c r="D589" s="3">
        <f t="shared" si="65"/>
        <v>109.748</v>
      </c>
      <c r="E589" s="3">
        <f t="shared" si="66"/>
        <v>87.7</v>
      </c>
      <c r="F589" t="str">
        <f t="shared" si="62"/>
        <v>87.500</v>
      </c>
      <c r="G589" t="s">
        <v>812</v>
      </c>
      <c r="I589" t="str">
        <f t="shared" si="67"/>
        <v>&lt;note time="109.748" string="1" fret="7" /&gt;</v>
      </c>
      <c r="J589" t="str">
        <f t="shared" si="64"/>
        <v>84.500</v>
      </c>
      <c r="K589" t="s">
        <v>1556</v>
      </c>
    </row>
    <row r="590" spans="1:11" x14ac:dyDescent="0.45">
      <c r="A590" t="str">
        <f t="shared" si="63"/>
        <v>&lt;chord time="109.905" chordId="1" highDensity="1" &gt;&lt;chordNote time="109.905" string="1" fret="9" leftHand="1" /&gt;&lt;chordNote time="109.905" string="2" fret="11" leftHand="3" /&gt;&lt;chordNote time="109.905" string="3" fret="11" leftHand="4" /&gt;&lt;/chord&gt;</v>
      </c>
      <c r="D590" s="3">
        <f t="shared" si="65"/>
        <v>109.905</v>
      </c>
      <c r="E590" s="3">
        <f t="shared" si="66"/>
        <v>87.825000000000003</v>
      </c>
      <c r="F590" t="str">
        <f t="shared" si="62"/>
        <v>87.625</v>
      </c>
      <c r="G590" t="s">
        <v>813</v>
      </c>
      <c r="I590" t="str">
        <f t="shared" si="67"/>
        <v>&lt;note time="109.905" string="1" fret="7" /&gt;</v>
      </c>
      <c r="J590" t="str">
        <f t="shared" si="64"/>
        <v>84.625</v>
      </c>
      <c r="K590" t="s">
        <v>1557</v>
      </c>
    </row>
    <row r="591" spans="1:11" x14ac:dyDescent="0.45">
      <c r="A591" t="str">
        <f t="shared" si="63"/>
        <v>&lt;chord time="110.061" chordId="1" highDensity="1" &gt;&lt;chordNote time="110.061" string="1" fret="9" leftHand="1" /&gt;&lt;chordNote time="110.061" string="2" fret="11" leftHand="3" /&gt;&lt;chordNote time="110.061" string="3" fret="11" leftHand="4" /&gt;&lt;/chord&gt;</v>
      </c>
      <c r="D591" s="3">
        <f t="shared" si="65"/>
        <v>110.06100000000001</v>
      </c>
      <c r="E591" s="3">
        <f t="shared" si="66"/>
        <v>87.95</v>
      </c>
      <c r="F591" t="str">
        <f t="shared" si="62"/>
        <v>87.750</v>
      </c>
      <c r="G591" t="s">
        <v>814</v>
      </c>
      <c r="I591" t="str">
        <f t="shared" si="67"/>
        <v>&lt;note time="110.061" string="1" fret="7" /&gt;</v>
      </c>
      <c r="J591" t="str">
        <f t="shared" si="64"/>
        <v>84.750</v>
      </c>
      <c r="K591" t="s">
        <v>1558</v>
      </c>
    </row>
    <row r="592" spans="1:11" x14ac:dyDescent="0.45">
      <c r="A592" t="str">
        <f t="shared" si="63"/>
        <v>&lt;chord time="110.218" chordId="1" highDensity="1" &gt;&lt;chordNote time="110.218" string="1" fret="9" leftHand="1" /&gt;&lt;chordNote time="110.218" string="2" fret="11" leftHand="3" /&gt;&lt;chordNote time="110.218" string="3" fret="11" leftHand="4" /&gt;&lt;/chord&gt;</v>
      </c>
      <c r="D592" s="3">
        <f t="shared" si="65"/>
        <v>110.218</v>
      </c>
      <c r="E592" s="3">
        <f t="shared" si="66"/>
        <v>88.075000000000003</v>
      </c>
      <c r="F592" t="str">
        <f t="shared" si="62"/>
        <v>87.875</v>
      </c>
      <c r="G592" t="s">
        <v>815</v>
      </c>
      <c r="I592" t="str">
        <f t="shared" si="67"/>
        <v>&lt;note time="110.218" string="1" fret="7" /&gt;</v>
      </c>
      <c r="J592" t="str">
        <f t="shared" si="64"/>
        <v>84.875</v>
      </c>
      <c r="K592" t="s">
        <v>1559</v>
      </c>
    </row>
    <row r="593" spans="1:11" x14ac:dyDescent="0.45">
      <c r="A593" t="str">
        <f t="shared" si="63"/>
        <v>&lt;chord time="110.374" chordId="3" &gt;&lt;chordNote time="110.374" string="1" fret="4" leftHand="1" /&gt;&lt;chordNote time="110.374" string="2" fret="6" leftHand="3" /&gt;&lt;chordNote time="110.374" string="3" fret="6" leftHand="4" /&gt;&lt;/chord&gt;</v>
      </c>
      <c r="D593" s="3">
        <f t="shared" si="65"/>
        <v>110.374</v>
      </c>
      <c r="E593" s="3">
        <f t="shared" si="66"/>
        <v>88.2</v>
      </c>
      <c r="F593" t="str">
        <f t="shared" ref="F593:F656" si="68">RIGHT(LEFT(G593,19),6)</f>
        <v>88.000</v>
      </c>
      <c r="G593" t="s">
        <v>816</v>
      </c>
      <c r="I593" t="str">
        <f t="shared" si="67"/>
        <v>&lt;note time="110.374" string="1" fret="7" /&gt;</v>
      </c>
      <c r="J593" t="str">
        <f t="shared" si="64"/>
        <v>85.000</v>
      </c>
      <c r="K593" t="s">
        <v>1560</v>
      </c>
    </row>
    <row r="594" spans="1:11" x14ac:dyDescent="0.45">
      <c r="A594" t="str">
        <f t="shared" ref="A594:A657" si="69">SUBSTITUTE(G594,F594,TEXT(D594,"0.000"))</f>
        <v>&lt;chord time="110.531" chordId="3" highDensity="1" &gt;&lt;chordNote time="110.531" string="1" fret="4" leftHand="1" /&gt;&lt;chordNote time="110.531" string="2" fret="6" leftHand="3" /&gt;&lt;chordNote time="110.531" string="3" fret="6" leftHand="4" /&gt;&lt;/chord&gt;</v>
      </c>
      <c r="D594" s="3">
        <f t="shared" si="65"/>
        <v>110.53100000000001</v>
      </c>
      <c r="E594" s="3">
        <f t="shared" si="66"/>
        <v>88.325000000000003</v>
      </c>
      <c r="F594" t="str">
        <f t="shared" si="68"/>
        <v>88.125</v>
      </c>
      <c r="G594" t="s">
        <v>817</v>
      </c>
      <c r="I594" t="str">
        <f t="shared" si="67"/>
        <v>&lt;note time="110.531" string="1" fret="7" /&gt;</v>
      </c>
      <c r="J594" t="str">
        <f t="shared" si="64"/>
        <v>85.125</v>
      </c>
      <c r="K594" t="s">
        <v>1561</v>
      </c>
    </row>
    <row r="595" spans="1:11" x14ac:dyDescent="0.45">
      <c r="A595" t="str">
        <f t="shared" si="69"/>
        <v>&lt;chord time="110.687" chordId="3" highDensity="1" &gt;&lt;chordNote time="110.687" string="1" fret="4" leftHand="1" /&gt;&lt;chordNote time="110.687" string="2" fret="6" leftHand="3" /&gt;&lt;chordNote time="110.687" string="3" fret="6" leftHand="4" /&gt;&lt;/chord&gt;</v>
      </c>
      <c r="D595" s="3">
        <f t="shared" si="65"/>
        <v>110.687</v>
      </c>
      <c r="E595" s="3">
        <f t="shared" si="66"/>
        <v>88.45</v>
      </c>
      <c r="F595" t="str">
        <f t="shared" si="68"/>
        <v>88.250</v>
      </c>
      <c r="G595" t="s">
        <v>818</v>
      </c>
      <c r="I595" t="str">
        <f t="shared" si="67"/>
        <v>&lt;note time="110.687" string="1" fret="7" /&gt;</v>
      </c>
      <c r="J595" t="str">
        <f t="shared" si="64"/>
        <v>85.250</v>
      </c>
      <c r="K595" t="s">
        <v>1562</v>
      </c>
    </row>
    <row r="596" spans="1:11" x14ac:dyDescent="0.45">
      <c r="A596" t="str">
        <f t="shared" si="69"/>
        <v>&lt;chord time="110.844" chordId="3" highDensity="1" &gt;&lt;chordNote time="110.844" string="1" fret="4" leftHand="1" /&gt;&lt;chordNote time="110.844" string="2" fret="6" leftHand="3" /&gt;&lt;chordNote time="110.844" string="3" fret="6" leftHand="4" /&gt;&lt;/chord&gt;</v>
      </c>
      <c r="D596" s="3">
        <f t="shared" si="65"/>
        <v>110.84399999999999</v>
      </c>
      <c r="E596" s="3">
        <f t="shared" si="66"/>
        <v>88.575000000000003</v>
      </c>
      <c r="F596" t="str">
        <f t="shared" si="68"/>
        <v>88.375</v>
      </c>
      <c r="G596" t="s">
        <v>819</v>
      </c>
      <c r="I596" t="str">
        <f t="shared" si="67"/>
        <v>&lt;note time="110.844" string="1" fret="7" /&gt;</v>
      </c>
      <c r="J596" t="str">
        <f t="shared" si="64"/>
        <v>85.375</v>
      </c>
      <c r="K596" t="s">
        <v>1563</v>
      </c>
    </row>
    <row r="597" spans="1:11" x14ac:dyDescent="0.45">
      <c r="A597" t="str">
        <f t="shared" si="69"/>
        <v>&lt;chord time="111.000" chordId="3" highDensity="1" &gt;&lt;chordNote time="111.000" string="1" fret="4" leftHand="1" /&gt;&lt;chordNote time="111.000" string="2" fret="6" leftHand="3" /&gt;&lt;chordNote time="111.000" string="3" fret="6" leftHand="4" /&gt;&lt;/chord&gt;</v>
      </c>
      <c r="D597" s="3">
        <f t="shared" si="65"/>
        <v>111</v>
      </c>
      <c r="E597" s="3">
        <f t="shared" si="66"/>
        <v>88.7</v>
      </c>
      <c r="F597" t="str">
        <f t="shared" si="68"/>
        <v>88.500</v>
      </c>
      <c r="G597" t="s">
        <v>820</v>
      </c>
      <c r="I597" t="str">
        <f t="shared" si="67"/>
        <v>&lt;note time="111.000" string="1" fret="7" /&gt;</v>
      </c>
      <c r="J597" t="str">
        <f t="shared" si="64"/>
        <v>85.500</v>
      </c>
      <c r="K597" t="s">
        <v>1564</v>
      </c>
    </row>
    <row r="598" spans="1:11" x14ac:dyDescent="0.45">
      <c r="A598" t="str">
        <f t="shared" si="69"/>
        <v>&lt;chord time="111.157" chordId="3" highDensity="1" &gt;&lt;chordNote time="111.157" string="1" fret="4" leftHand="1" /&gt;&lt;chordNote time="111.157" string="2" fret="6" leftHand="3" /&gt;&lt;chordNote time="111.157" string="3" fret="6" leftHand="4" /&gt;&lt;/chord&gt;</v>
      </c>
      <c r="D598" s="3">
        <f t="shared" si="65"/>
        <v>111.157</v>
      </c>
      <c r="E598" s="3">
        <f t="shared" si="66"/>
        <v>88.825000000000003</v>
      </c>
      <c r="F598" t="str">
        <f t="shared" si="68"/>
        <v>88.625</v>
      </c>
      <c r="G598" t="s">
        <v>821</v>
      </c>
      <c r="I598" t="str">
        <f t="shared" si="67"/>
        <v>&lt;note time="111.157" string="1" fret="7" /&gt;</v>
      </c>
      <c r="J598" t="str">
        <f t="shared" si="64"/>
        <v>85.625</v>
      </c>
      <c r="K598" t="s">
        <v>1565</v>
      </c>
    </row>
    <row r="599" spans="1:11" x14ac:dyDescent="0.45">
      <c r="A599" t="str">
        <f t="shared" si="69"/>
        <v>&lt;chord time="111.313" chordId="3" highDensity="1" &gt;&lt;chordNote time="111.313" string="1" fret="4" leftHand="1" /&gt;&lt;chordNote time="111.313" string="2" fret="6" leftHand="3" /&gt;&lt;chordNote time="111.313" string="3" fret="6" leftHand="4" /&gt;&lt;/chord&gt;</v>
      </c>
      <c r="D599" s="3">
        <f t="shared" si="65"/>
        <v>111.313</v>
      </c>
      <c r="E599" s="3">
        <f t="shared" si="66"/>
        <v>88.95</v>
      </c>
      <c r="F599" t="str">
        <f t="shared" si="68"/>
        <v>88.750</v>
      </c>
      <c r="G599" t="s">
        <v>822</v>
      </c>
      <c r="I599" t="str">
        <f t="shared" si="67"/>
        <v>&lt;note time="111.313" string="1" fret="7" /&gt;</v>
      </c>
      <c r="J599" t="str">
        <f t="shared" si="64"/>
        <v>85.750</v>
      </c>
      <c r="K599" t="s">
        <v>1566</v>
      </c>
    </row>
    <row r="600" spans="1:11" x14ac:dyDescent="0.45">
      <c r="A600" t="str">
        <f t="shared" si="69"/>
        <v>&lt;chord time="111.470" chordId="3" highDensity="1" &gt;&lt;chordNote time="111.470" string="1" fret="4" leftHand="1" /&gt;&lt;chordNote time="111.470" string="2" fret="6" leftHand="3" /&gt;&lt;chordNote time="111.470" string="3" fret="6" leftHand="4" /&gt;&lt;/chord&gt;</v>
      </c>
      <c r="D600" s="3">
        <f t="shared" si="65"/>
        <v>111.47</v>
      </c>
      <c r="E600" s="3">
        <f t="shared" si="66"/>
        <v>89.075000000000003</v>
      </c>
      <c r="F600" t="str">
        <f t="shared" si="68"/>
        <v>88.875</v>
      </c>
      <c r="G600" t="s">
        <v>823</v>
      </c>
      <c r="I600" t="str">
        <f t="shared" si="67"/>
        <v>&lt;note time="111.470" string="1" fret="7" /&gt;</v>
      </c>
      <c r="J600" t="str">
        <f t="shared" si="64"/>
        <v>85.875</v>
      </c>
      <c r="K600" t="s">
        <v>1567</v>
      </c>
    </row>
    <row r="601" spans="1:11" x14ac:dyDescent="0.45">
      <c r="A601" t="str">
        <f t="shared" si="69"/>
        <v>&lt;chord time="111.626" chordId="3" highDensity="1" &gt;&lt;chordNote time="111.626" string="1" fret="4" leftHand="1" /&gt;&lt;chordNote time="111.626" string="2" fret="6" leftHand="3" /&gt;&lt;chordNote time="111.626" string="3" fret="6" leftHand="4" /&gt;&lt;/chord&gt;</v>
      </c>
      <c r="D601" s="3">
        <f t="shared" si="65"/>
        <v>111.626</v>
      </c>
      <c r="E601" s="3">
        <f t="shared" si="66"/>
        <v>89.2</v>
      </c>
      <c r="F601" t="str">
        <f t="shared" si="68"/>
        <v>89.000</v>
      </c>
      <c r="G601" t="s">
        <v>824</v>
      </c>
      <c r="I601" t="str">
        <f t="shared" si="67"/>
        <v>&lt;note time="111.626" string="1" fret="9" /&gt;</v>
      </c>
      <c r="J601" t="str">
        <f t="shared" si="64"/>
        <v>86.000</v>
      </c>
      <c r="K601" t="s">
        <v>1568</v>
      </c>
    </row>
    <row r="602" spans="1:11" x14ac:dyDescent="0.45">
      <c r="A602" t="str">
        <f t="shared" si="69"/>
        <v>&lt;chord time="111.783" chordId="3" highDensity="1" &gt;&lt;chordNote time="111.783" string="1" fret="4" leftHand="1" /&gt;&lt;chordNote time="111.783" string="2" fret="6" leftHand="3" /&gt;&lt;chordNote time="111.783" string="3" fret="6" leftHand="4" /&gt;&lt;/chord&gt;</v>
      </c>
      <c r="D602" s="3">
        <f t="shared" si="65"/>
        <v>111.783</v>
      </c>
      <c r="E602" s="3">
        <f t="shared" si="66"/>
        <v>89.325000000000003</v>
      </c>
      <c r="F602" t="str">
        <f t="shared" si="68"/>
        <v>89.125</v>
      </c>
      <c r="G602" t="s">
        <v>825</v>
      </c>
      <c r="I602" t="str">
        <f t="shared" si="67"/>
        <v>&lt;note time="111.783" string="1" fret="9" /&gt;</v>
      </c>
      <c r="J602" t="str">
        <f t="shared" si="64"/>
        <v>86.125</v>
      </c>
      <c r="K602" t="s">
        <v>1569</v>
      </c>
    </row>
    <row r="603" spans="1:11" x14ac:dyDescent="0.45">
      <c r="A603" t="str">
        <f t="shared" si="69"/>
        <v>&lt;chord time="111.939" chordId="3" highDensity="1" &gt;&lt;chordNote time="111.939" string="1" fret="4" leftHand="1" /&gt;&lt;chordNote time="111.939" string="2" fret="6" leftHand="3" /&gt;&lt;chordNote time="111.939" string="3" fret="6" leftHand="4" /&gt;&lt;/chord&gt;</v>
      </c>
      <c r="D603" s="3">
        <f t="shared" si="65"/>
        <v>111.93899999999999</v>
      </c>
      <c r="E603" s="3">
        <f t="shared" si="66"/>
        <v>89.45</v>
      </c>
      <c r="F603" t="str">
        <f t="shared" si="68"/>
        <v>89.250</v>
      </c>
      <c r="G603" t="s">
        <v>826</v>
      </c>
      <c r="I603" t="str">
        <f t="shared" si="67"/>
        <v>&lt;note time="111.939" string="1" fret="9" /&gt;</v>
      </c>
      <c r="J603" t="str">
        <f t="shared" si="64"/>
        <v>86.250</v>
      </c>
      <c r="K603" t="s">
        <v>1570</v>
      </c>
    </row>
    <row r="604" spans="1:11" x14ac:dyDescent="0.45">
      <c r="A604" t="str">
        <f t="shared" si="69"/>
        <v>&lt;chord time="112.096" chordId="3" highDensity="1" &gt;&lt;chordNote time="112.096" string="1" fret="4" leftHand="1" /&gt;&lt;chordNote time="112.096" string="2" fret="6" leftHand="3" /&gt;&lt;chordNote time="112.096" string="3" fret="6" leftHand="4" /&gt;&lt;/chord&gt;</v>
      </c>
      <c r="D604" s="3">
        <f t="shared" si="65"/>
        <v>112.096</v>
      </c>
      <c r="E604" s="3">
        <f t="shared" si="66"/>
        <v>89.575000000000003</v>
      </c>
      <c r="F604" t="str">
        <f t="shared" si="68"/>
        <v>89.375</v>
      </c>
      <c r="G604" t="s">
        <v>827</v>
      </c>
      <c r="I604" t="str">
        <f t="shared" si="67"/>
        <v>&lt;note time="112.096" string="1" fret="9" /&gt;</v>
      </c>
      <c r="J604" t="str">
        <f t="shared" si="64"/>
        <v>86.375</v>
      </c>
      <c r="K604" t="s">
        <v>1571</v>
      </c>
    </row>
    <row r="605" spans="1:11" x14ac:dyDescent="0.45">
      <c r="A605" t="str">
        <f t="shared" si="69"/>
        <v>&lt;chord time="112.252" chordId="3" highDensity="1" &gt;&lt;chordNote time="112.252" string="1" fret="4" leftHand="1" /&gt;&lt;chordNote time="112.252" string="2" fret="6" leftHand="3" /&gt;&lt;chordNote time="112.252" string="3" fret="6" leftHand="4" /&gt;&lt;/chord&gt;</v>
      </c>
      <c r="D605" s="3">
        <f t="shared" si="65"/>
        <v>112.252</v>
      </c>
      <c r="E605" s="3">
        <f t="shared" si="66"/>
        <v>89.7</v>
      </c>
      <c r="F605" t="str">
        <f t="shared" si="68"/>
        <v>89.500</v>
      </c>
      <c r="G605" t="s">
        <v>828</v>
      </c>
      <c r="I605" t="str">
        <f t="shared" si="67"/>
        <v>&lt;note time="112.252" string="1" fret="9" /&gt;</v>
      </c>
      <c r="J605" t="str">
        <f t="shared" si="64"/>
        <v>86.500</v>
      </c>
      <c r="K605" t="s">
        <v>1572</v>
      </c>
    </row>
    <row r="606" spans="1:11" x14ac:dyDescent="0.45">
      <c r="A606" t="str">
        <f t="shared" si="69"/>
        <v>&lt;chord time="112.409" chordId="3" highDensity="1" &gt;&lt;chordNote time="112.409" string="1" fret="4" leftHand="1" /&gt;&lt;chordNote time="112.409" string="2" fret="6" leftHand="3" /&gt;&lt;chordNote time="112.409" string="3" fret="6" leftHand="4" /&gt;&lt;/chord&gt;</v>
      </c>
      <c r="D606" s="3">
        <f t="shared" si="65"/>
        <v>112.40900000000001</v>
      </c>
      <c r="E606" s="3">
        <f t="shared" si="66"/>
        <v>89.825000000000003</v>
      </c>
      <c r="F606" t="str">
        <f t="shared" si="68"/>
        <v>89.625</v>
      </c>
      <c r="G606" t="s">
        <v>829</v>
      </c>
      <c r="I606" t="str">
        <f t="shared" si="67"/>
        <v>&lt;note time="112.409" string="1" fret="9" /&gt;</v>
      </c>
      <c r="J606" t="str">
        <f t="shared" si="64"/>
        <v>86.625</v>
      </c>
      <c r="K606" t="s">
        <v>1573</v>
      </c>
    </row>
    <row r="607" spans="1:11" x14ac:dyDescent="0.45">
      <c r="A607" t="str">
        <f t="shared" si="69"/>
        <v>&lt;chord time="112.565" chordId="3" highDensity="1" &gt;&lt;chordNote time="112.565" string="1" fret="4" leftHand="1" /&gt;&lt;chordNote time="112.565" string="2" fret="6" leftHand="3" /&gt;&lt;chordNote time="112.565" string="3" fret="6" leftHand="4" /&gt;&lt;/chord&gt;</v>
      </c>
      <c r="D607" s="3">
        <f t="shared" si="65"/>
        <v>112.565</v>
      </c>
      <c r="E607" s="3">
        <f t="shared" si="66"/>
        <v>89.95</v>
      </c>
      <c r="F607" t="str">
        <f t="shared" si="68"/>
        <v>89.750</v>
      </c>
      <c r="G607" t="s">
        <v>830</v>
      </c>
      <c r="I607" t="str">
        <f t="shared" si="67"/>
        <v>&lt;note time="112.565" string="1" fret="9" /&gt;</v>
      </c>
      <c r="J607" t="str">
        <f t="shared" si="64"/>
        <v>86.750</v>
      </c>
      <c r="K607" t="s">
        <v>1574</v>
      </c>
    </row>
    <row r="608" spans="1:11" x14ac:dyDescent="0.45">
      <c r="A608" t="str">
        <f t="shared" si="69"/>
        <v>&lt;chord time="112.722" chordId="3" highDensity="1" &gt;&lt;chordNote time="112.722" string="1" fret="4" leftHand="1" /&gt;&lt;chordNote time="112.722" string="2" fret="6" leftHand="3" /&gt;&lt;chordNote time="112.722" string="3" fret="6" leftHand="4" /&gt;&lt;/chord&gt;</v>
      </c>
      <c r="D608" s="3">
        <f t="shared" si="65"/>
        <v>112.72199999999999</v>
      </c>
      <c r="E608" s="3">
        <f t="shared" si="66"/>
        <v>90.075000000000003</v>
      </c>
      <c r="F608" t="str">
        <f t="shared" si="68"/>
        <v>89.875</v>
      </c>
      <c r="G608" t="s">
        <v>831</v>
      </c>
      <c r="I608" t="str">
        <f t="shared" si="67"/>
        <v>&lt;note time="112.722" string="1" fret="9" /&gt;</v>
      </c>
      <c r="J608" t="str">
        <f t="shared" si="64"/>
        <v>86.875</v>
      </c>
      <c r="K608" t="s">
        <v>1575</v>
      </c>
    </row>
    <row r="609" spans="1:11" x14ac:dyDescent="0.45">
      <c r="A609" t="str">
        <f t="shared" si="69"/>
        <v>&lt;chord time="112.878" chordId="4" &gt;&lt;chordNote time="112.878" string="1" fret="2" leftHand="1" /&gt;&lt;chordNote time="112.878" string="2" fret="4" leftHand="3" /&gt;&lt;chordNote time="112.878" string="3" fret="4" leftHand="4" /&gt;&lt;/chord&gt;</v>
      </c>
      <c r="D609" s="3">
        <f t="shared" si="65"/>
        <v>112.878</v>
      </c>
      <c r="E609" s="3">
        <f t="shared" si="66"/>
        <v>90.2</v>
      </c>
      <c r="F609" t="str">
        <f t="shared" si="68"/>
        <v>90.000</v>
      </c>
      <c r="G609" t="s">
        <v>832</v>
      </c>
      <c r="I609" t="str">
        <f t="shared" si="67"/>
        <v>&lt;note time="112.878" string="1" fret="9" /&gt;</v>
      </c>
      <c r="J609" t="str">
        <f t="shared" si="64"/>
        <v>87.000</v>
      </c>
      <c r="K609" t="s">
        <v>1576</v>
      </c>
    </row>
    <row r="610" spans="1:11" x14ac:dyDescent="0.45">
      <c r="A610" t="str">
        <f t="shared" si="69"/>
        <v>&lt;chord time="113.035" chordId="4" highDensity="1" &gt;&lt;chordNote time="113.035" string="1" fret="2" leftHand="1" /&gt;&lt;chordNote time="113.035" string="2" fret="4" leftHand="3" /&gt;&lt;chordNote time="113.035" string="3" fret="4" leftHand="4" /&gt;&lt;/chord&gt;</v>
      </c>
      <c r="D610" s="3">
        <f t="shared" si="65"/>
        <v>113.035</v>
      </c>
      <c r="E610" s="3">
        <f t="shared" si="66"/>
        <v>90.325000000000003</v>
      </c>
      <c r="F610" t="str">
        <f t="shared" si="68"/>
        <v>90.125</v>
      </c>
      <c r="G610" t="s">
        <v>833</v>
      </c>
      <c r="I610" t="str">
        <f t="shared" si="67"/>
        <v>&lt;note time="113.035" string="1" fret="9" /&gt;</v>
      </c>
      <c r="J610" t="str">
        <f t="shared" si="64"/>
        <v>87.125</v>
      </c>
      <c r="K610" t="s">
        <v>1577</v>
      </c>
    </row>
    <row r="611" spans="1:11" x14ac:dyDescent="0.45">
      <c r="A611" t="str">
        <f t="shared" si="69"/>
        <v>&lt;chord time="113.191" chordId="4" highDensity="1" &gt;&lt;chordNote time="113.191" string="1" fret="2" leftHand="1" /&gt;&lt;chordNote time="113.191" string="2" fret="4" leftHand="3" /&gt;&lt;chordNote time="113.191" string="3" fret="4" leftHand="4" /&gt;&lt;/chord&gt;</v>
      </c>
      <c r="D611" s="3">
        <f t="shared" si="65"/>
        <v>113.191</v>
      </c>
      <c r="E611" s="3">
        <f t="shared" si="66"/>
        <v>90.45</v>
      </c>
      <c r="F611" t="str">
        <f t="shared" si="68"/>
        <v>90.250</v>
      </c>
      <c r="G611" t="s">
        <v>834</v>
      </c>
      <c r="I611" t="str">
        <f t="shared" si="67"/>
        <v>&lt;note time="113.191" string="1" fret="9" /&gt;</v>
      </c>
      <c r="J611" t="str">
        <f t="shared" si="64"/>
        <v>87.250</v>
      </c>
      <c r="K611" t="s">
        <v>1578</v>
      </c>
    </row>
    <row r="612" spans="1:11" x14ac:dyDescent="0.45">
      <c r="A612" t="str">
        <f t="shared" si="69"/>
        <v>&lt;chord time="113.348" chordId="4" highDensity="1" &gt;&lt;chordNote time="113.348" string="1" fret="2" leftHand="1" /&gt;&lt;chordNote time="113.348" string="2" fret="4" leftHand="3" /&gt;&lt;chordNote time="113.348" string="3" fret="4" leftHand="4" /&gt;&lt;/chord&gt;</v>
      </c>
      <c r="D612" s="3">
        <f t="shared" si="65"/>
        <v>113.348</v>
      </c>
      <c r="E612" s="3">
        <f t="shared" si="66"/>
        <v>90.575000000000003</v>
      </c>
      <c r="F612" t="str">
        <f t="shared" si="68"/>
        <v>90.375</v>
      </c>
      <c r="G612" t="s">
        <v>835</v>
      </c>
      <c r="I612" t="str">
        <f t="shared" si="67"/>
        <v>&lt;note time="113.348" string="1" fret="9" /&gt;</v>
      </c>
      <c r="J612" t="str">
        <f t="shared" ref="J612:J675" si="70">RIGHT(LEFT(K612,18),6)</f>
        <v>87.375</v>
      </c>
      <c r="K612" t="s">
        <v>1579</v>
      </c>
    </row>
    <row r="613" spans="1:11" x14ac:dyDescent="0.45">
      <c r="A613" t="str">
        <f t="shared" si="69"/>
        <v>&lt;chord time="113.504" chordId="4" highDensity="1" &gt;&lt;chordNote time="113.504" string="1" fret="2" leftHand="1" /&gt;&lt;chordNote time="113.504" string="2" fret="4" leftHand="3" /&gt;&lt;chordNote time="113.504" string="3" fret="4" leftHand="4" /&gt;&lt;/chord&gt;</v>
      </c>
      <c r="D613" s="3">
        <f t="shared" si="65"/>
        <v>113.504</v>
      </c>
      <c r="E613" s="3">
        <f t="shared" si="66"/>
        <v>90.7</v>
      </c>
      <c r="F613" t="str">
        <f t="shared" si="68"/>
        <v>90.500</v>
      </c>
      <c r="G613" t="s">
        <v>836</v>
      </c>
      <c r="I613" t="str">
        <f t="shared" si="67"/>
        <v>&lt;note time="113.504" string="1" fret="9" /&gt;</v>
      </c>
      <c r="J613" t="str">
        <f t="shared" si="70"/>
        <v>87.500</v>
      </c>
      <c r="K613" t="s">
        <v>1580</v>
      </c>
    </row>
    <row r="614" spans="1:11" x14ac:dyDescent="0.45">
      <c r="A614" t="str">
        <f t="shared" si="69"/>
        <v>&lt;chord time="113.661" chordId="4" highDensity="1" &gt;&lt;chordNote time="113.661" string="1" fret="2" leftHand="1" /&gt;&lt;chordNote time="113.661" string="2" fret="4" leftHand="3" /&gt;&lt;chordNote time="113.661" string="3" fret="4" leftHand="4" /&gt;&lt;/chord&gt;</v>
      </c>
      <c r="D614" s="3">
        <f t="shared" si="65"/>
        <v>113.661</v>
      </c>
      <c r="E614" s="3">
        <f t="shared" si="66"/>
        <v>90.825000000000003</v>
      </c>
      <c r="F614" t="str">
        <f t="shared" si="68"/>
        <v>90.625</v>
      </c>
      <c r="G614" t="s">
        <v>837</v>
      </c>
      <c r="I614" t="str">
        <f t="shared" si="67"/>
        <v>&lt;note time="113.661" string="1" fret="9" /&gt;</v>
      </c>
      <c r="J614" t="str">
        <f t="shared" si="70"/>
        <v>87.625</v>
      </c>
      <c r="K614" t="s">
        <v>1581</v>
      </c>
    </row>
    <row r="615" spans="1:11" x14ac:dyDescent="0.45">
      <c r="A615" t="str">
        <f t="shared" si="69"/>
        <v>&lt;chord time="113.817" chordId="4" highDensity="1" &gt;&lt;chordNote time="113.817" string="1" fret="2" leftHand="1" /&gt;&lt;chordNote time="113.817" string="2" fret="4" leftHand="3" /&gt;&lt;chordNote time="113.817" string="3" fret="4" leftHand="4" /&gt;&lt;/chord&gt;</v>
      </c>
      <c r="D615" s="3">
        <f t="shared" si="65"/>
        <v>113.81699999999999</v>
      </c>
      <c r="E615" s="3">
        <f t="shared" si="66"/>
        <v>90.95</v>
      </c>
      <c r="F615" t="str">
        <f t="shared" si="68"/>
        <v>90.750</v>
      </c>
      <c r="G615" t="s">
        <v>838</v>
      </c>
      <c r="I615" t="str">
        <f t="shared" si="67"/>
        <v>&lt;note time="113.817" string="1" fret="9" /&gt;</v>
      </c>
      <c r="J615" t="str">
        <f t="shared" si="70"/>
        <v>87.750</v>
      </c>
      <c r="K615" t="s">
        <v>1582</v>
      </c>
    </row>
    <row r="616" spans="1:11" x14ac:dyDescent="0.45">
      <c r="A616" t="str">
        <f t="shared" si="69"/>
        <v>&lt;chord time="113.974" chordId="4" highDensity="1" &gt;&lt;chordNote time="113.974" string="1" fret="2" leftHand="1" /&gt;&lt;chordNote time="113.974" string="2" fret="4" leftHand="3" /&gt;&lt;chordNote time="113.974" string="3" fret="4" leftHand="4" /&gt;&lt;/chord&gt;</v>
      </c>
      <c r="D616" s="3">
        <f t="shared" si="65"/>
        <v>113.974</v>
      </c>
      <c r="E616" s="3">
        <f t="shared" si="66"/>
        <v>91.075000000000003</v>
      </c>
      <c r="F616" t="str">
        <f t="shared" si="68"/>
        <v>90.875</v>
      </c>
      <c r="G616" t="s">
        <v>839</v>
      </c>
      <c r="I616" t="str">
        <f t="shared" si="67"/>
        <v>&lt;note time="113.974" string="1" fret="9" /&gt;</v>
      </c>
      <c r="J616" t="str">
        <f t="shared" si="70"/>
        <v>87.875</v>
      </c>
      <c r="K616" t="s">
        <v>1583</v>
      </c>
    </row>
    <row r="617" spans="1:11" x14ac:dyDescent="0.45">
      <c r="A617" t="str">
        <f t="shared" si="69"/>
        <v>&lt;chord time="114.130" chordId="4" highDensity="1" &gt;&lt;chordNote time="114.130" string="1" fret="2" leftHand="1" /&gt;&lt;chordNote time="114.130" string="2" fret="4" leftHand="3" /&gt;&lt;chordNote time="114.130" string="3" fret="4" leftHand="4" /&gt;&lt;/chord&gt;</v>
      </c>
      <c r="D617" s="3">
        <f t="shared" si="65"/>
        <v>114.13</v>
      </c>
      <c r="E617" s="3">
        <f t="shared" si="66"/>
        <v>91.2</v>
      </c>
      <c r="F617" t="str">
        <f t="shared" si="68"/>
        <v>91.000</v>
      </c>
      <c r="G617" t="s">
        <v>840</v>
      </c>
      <c r="I617" t="str">
        <f t="shared" si="67"/>
        <v>&lt;note time="114.130" string="1" fret="4" /&gt;</v>
      </c>
      <c r="J617" t="str">
        <f t="shared" si="70"/>
        <v>88.000</v>
      </c>
      <c r="K617" t="s">
        <v>1584</v>
      </c>
    </row>
    <row r="618" spans="1:11" x14ac:dyDescent="0.45">
      <c r="A618" t="str">
        <f t="shared" si="69"/>
        <v>&lt;chord time="114.287" chordId="4" highDensity="1" &gt;&lt;chordNote time="114.287" string="1" fret="2" leftHand="1" /&gt;&lt;chordNote time="114.287" string="2" fret="4" leftHand="3" /&gt;&lt;chordNote time="114.287" string="3" fret="4" leftHand="4" /&gt;&lt;/chord&gt;</v>
      </c>
      <c r="D618" s="3">
        <f t="shared" si="65"/>
        <v>114.28700000000001</v>
      </c>
      <c r="E618" s="3">
        <f t="shared" si="66"/>
        <v>91.325000000000003</v>
      </c>
      <c r="F618" t="str">
        <f t="shared" si="68"/>
        <v>91.125</v>
      </c>
      <c r="G618" t="s">
        <v>841</v>
      </c>
      <c r="I618" t="str">
        <f t="shared" si="67"/>
        <v>&lt;note time="114.287" string="1" fret="4" /&gt;</v>
      </c>
      <c r="J618" t="str">
        <f t="shared" si="70"/>
        <v>88.125</v>
      </c>
      <c r="K618" t="s">
        <v>1585</v>
      </c>
    </row>
    <row r="619" spans="1:11" x14ac:dyDescent="0.45">
      <c r="A619" t="str">
        <f t="shared" si="69"/>
        <v>&lt;chord time="114.443" chordId="4" highDensity="1" &gt;&lt;chordNote time="114.443" string="1" fret="2" leftHand="1" /&gt;&lt;chordNote time="114.443" string="2" fret="4" leftHand="3" /&gt;&lt;chordNote time="114.443" string="3" fret="4" leftHand="4" /&gt;&lt;/chord&gt;</v>
      </c>
      <c r="D619" s="3">
        <f t="shared" si="65"/>
        <v>114.443</v>
      </c>
      <c r="E619" s="3">
        <f t="shared" si="66"/>
        <v>91.45</v>
      </c>
      <c r="F619" t="str">
        <f t="shared" si="68"/>
        <v>91.250</v>
      </c>
      <c r="G619" t="s">
        <v>842</v>
      </c>
      <c r="I619" t="str">
        <f t="shared" si="67"/>
        <v>&lt;note time="114.443" string="1" fret="4" /&gt;</v>
      </c>
      <c r="J619" t="str">
        <f t="shared" si="70"/>
        <v>88.250</v>
      </c>
      <c r="K619" t="s">
        <v>1586</v>
      </c>
    </row>
    <row r="620" spans="1:11" x14ac:dyDescent="0.45">
      <c r="A620" t="str">
        <f t="shared" si="69"/>
        <v>&lt;chord time="114.600" chordId="4" highDensity="1" &gt;&lt;chordNote time="114.600" string="1" fret="2" leftHand="1" /&gt;&lt;chordNote time="114.600" string="2" fret="4" leftHand="3" /&gt;&lt;chordNote time="114.600" string="3" fret="4" leftHand="4" /&gt;&lt;/chord&gt;</v>
      </c>
      <c r="D620" s="3">
        <f t="shared" si="65"/>
        <v>114.6</v>
      </c>
      <c r="E620" s="3">
        <f t="shared" si="66"/>
        <v>91.575000000000003</v>
      </c>
      <c r="F620" t="str">
        <f t="shared" si="68"/>
        <v>91.375</v>
      </c>
      <c r="G620" t="s">
        <v>843</v>
      </c>
      <c r="I620" t="str">
        <f t="shared" si="67"/>
        <v>&lt;note time="114.600" string="1" fret="4" /&gt;</v>
      </c>
      <c r="J620" t="str">
        <f t="shared" si="70"/>
        <v>88.375</v>
      </c>
      <c r="K620" t="s">
        <v>1587</v>
      </c>
    </row>
    <row r="621" spans="1:11" x14ac:dyDescent="0.45">
      <c r="A621" t="str">
        <f t="shared" si="69"/>
        <v>&lt;chord time="114.756" chordId="4" highDensity="1" &gt;&lt;chordNote time="114.756" string="1" fret="2" leftHand="1" /&gt;&lt;chordNote time="114.756" string="2" fret="4" leftHand="3" /&gt;&lt;chordNote time="114.756" string="3" fret="4" leftHand="4" /&gt;&lt;/chord&gt;</v>
      </c>
      <c r="D621" s="3">
        <f t="shared" si="65"/>
        <v>114.756</v>
      </c>
      <c r="E621" s="3">
        <f t="shared" si="66"/>
        <v>91.7</v>
      </c>
      <c r="F621" t="str">
        <f t="shared" si="68"/>
        <v>91.500</v>
      </c>
      <c r="G621" t="s">
        <v>844</v>
      </c>
      <c r="I621" t="str">
        <f t="shared" si="67"/>
        <v>&lt;note time="114.756" string="1" fret="4" /&gt;</v>
      </c>
      <c r="J621" t="str">
        <f t="shared" si="70"/>
        <v>88.500</v>
      </c>
      <c r="K621" t="s">
        <v>1588</v>
      </c>
    </row>
    <row r="622" spans="1:11" x14ac:dyDescent="0.45">
      <c r="A622" t="str">
        <f t="shared" si="69"/>
        <v>&lt;chord time="114.913" chordId="4" highDensity="1" &gt;&lt;chordNote time="114.913" string="1" fret="2" leftHand="1" /&gt;&lt;chordNote time="114.913" string="2" fret="4" leftHand="3" /&gt;&lt;chordNote time="114.913" string="3" fret="4" leftHand="4" /&gt;&lt;/chord&gt;</v>
      </c>
      <c r="D622" s="3">
        <f t="shared" si="65"/>
        <v>114.913</v>
      </c>
      <c r="E622" s="3">
        <f t="shared" si="66"/>
        <v>91.825000000000003</v>
      </c>
      <c r="F622" t="str">
        <f t="shared" si="68"/>
        <v>91.625</v>
      </c>
      <c r="G622" t="s">
        <v>845</v>
      </c>
      <c r="I622" t="str">
        <f t="shared" si="67"/>
        <v>&lt;note time="114.913" string="1" fret="4" /&gt;</v>
      </c>
      <c r="J622" t="str">
        <f t="shared" si="70"/>
        <v>88.625</v>
      </c>
      <c r="K622" t="s">
        <v>1589</v>
      </c>
    </row>
    <row r="623" spans="1:11" x14ac:dyDescent="0.45">
      <c r="A623" t="str">
        <f t="shared" si="69"/>
        <v>&lt;chord time="115.069" chordId="4" highDensity="1" &gt;&lt;chordNote time="115.069" string="1" fret="2" leftHand="1" /&gt;&lt;chordNote time="115.069" string="2" fret="4" leftHand="3" /&gt;&lt;chordNote time="115.069" string="3" fret="4" leftHand="4" /&gt;&lt;/chord&gt;</v>
      </c>
      <c r="D623" s="3">
        <f t="shared" si="65"/>
        <v>115.069</v>
      </c>
      <c r="E623" s="3">
        <f t="shared" si="66"/>
        <v>91.95</v>
      </c>
      <c r="F623" t="str">
        <f t="shared" si="68"/>
        <v>91.750</v>
      </c>
      <c r="G623" t="s">
        <v>846</v>
      </c>
      <c r="I623" t="str">
        <f t="shared" si="67"/>
        <v>&lt;note time="115.069" string="1" fret="4" /&gt;</v>
      </c>
      <c r="J623" t="str">
        <f t="shared" si="70"/>
        <v>88.750</v>
      </c>
      <c r="K623" t="s">
        <v>1590</v>
      </c>
    </row>
    <row r="624" spans="1:11" x14ac:dyDescent="0.45">
      <c r="A624" t="str">
        <f t="shared" si="69"/>
        <v>&lt;chord time="115.226" chordId="4" highDensity="1" &gt;&lt;chordNote time="115.226" string="1" fret="2" leftHand="1" /&gt;&lt;chordNote time="115.226" string="2" fret="4" leftHand="3" /&gt;&lt;chordNote time="115.226" string="3" fret="4" leftHand="4" /&gt;&lt;/chord&gt;</v>
      </c>
      <c r="D624" s="3">
        <f t="shared" si="65"/>
        <v>115.226</v>
      </c>
      <c r="E624" s="3">
        <f t="shared" si="66"/>
        <v>92.075000000000003</v>
      </c>
      <c r="F624" t="str">
        <f t="shared" si="68"/>
        <v>91.875</v>
      </c>
      <c r="G624" t="s">
        <v>847</v>
      </c>
      <c r="I624" t="str">
        <f t="shared" si="67"/>
        <v>&lt;note time="115.226" string="1" fret="4" /&gt;</v>
      </c>
      <c r="J624" t="str">
        <f t="shared" si="70"/>
        <v>88.875</v>
      </c>
      <c r="K624" t="s">
        <v>1591</v>
      </c>
    </row>
    <row r="625" spans="1:11" x14ac:dyDescent="0.45">
      <c r="A625" t="str">
        <f t="shared" si="69"/>
        <v>&lt;chord time="115.382" chordId="0" &gt;&lt;chordNote time="115.382" string="1" fret="7" leftHand="1" /&gt;&lt;chordNote time="115.382" string="2" fret="9" leftHand="3" /&gt;&lt;chordNote time="115.382" string="3" fret="9" leftHand="4" /&gt;&lt;/chord&gt;</v>
      </c>
      <c r="D625" s="3">
        <f t="shared" si="65"/>
        <v>115.38200000000001</v>
      </c>
      <c r="E625" s="3">
        <f t="shared" si="66"/>
        <v>92.2</v>
      </c>
      <c r="F625" t="str">
        <f t="shared" si="68"/>
        <v>92.000</v>
      </c>
      <c r="G625" t="s">
        <v>848</v>
      </c>
      <c r="I625" t="str">
        <f t="shared" si="67"/>
        <v>&lt;note time="115.382" string="1" fret="4" /&gt;</v>
      </c>
      <c r="J625" t="str">
        <f t="shared" si="70"/>
        <v>89.000</v>
      </c>
      <c r="K625" t="s">
        <v>1592</v>
      </c>
    </row>
    <row r="626" spans="1:11" x14ac:dyDescent="0.45">
      <c r="A626" t="str">
        <f t="shared" si="69"/>
        <v>&lt;chord time="115.539" chordId="0" highDensity="1" &gt;&lt;chordNote time="115.539" string="1" fret="7" leftHand="1" /&gt;&lt;chordNote time="115.539" string="2" fret="9" leftHand="3" /&gt;&lt;chordNote time="115.539" string="3" fret="9" leftHand="4" /&gt;&lt;/chord&gt;</v>
      </c>
      <c r="D626" s="3">
        <f t="shared" si="65"/>
        <v>115.539</v>
      </c>
      <c r="E626" s="3">
        <f t="shared" si="66"/>
        <v>92.325000000000003</v>
      </c>
      <c r="F626" t="str">
        <f t="shared" si="68"/>
        <v>92.125</v>
      </c>
      <c r="G626" t="s">
        <v>849</v>
      </c>
      <c r="I626" t="str">
        <f t="shared" si="67"/>
        <v>&lt;note time="115.539" string="1" fret="4" /&gt;</v>
      </c>
      <c r="J626" t="str">
        <f t="shared" si="70"/>
        <v>89.125</v>
      </c>
      <c r="K626" t="s">
        <v>1593</v>
      </c>
    </row>
    <row r="627" spans="1:11" x14ac:dyDescent="0.45">
      <c r="A627" t="str">
        <f t="shared" si="69"/>
        <v>&lt;chord time="115.695" chordId="0" highDensity="1" &gt;&lt;chordNote time="115.695" string="1" fret="7" leftHand="1" /&gt;&lt;chordNote time="115.695" string="2" fret="9" leftHand="3" /&gt;&lt;chordNote time="115.695" string="3" fret="9" leftHand="4" /&gt;&lt;/chord&gt;</v>
      </c>
      <c r="D627" s="3">
        <f t="shared" si="65"/>
        <v>115.69499999999999</v>
      </c>
      <c r="E627" s="3">
        <f t="shared" si="66"/>
        <v>92.45</v>
      </c>
      <c r="F627" t="str">
        <f t="shared" si="68"/>
        <v>92.250</v>
      </c>
      <c r="G627" t="s">
        <v>850</v>
      </c>
      <c r="I627" t="str">
        <f t="shared" si="67"/>
        <v>&lt;note time="115.695" string="1" fret="4" /&gt;</v>
      </c>
      <c r="J627" t="str">
        <f t="shared" si="70"/>
        <v>89.250</v>
      </c>
      <c r="K627" t="s">
        <v>1594</v>
      </c>
    </row>
    <row r="628" spans="1:11" x14ac:dyDescent="0.45">
      <c r="A628" t="str">
        <f t="shared" si="69"/>
        <v>&lt;chord time="115.852" chordId="0" highDensity="1" &gt;&lt;chordNote time="115.852" string="1" fret="7" leftHand="1" /&gt;&lt;chordNote time="115.852" string="2" fret="9" leftHand="3" /&gt;&lt;chordNote time="115.852" string="3" fret="9" leftHand="4" /&gt;&lt;/chord&gt;</v>
      </c>
      <c r="D628" s="3">
        <f t="shared" si="65"/>
        <v>115.852</v>
      </c>
      <c r="E628" s="3">
        <f t="shared" si="66"/>
        <v>92.575000000000003</v>
      </c>
      <c r="F628" t="str">
        <f t="shared" si="68"/>
        <v>92.375</v>
      </c>
      <c r="G628" t="s">
        <v>851</v>
      </c>
      <c r="I628" t="str">
        <f t="shared" si="67"/>
        <v>&lt;note time="115.852" string="1" fret="4" /&gt;</v>
      </c>
      <c r="J628" t="str">
        <f t="shared" si="70"/>
        <v>89.375</v>
      </c>
      <c r="K628" t="s">
        <v>1595</v>
      </c>
    </row>
    <row r="629" spans="1:11" x14ac:dyDescent="0.45">
      <c r="A629" t="str">
        <f t="shared" si="69"/>
        <v>&lt;chord time="116.008" chordId="0" highDensity="1" &gt;&lt;chordNote time="116.008" string="1" fret="7" leftHand="1" /&gt;&lt;chordNote time="116.008" string="2" fret="9" leftHand="3" /&gt;&lt;chordNote time="116.008" string="3" fret="9" leftHand="4" /&gt;&lt;/chord&gt;</v>
      </c>
      <c r="D629" s="3">
        <f t="shared" si="65"/>
        <v>116.008</v>
      </c>
      <c r="E629" s="3">
        <f t="shared" si="66"/>
        <v>92.7</v>
      </c>
      <c r="F629" t="str">
        <f t="shared" si="68"/>
        <v>92.500</v>
      </c>
      <c r="G629" t="s">
        <v>852</v>
      </c>
      <c r="I629" t="str">
        <f t="shared" si="67"/>
        <v>&lt;note time="116.008" string="1" fret="4" /&gt;</v>
      </c>
      <c r="J629" t="str">
        <f t="shared" si="70"/>
        <v>89.500</v>
      </c>
      <c r="K629" t="s">
        <v>1596</v>
      </c>
    </row>
    <row r="630" spans="1:11" x14ac:dyDescent="0.45">
      <c r="A630" t="str">
        <f t="shared" si="69"/>
        <v>&lt;chord time="116.165" chordId="0" highDensity="1" &gt;&lt;chordNote time="116.165" string="1" fret="7" leftHand="1" /&gt;&lt;chordNote time="116.165" string="2" fret="9" leftHand="3" /&gt;&lt;chordNote time="116.165" string="3" fret="9" leftHand="4" /&gt;&lt;/chord&gt;</v>
      </c>
      <c r="D630" s="3">
        <f t="shared" si="65"/>
        <v>116.16500000000001</v>
      </c>
      <c r="E630" s="3">
        <f t="shared" si="66"/>
        <v>92.825000000000003</v>
      </c>
      <c r="F630" t="str">
        <f t="shared" si="68"/>
        <v>92.625</v>
      </c>
      <c r="G630" t="s">
        <v>853</v>
      </c>
      <c r="I630" t="str">
        <f t="shared" si="67"/>
        <v>&lt;note time="116.165" string="1" fret="4" /&gt;</v>
      </c>
      <c r="J630" t="str">
        <f t="shared" si="70"/>
        <v>89.625</v>
      </c>
      <c r="K630" t="s">
        <v>1597</v>
      </c>
    </row>
    <row r="631" spans="1:11" x14ac:dyDescent="0.45">
      <c r="A631" t="str">
        <f t="shared" si="69"/>
        <v>&lt;chord time="116.321" chordId="0" highDensity="1" &gt;&lt;chordNote time="116.321" string="1" fret="7" leftHand="1" /&gt;&lt;chordNote time="116.321" string="2" fret="9" leftHand="3" /&gt;&lt;chordNote time="116.321" string="3" fret="9" leftHand="4" /&gt;&lt;/chord&gt;</v>
      </c>
      <c r="D631" s="3">
        <f t="shared" si="65"/>
        <v>116.321</v>
      </c>
      <c r="E631" s="3">
        <f t="shared" si="66"/>
        <v>92.95</v>
      </c>
      <c r="F631" t="str">
        <f t="shared" si="68"/>
        <v>92.750</v>
      </c>
      <c r="G631" t="s">
        <v>854</v>
      </c>
      <c r="I631" t="str">
        <f t="shared" si="67"/>
        <v>&lt;note time="116.321" string="1" fret="4" /&gt;</v>
      </c>
      <c r="J631" t="str">
        <f t="shared" si="70"/>
        <v>89.750</v>
      </c>
      <c r="K631" t="s">
        <v>1598</v>
      </c>
    </row>
    <row r="632" spans="1:11" x14ac:dyDescent="0.45">
      <c r="A632" t="str">
        <f t="shared" si="69"/>
        <v>&lt;chord time="116.478" chordId="0" highDensity="1" &gt;&lt;chordNote time="116.478" string="1" fret="7" leftHand="1" /&gt;&lt;chordNote time="116.478" string="2" fret="9" leftHand="3" /&gt;&lt;chordNote time="116.478" string="3" fret="9" leftHand="4" /&gt;&lt;/chord&gt;</v>
      </c>
      <c r="D632" s="3">
        <f t="shared" si="65"/>
        <v>116.47799999999999</v>
      </c>
      <c r="E632" s="3">
        <f t="shared" si="66"/>
        <v>93.075000000000003</v>
      </c>
      <c r="F632" t="str">
        <f t="shared" si="68"/>
        <v>92.875</v>
      </c>
      <c r="G632" t="s">
        <v>855</v>
      </c>
      <c r="I632" t="str">
        <f t="shared" si="67"/>
        <v>&lt;note time="116.478" string="1" fret="4" /&gt;</v>
      </c>
      <c r="J632" t="str">
        <f t="shared" si="70"/>
        <v>89.875</v>
      </c>
      <c r="K632" t="s">
        <v>1599</v>
      </c>
    </row>
    <row r="633" spans="1:11" x14ac:dyDescent="0.45">
      <c r="A633" t="str">
        <f t="shared" si="69"/>
        <v>&lt;chord time="116.634" chordId="0" highDensity="1" &gt;&lt;chordNote time="116.634" string="1" fret="7" leftHand="1" /&gt;&lt;chordNote time="116.634" string="2" fret="9" leftHand="3" /&gt;&lt;chordNote time="116.634" string="3" fret="9" leftHand="4" /&gt;&lt;/chord&gt;</v>
      </c>
      <c r="D633" s="3">
        <f t="shared" si="65"/>
        <v>116.634</v>
      </c>
      <c r="E633" s="3">
        <f t="shared" si="66"/>
        <v>93.2</v>
      </c>
      <c r="F633" t="str">
        <f t="shared" si="68"/>
        <v>93.000</v>
      </c>
      <c r="G633" t="s">
        <v>856</v>
      </c>
      <c r="I633" t="str">
        <f t="shared" si="67"/>
        <v>&lt;note time="116.634" string="1" fret="2" /&gt;</v>
      </c>
      <c r="J633" t="str">
        <f t="shared" si="70"/>
        <v>90.000</v>
      </c>
      <c r="K633" t="s">
        <v>1600</v>
      </c>
    </row>
    <row r="634" spans="1:11" x14ac:dyDescent="0.45">
      <c r="A634" t="str">
        <f t="shared" si="69"/>
        <v>&lt;chord time="116.791" chordId="0" highDensity="1" &gt;&lt;chordNote time="116.791" string="1" fret="7" leftHand="1" /&gt;&lt;chordNote time="116.791" string="2" fret="9" leftHand="3" /&gt;&lt;chordNote time="116.791" string="3" fret="9" leftHand="4" /&gt;&lt;/chord&gt;</v>
      </c>
      <c r="D634" s="3">
        <f t="shared" si="65"/>
        <v>116.791</v>
      </c>
      <c r="E634" s="3">
        <f t="shared" si="66"/>
        <v>93.325000000000003</v>
      </c>
      <c r="F634" t="str">
        <f t="shared" si="68"/>
        <v>93.125</v>
      </c>
      <c r="G634" t="s">
        <v>857</v>
      </c>
      <c r="I634" t="str">
        <f t="shared" si="67"/>
        <v>&lt;note time="116.791" string="1" fret="2" /&gt;</v>
      </c>
      <c r="J634" t="str">
        <f t="shared" si="70"/>
        <v>90.125</v>
      </c>
      <c r="K634" t="s">
        <v>1601</v>
      </c>
    </row>
    <row r="635" spans="1:11" x14ac:dyDescent="0.45">
      <c r="A635" t="str">
        <f t="shared" si="69"/>
        <v>&lt;chord time="116.947" chordId="0" highDensity="1" &gt;&lt;chordNote time="116.947" string="1" fret="7" leftHand="1" /&gt;&lt;chordNote time="116.947" string="2" fret="9" leftHand="3" /&gt;&lt;chordNote time="116.947" string="3" fret="9" leftHand="4" /&gt;&lt;/chord&gt;</v>
      </c>
      <c r="D635" s="3">
        <f t="shared" si="65"/>
        <v>116.947</v>
      </c>
      <c r="E635" s="3">
        <f t="shared" si="66"/>
        <v>93.45</v>
      </c>
      <c r="F635" t="str">
        <f t="shared" si="68"/>
        <v>93.250</v>
      </c>
      <c r="G635" t="s">
        <v>858</v>
      </c>
      <c r="I635" t="str">
        <f t="shared" si="67"/>
        <v>&lt;note time="116.947" string="1" fret="2" /&gt;</v>
      </c>
      <c r="J635" t="str">
        <f t="shared" si="70"/>
        <v>90.250</v>
      </c>
      <c r="K635" t="s">
        <v>1602</v>
      </c>
    </row>
    <row r="636" spans="1:11" x14ac:dyDescent="0.45">
      <c r="A636" t="str">
        <f t="shared" si="69"/>
        <v>&lt;chord time="117.104" chordId="0" highDensity="1" &gt;&lt;chordNote time="117.104" string="1" fret="7" leftHand="1" /&gt;&lt;chordNote time="117.104" string="2" fret="9" leftHand="3" /&gt;&lt;chordNote time="117.104" string="3" fret="9" leftHand="4" /&gt;&lt;/chord&gt;</v>
      </c>
      <c r="D636" s="3">
        <f t="shared" si="65"/>
        <v>117.104</v>
      </c>
      <c r="E636" s="3">
        <f t="shared" si="66"/>
        <v>93.575000000000003</v>
      </c>
      <c r="F636" t="str">
        <f t="shared" si="68"/>
        <v>93.375</v>
      </c>
      <c r="G636" t="s">
        <v>859</v>
      </c>
      <c r="I636" t="str">
        <f t="shared" si="67"/>
        <v>&lt;note time="117.104" string="1" fret="2" /&gt;</v>
      </c>
      <c r="J636" t="str">
        <f t="shared" si="70"/>
        <v>90.375</v>
      </c>
      <c r="K636" t="s">
        <v>1603</v>
      </c>
    </row>
    <row r="637" spans="1:11" x14ac:dyDescent="0.45">
      <c r="A637" t="str">
        <f t="shared" si="69"/>
        <v>&lt;chord time="117.260" chordId="0" highDensity="1" &gt;&lt;chordNote time="117.260" string="1" fret="7" leftHand="1" /&gt;&lt;chordNote time="117.260" string="2" fret="9" leftHand="3" /&gt;&lt;chordNote time="117.260" string="3" fret="9" leftHand="4" /&gt;&lt;/chord&gt;</v>
      </c>
      <c r="D637" s="3">
        <f t="shared" si="65"/>
        <v>117.26</v>
      </c>
      <c r="E637" s="3">
        <f t="shared" si="66"/>
        <v>93.7</v>
      </c>
      <c r="F637" t="str">
        <f t="shared" si="68"/>
        <v>93.500</v>
      </c>
      <c r="G637" t="s">
        <v>860</v>
      </c>
      <c r="I637" t="str">
        <f t="shared" si="67"/>
        <v>&lt;note time="117.260" string="1" fret="2" /&gt;</v>
      </c>
      <c r="J637" t="str">
        <f t="shared" si="70"/>
        <v>90.500</v>
      </c>
      <c r="K637" t="s">
        <v>1604</v>
      </c>
    </row>
    <row r="638" spans="1:11" x14ac:dyDescent="0.45">
      <c r="A638" t="str">
        <f t="shared" si="69"/>
        <v>&lt;chord time="117.417" chordId="0" highDensity="1" &gt;&lt;chordNote time="117.417" string="1" fret="7" leftHand="1" /&gt;&lt;chordNote time="117.417" string="2" fret="9" leftHand="3" /&gt;&lt;chordNote time="117.417" string="3" fret="9" leftHand="4" /&gt;&lt;/chord&gt;</v>
      </c>
      <c r="D638" s="3">
        <f t="shared" si="65"/>
        <v>117.417</v>
      </c>
      <c r="E638" s="3">
        <f t="shared" si="66"/>
        <v>93.825000000000003</v>
      </c>
      <c r="F638" t="str">
        <f t="shared" si="68"/>
        <v>93.625</v>
      </c>
      <c r="G638" t="s">
        <v>861</v>
      </c>
      <c r="I638" t="str">
        <f t="shared" si="67"/>
        <v>&lt;note time="117.417" string="1" fret="2" /&gt;</v>
      </c>
      <c r="J638" t="str">
        <f t="shared" si="70"/>
        <v>90.625</v>
      </c>
      <c r="K638" t="s">
        <v>1605</v>
      </c>
    </row>
    <row r="639" spans="1:11" x14ac:dyDescent="0.45">
      <c r="A639" t="str">
        <f t="shared" si="69"/>
        <v>&lt;chord time="117.573" chordId="0" highDensity="1" &gt;&lt;chordNote time="117.573" string="1" fret="7" leftHand="1" /&gt;&lt;chordNote time="117.573" string="2" fret="9" leftHand="3" /&gt;&lt;chordNote time="117.573" string="3" fret="9" leftHand="4" /&gt;&lt;/chord&gt;</v>
      </c>
      <c r="D639" s="3">
        <f t="shared" si="65"/>
        <v>117.57299999999999</v>
      </c>
      <c r="E639" s="3">
        <f t="shared" si="66"/>
        <v>93.95</v>
      </c>
      <c r="F639" t="str">
        <f t="shared" si="68"/>
        <v>93.750</v>
      </c>
      <c r="G639" t="s">
        <v>862</v>
      </c>
      <c r="I639" t="str">
        <f t="shared" si="67"/>
        <v>&lt;note time="117.573" string="1" fret="2" /&gt;</v>
      </c>
      <c r="J639" t="str">
        <f t="shared" si="70"/>
        <v>90.750</v>
      </c>
      <c r="K639" t="s">
        <v>1606</v>
      </c>
    </row>
    <row r="640" spans="1:11" x14ac:dyDescent="0.45">
      <c r="A640" t="str">
        <f t="shared" si="69"/>
        <v>&lt;chord time="117.730" chordId="0" highDensity="1" &gt;&lt;chordNote time="117.730" string="1" fret="7" leftHand="1" /&gt;&lt;chordNote time="117.730" string="2" fret="9" leftHand="3" /&gt;&lt;chordNote time="117.730" string="3" fret="9" leftHand="4" /&gt;&lt;/chord&gt;</v>
      </c>
      <c r="D640" s="3">
        <f t="shared" si="65"/>
        <v>117.73</v>
      </c>
      <c r="E640" s="3">
        <f t="shared" si="66"/>
        <v>94.075000000000003</v>
      </c>
      <c r="F640" t="str">
        <f t="shared" si="68"/>
        <v>93.875</v>
      </c>
      <c r="G640" t="s">
        <v>863</v>
      </c>
      <c r="I640" t="str">
        <f t="shared" si="67"/>
        <v>&lt;note time="117.730" string="1" fret="2" /&gt;</v>
      </c>
      <c r="J640" t="str">
        <f t="shared" si="70"/>
        <v>90.875</v>
      </c>
      <c r="K640" t="s">
        <v>1607</v>
      </c>
    </row>
    <row r="641" spans="1:11" x14ac:dyDescent="0.45">
      <c r="A641" t="str">
        <f t="shared" si="69"/>
        <v>&lt;chord time="117.886" chordId="1" &gt;&lt;chordNote time="117.886" string="1" fret="9" leftHand="1" /&gt;&lt;chordNote time="117.886" string="2" fret="11" leftHand="3" /&gt;&lt;chordNote time="117.886" string="3" fret="11" leftHand="4" /&gt;&lt;/chord&gt;</v>
      </c>
      <c r="D641" s="3">
        <f t="shared" si="65"/>
        <v>117.886</v>
      </c>
      <c r="E641" s="3">
        <f t="shared" si="66"/>
        <v>94.2</v>
      </c>
      <c r="F641" t="str">
        <f t="shared" si="68"/>
        <v>94.000</v>
      </c>
      <c r="G641" t="s">
        <v>864</v>
      </c>
      <c r="I641" t="str">
        <f t="shared" si="67"/>
        <v>&lt;note time="117.886" string="1" fret="2" /&gt;</v>
      </c>
      <c r="J641" t="str">
        <f t="shared" si="70"/>
        <v>91.000</v>
      </c>
      <c r="K641" t="s">
        <v>1608</v>
      </c>
    </row>
    <row r="642" spans="1:11" x14ac:dyDescent="0.45">
      <c r="A642" t="str">
        <f t="shared" si="69"/>
        <v>&lt;chord time="118.043" chordId="1" highDensity="1" &gt;&lt;chordNote time="118.043" string="1" fret="9" leftHand="1" /&gt;&lt;chordNote time="118.043" string="2" fret="11" leftHand="3" /&gt;&lt;chordNote time="118.043" string="3" fret="11" leftHand="4" /&gt;&lt;/chord&gt;</v>
      </c>
      <c r="D642" s="3">
        <f t="shared" ref="D642:D705" si="71">ROUNDDOWN(E642-($C$3*(E642-$E$1)/100),3)</f>
        <v>118.04300000000001</v>
      </c>
      <c r="E642" s="3">
        <f t="shared" ref="E642:E705" si="72">0.2+F642</f>
        <v>94.325000000000003</v>
      </c>
      <c r="F642" t="str">
        <f t="shared" si="68"/>
        <v>94.125</v>
      </c>
      <c r="G642" t="s">
        <v>865</v>
      </c>
      <c r="I642" t="str">
        <f t="shared" ref="I642:I705" si="73">SUBSTITUTE(K642,J642,TEXT(D642,"0.000"))</f>
        <v>&lt;note time="118.043" string="1" fret="2" /&gt;</v>
      </c>
      <c r="J642" t="str">
        <f t="shared" si="70"/>
        <v>91.125</v>
      </c>
      <c r="K642" t="s">
        <v>1609</v>
      </c>
    </row>
    <row r="643" spans="1:11" x14ac:dyDescent="0.45">
      <c r="A643" t="str">
        <f t="shared" si="69"/>
        <v>&lt;chord time="118.199" chordId="1" highDensity="1" &gt;&lt;chordNote time="118.199" string="1" fret="9" leftHand="1" /&gt;&lt;chordNote time="118.199" string="2" fret="11" leftHand="3" /&gt;&lt;chordNote time="118.199" string="3" fret="11" leftHand="4" /&gt;&lt;/chord&gt;</v>
      </c>
      <c r="D643" s="3">
        <f t="shared" si="71"/>
        <v>118.199</v>
      </c>
      <c r="E643" s="3">
        <f t="shared" si="72"/>
        <v>94.45</v>
      </c>
      <c r="F643" t="str">
        <f t="shared" si="68"/>
        <v>94.250</v>
      </c>
      <c r="G643" t="s">
        <v>866</v>
      </c>
      <c r="I643" t="str">
        <f t="shared" si="73"/>
        <v>&lt;note time="118.199" string="1" fret="2" /&gt;</v>
      </c>
      <c r="J643" t="str">
        <f t="shared" si="70"/>
        <v>91.250</v>
      </c>
      <c r="K643" t="s">
        <v>1610</v>
      </c>
    </row>
    <row r="644" spans="1:11" x14ac:dyDescent="0.45">
      <c r="A644" t="str">
        <f t="shared" si="69"/>
        <v>&lt;chord time="118.356" chordId="1" highDensity="1" &gt;&lt;chordNote time="118.356" string="1" fret="9" leftHand="1" /&gt;&lt;chordNote time="118.356" string="2" fret="11" leftHand="3" /&gt;&lt;chordNote time="118.356" string="3" fret="11" leftHand="4" /&gt;&lt;/chord&gt;</v>
      </c>
      <c r="D644" s="3">
        <f t="shared" si="71"/>
        <v>118.35599999999999</v>
      </c>
      <c r="E644" s="3">
        <f t="shared" si="72"/>
        <v>94.575000000000003</v>
      </c>
      <c r="F644" t="str">
        <f t="shared" si="68"/>
        <v>94.375</v>
      </c>
      <c r="G644" t="s">
        <v>867</v>
      </c>
      <c r="I644" t="str">
        <f t="shared" si="73"/>
        <v>&lt;note time="118.356" string="1" fret="2" /&gt;</v>
      </c>
      <c r="J644" t="str">
        <f t="shared" si="70"/>
        <v>91.375</v>
      </c>
      <c r="K644" t="s">
        <v>1611</v>
      </c>
    </row>
    <row r="645" spans="1:11" x14ac:dyDescent="0.45">
      <c r="A645" t="str">
        <f t="shared" si="69"/>
        <v>&lt;chord time="118.512" chordId="1" highDensity="1" &gt;&lt;chordNote time="118.512" string="1" fret="9" leftHand="1" /&gt;&lt;chordNote time="118.512" string="2" fret="11" leftHand="3" /&gt;&lt;chordNote time="118.512" string="3" fret="11" leftHand="4" /&gt;&lt;/chord&gt;</v>
      </c>
      <c r="D645" s="3">
        <f t="shared" si="71"/>
        <v>118.512</v>
      </c>
      <c r="E645" s="3">
        <f t="shared" si="72"/>
        <v>94.7</v>
      </c>
      <c r="F645" t="str">
        <f t="shared" si="68"/>
        <v>94.500</v>
      </c>
      <c r="G645" t="s">
        <v>868</v>
      </c>
      <c r="I645" t="str">
        <f t="shared" si="73"/>
        <v>&lt;note time="118.512" string="1" fret="2" /&gt;</v>
      </c>
      <c r="J645" t="str">
        <f t="shared" si="70"/>
        <v>91.500</v>
      </c>
      <c r="K645" t="s">
        <v>1612</v>
      </c>
    </row>
    <row r="646" spans="1:11" x14ac:dyDescent="0.45">
      <c r="A646" t="str">
        <f t="shared" si="69"/>
        <v>&lt;chord time="118.669" chordId="1" highDensity="1" &gt;&lt;chordNote time="118.669" string="1" fret="9" leftHand="1" /&gt;&lt;chordNote time="118.669" string="2" fret="11" leftHand="3" /&gt;&lt;chordNote time="118.669" string="3" fret="11" leftHand="4" /&gt;&lt;/chord&gt;</v>
      </c>
      <c r="D646" s="3">
        <f t="shared" si="71"/>
        <v>118.669</v>
      </c>
      <c r="E646" s="3">
        <f t="shared" si="72"/>
        <v>94.825000000000003</v>
      </c>
      <c r="F646" t="str">
        <f t="shared" si="68"/>
        <v>94.625</v>
      </c>
      <c r="G646" t="s">
        <v>869</v>
      </c>
      <c r="I646" t="str">
        <f t="shared" si="73"/>
        <v>&lt;note time="118.669" string="1" fret="2" /&gt;</v>
      </c>
      <c r="J646" t="str">
        <f t="shared" si="70"/>
        <v>91.625</v>
      </c>
      <c r="K646" t="s">
        <v>1613</v>
      </c>
    </row>
    <row r="647" spans="1:11" x14ac:dyDescent="0.45">
      <c r="A647" t="str">
        <f t="shared" si="69"/>
        <v>&lt;chord time="118.825" chordId="1" highDensity="1" &gt;&lt;chordNote time="118.825" string="1" fret="9" leftHand="1" /&gt;&lt;chordNote time="118.825" string="2" fret="11" leftHand="3" /&gt;&lt;chordNote time="118.825" string="3" fret="11" leftHand="4" /&gt;&lt;/chord&gt;</v>
      </c>
      <c r="D647" s="3">
        <f t="shared" si="71"/>
        <v>118.825</v>
      </c>
      <c r="E647" s="3">
        <f t="shared" si="72"/>
        <v>94.95</v>
      </c>
      <c r="F647" t="str">
        <f t="shared" si="68"/>
        <v>94.750</v>
      </c>
      <c r="G647" t="s">
        <v>870</v>
      </c>
      <c r="I647" t="str">
        <f t="shared" si="73"/>
        <v>&lt;note time="118.825" string="1" fret="2" /&gt;</v>
      </c>
      <c r="J647" t="str">
        <f t="shared" si="70"/>
        <v>91.750</v>
      </c>
      <c r="K647" t="s">
        <v>1614</v>
      </c>
    </row>
    <row r="648" spans="1:11" x14ac:dyDescent="0.45">
      <c r="A648" t="str">
        <f t="shared" si="69"/>
        <v>&lt;chord time="118.982" chordId="1" highDensity="1" &gt;&lt;chordNote time="118.982" string="1" fret="9" leftHand="1" /&gt;&lt;chordNote time="118.982" string="2" fret="11" leftHand="3" /&gt;&lt;chordNote time="118.982" string="3" fret="11" leftHand="4" /&gt;&lt;/chord&gt;</v>
      </c>
      <c r="D648" s="3">
        <f t="shared" si="71"/>
        <v>118.982</v>
      </c>
      <c r="E648" s="3">
        <f t="shared" si="72"/>
        <v>95.075000000000003</v>
      </c>
      <c r="F648" t="str">
        <f t="shared" si="68"/>
        <v>94.875</v>
      </c>
      <c r="G648" t="s">
        <v>871</v>
      </c>
      <c r="I648" t="str">
        <f t="shared" si="73"/>
        <v>&lt;note time="118.982" string="1" fret="2" /&gt;</v>
      </c>
      <c r="J648" t="str">
        <f t="shared" si="70"/>
        <v>91.875</v>
      </c>
      <c r="K648" t="s">
        <v>1615</v>
      </c>
    </row>
    <row r="649" spans="1:11" x14ac:dyDescent="0.45">
      <c r="A649" t="str">
        <f t="shared" si="69"/>
        <v>&lt;chord time="119.138" chordId="1" highDensity="1" &gt;&lt;chordNote time="119.138" string="1" fret="9" leftHand="1" /&gt;&lt;chordNote time="119.138" string="2" fret="11" leftHand="3" /&gt;&lt;chordNote time="119.138" string="3" fret="11" leftHand="4" /&gt;&lt;/chord&gt;</v>
      </c>
      <c r="D649" s="3">
        <f t="shared" si="71"/>
        <v>119.13800000000001</v>
      </c>
      <c r="E649" s="3">
        <f t="shared" si="72"/>
        <v>95.2</v>
      </c>
      <c r="F649" t="str">
        <f t="shared" si="68"/>
        <v>95.000</v>
      </c>
      <c r="G649" t="s">
        <v>872</v>
      </c>
      <c r="I649" t="str">
        <f t="shared" si="73"/>
        <v>&lt;note time="119.138" string="1" fret="7" /&gt;</v>
      </c>
      <c r="J649" t="str">
        <f t="shared" si="70"/>
        <v>92.000</v>
      </c>
      <c r="K649" t="s">
        <v>1616</v>
      </c>
    </row>
    <row r="650" spans="1:11" x14ac:dyDescent="0.45">
      <c r="A650" t="str">
        <f t="shared" si="69"/>
        <v>&lt;chord time="119.295" chordId="1" highDensity="1" &gt;&lt;chordNote time="119.295" string="1" fret="9" leftHand="1" /&gt;&lt;chordNote time="119.295" string="2" fret="11" leftHand="3" /&gt;&lt;chordNote time="119.295" string="3" fret="11" leftHand="4" /&gt;&lt;/chord&gt;</v>
      </c>
      <c r="D650" s="3">
        <f t="shared" si="71"/>
        <v>119.295</v>
      </c>
      <c r="E650" s="3">
        <f t="shared" si="72"/>
        <v>95.325000000000003</v>
      </c>
      <c r="F650" t="str">
        <f t="shared" si="68"/>
        <v>95.125</v>
      </c>
      <c r="G650" t="s">
        <v>873</v>
      </c>
      <c r="I650" t="str">
        <f t="shared" si="73"/>
        <v>&lt;note time="119.295" string="1" fret="7" /&gt;</v>
      </c>
      <c r="J650" t="str">
        <f t="shared" si="70"/>
        <v>92.125</v>
      </c>
      <c r="K650" t="s">
        <v>1617</v>
      </c>
    </row>
    <row r="651" spans="1:11" x14ac:dyDescent="0.45">
      <c r="A651" t="str">
        <f t="shared" si="69"/>
        <v>&lt;chord time="119.451" chordId="1" highDensity="1" &gt;&lt;chordNote time="119.451" string="1" fret="9" leftHand="1" /&gt;&lt;chordNote time="119.451" string="2" fret="11" leftHand="3" /&gt;&lt;chordNote time="119.451" string="3" fret="11" leftHand="4" /&gt;&lt;/chord&gt;</v>
      </c>
      <c r="D651" s="3">
        <f t="shared" si="71"/>
        <v>119.45099999999999</v>
      </c>
      <c r="E651" s="3">
        <f t="shared" si="72"/>
        <v>95.45</v>
      </c>
      <c r="F651" t="str">
        <f t="shared" si="68"/>
        <v>95.250</v>
      </c>
      <c r="G651" t="s">
        <v>874</v>
      </c>
      <c r="I651" t="str">
        <f t="shared" si="73"/>
        <v>&lt;note time="119.451" string="1" fret="7" /&gt;</v>
      </c>
      <c r="J651" t="str">
        <f t="shared" si="70"/>
        <v>92.250</v>
      </c>
      <c r="K651" t="s">
        <v>1618</v>
      </c>
    </row>
    <row r="652" spans="1:11" x14ac:dyDescent="0.45">
      <c r="A652" t="str">
        <f t="shared" si="69"/>
        <v>&lt;chord time="119.608" chordId="1" highDensity="1" &gt;&lt;chordNote time="119.608" string="1" fret="9" leftHand="1" /&gt;&lt;chordNote time="119.608" string="2" fret="11" leftHand="3" /&gt;&lt;chordNote time="119.608" string="3" fret="11" leftHand="4" /&gt;&lt;/chord&gt;</v>
      </c>
      <c r="D652" s="3">
        <f t="shared" si="71"/>
        <v>119.608</v>
      </c>
      <c r="E652" s="3">
        <f t="shared" si="72"/>
        <v>95.575000000000003</v>
      </c>
      <c r="F652" t="str">
        <f t="shared" si="68"/>
        <v>95.375</v>
      </c>
      <c r="G652" t="s">
        <v>875</v>
      </c>
      <c r="I652" t="str">
        <f t="shared" si="73"/>
        <v>&lt;note time="119.608" string="1" fret="7" /&gt;</v>
      </c>
      <c r="J652" t="str">
        <f t="shared" si="70"/>
        <v>92.375</v>
      </c>
      <c r="K652" t="s">
        <v>1619</v>
      </c>
    </row>
    <row r="653" spans="1:11" x14ac:dyDescent="0.45">
      <c r="A653" t="str">
        <f t="shared" si="69"/>
        <v>&lt;chord time="119.764" chordId="1" highDensity="1" &gt;&lt;chordNote time="119.764" string="1" fret="9" leftHand="1" /&gt;&lt;chordNote time="119.764" string="2" fret="11" leftHand="3" /&gt;&lt;chordNote time="119.764" string="3" fret="11" leftHand="4" /&gt;&lt;/chord&gt;</v>
      </c>
      <c r="D653" s="3">
        <f t="shared" si="71"/>
        <v>119.764</v>
      </c>
      <c r="E653" s="3">
        <f t="shared" si="72"/>
        <v>95.7</v>
      </c>
      <c r="F653" t="str">
        <f t="shared" si="68"/>
        <v>95.500</v>
      </c>
      <c r="G653" t="s">
        <v>876</v>
      </c>
      <c r="I653" t="str">
        <f t="shared" si="73"/>
        <v>&lt;note time="119.764" string="1" fret="7" /&gt;</v>
      </c>
      <c r="J653" t="str">
        <f t="shared" si="70"/>
        <v>92.500</v>
      </c>
      <c r="K653" t="s">
        <v>1620</v>
      </c>
    </row>
    <row r="654" spans="1:11" x14ac:dyDescent="0.45">
      <c r="A654" t="str">
        <f t="shared" si="69"/>
        <v>&lt;chord time="119.921" chordId="1" highDensity="1" &gt;&lt;chordNote time="119.921" string="1" fret="9" leftHand="1" /&gt;&lt;chordNote time="119.921" string="2" fret="11" leftHand="3" /&gt;&lt;chordNote time="119.921" string="3" fret="11" leftHand="4" /&gt;&lt;/chord&gt;</v>
      </c>
      <c r="D654" s="3">
        <f t="shared" si="71"/>
        <v>119.92100000000001</v>
      </c>
      <c r="E654" s="3">
        <f t="shared" si="72"/>
        <v>95.825000000000003</v>
      </c>
      <c r="F654" t="str">
        <f t="shared" si="68"/>
        <v>95.625</v>
      </c>
      <c r="G654" t="s">
        <v>877</v>
      </c>
      <c r="I654" t="str">
        <f t="shared" si="73"/>
        <v>&lt;note time="119.921" string="1" fret="7" /&gt;</v>
      </c>
      <c r="J654" t="str">
        <f t="shared" si="70"/>
        <v>92.625</v>
      </c>
      <c r="K654" t="s">
        <v>1621</v>
      </c>
    </row>
    <row r="655" spans="1:11" x14ac:dyDescent="0.45">
      <c r="A655" t="str">
        <f t="shared" si="69"/>
        <v>&lt;chord time="120.077" chordId="1" highDensity="1" &gt;&lt;chordNote time="120.077" string="1" fret="9" leftHand="1" /&gt;&lt;chordNote time="120.077" string="2" fret="11" leftHand="3" /&gt;&lt;chordNote time="120.077" string="3" fret="11" leftHand="4" /&gt;&lt;/chord&gt;</v>
      </c>
      <c r="D655" s="3">
        <f t="shared" si="71"/>
        <v>120.077</v>
      </c>
      <c r="E655" s="3">
        <f t="shared" si="72"/>
        <v>95.95</v>
      </c>
      <c r="F655" t="str">
        <f t="shared" si="68"/>
        <v>95.750</v>
      </c>
      <c r="G655" t="s">
        <v>878</v>
      </c>
      <c r="I655" t="str">
        <f t="shared" si="73"/>
        <v>&lt;note time="120.077" string="1" fret="7" /&gt;</v>
      </c>
      <c r="J655" t="str">
        <f t="shared" si="70"/>
        <v>92.750</v>
      </c>
      <c r="K655" t="s">
        <v>1622</v>
      </c>
    </row>
    <row r="656" spans="1:11" x14ac:dyDescent="0.45">
      <c r="A656" t="str">
        <f t="shared" si="69"/>
        <v>&lt;chord time="120.234" chordId="1" highDensity="1" &gt;&lt;chordNote time="120.234" string="1" fret="9" leftHand="1" /&gt;&lt;chordNote time="120.234" string="2" fret="11" leftHand="3" /&gt;&lt;chordNote time="120.234" string="3" fret="11" leftHand="4" /&gt;&lt;/chord&gt;</v>
      </c>
      <c r="D656" s="3">
        <f t="shared" si="71"/>
        <v>120.23399999999999</v>
      </c>
      <c r="E656" s="3">
        <f t="shared" si="72"/>
        <v>96.075000000000003</v>
      </c>
      <c r="F656" t="str">
        <f t="shared" si="68"/>
        <v>95.875</v>
      </c>
      <c r="G656" t="s">
        <v>879</v>
      </c>
      <c r="I656" t="str">
        <f t="shared" si="73"/>
        <v>&lt;note time="120.234" string="1" fret="7" /&gt;</v>
      </c>
      <c r="J656" t="str">
        <f t="shared" si="70"/>
        <v>92.875</v>
      </c>
      <c r="K656" t="s">
        <v>1623</v>
      </c>
    </row>
    <row r="657" spans="1:11" x14ac:dyDescent="0.45">
      <c r="A657" t="str">
        <f t="shared" si="69"/>
        <v>&lt;chord time="120.390" chordId="3" &gt;&lt;chordNote time="120.390" string="1" fret="4" leftHand="1" /&gt;&lt;chordNote time="120.390" string="2" fret="6" leftHand="3" /&gt;&lt;chordNote time="120.390" string="3" fret="6" leftHand="4" /&gt;&lt;/chord&gt;</v>
      </c>
      <c r="D657" s="3">
        <f t="shared" si="71"/>
        <v>120.39</v>
      </c>
      <c r="E657" s="3">
        <f t="shared" si="72"/>
        <v>96.2</v>
      </c>
      <c r="F657" t="str">
        <f t="shared" ref="F657:F720" si="74">RIGHT(LEFT(G657,19),6)</f>
        <v>96.000</v>
      </c>
      <c r="G657" t="s">
        <v>880</v>
      </c>
      <c r="I657" t="str">
        <f t="shared" si="73"/>
        <v>&lt;note time="120.390" string="1" fret="7" /&gt;</v>
      </c>
      <c r="J657" t="str">
        <f t="shared" si="70"/>
        <v>93.000</v>
      </c>
      <c r="K657" t="s">
        <v>1624</v>
      </c>
    </row>
    <row r="658" spans="1:11" x14ac:dyDescent="0.45">
      <c r="A658" t="str">
        <f t="shared" ref="A658:A721" si="75">SUBSTITUTE(G658,F658,TEXT(D658,"0.000"))</f>
        <v>&lt;chord time="120.703" chordId="3" highDensity="1" &gt;&lt;chordNote time="120.703" string="1" fret="4" leftHand="1" /&gt;&lt;chordNote time="120.703" string="2" fret="6" leftHand="3" /&gt;&lt;chordNote time="120.703" string="3" fret="6" leftHand="4" /&gt;&lt;/chord&gt;</v>
      </c>
      <c r="D658" s="3">
        <f t="shared" si="71"/>
        <v>120.703</v>
      </c>
      <c r="E658" s="3">
        <f t="shared" si="72"/>
        <v>96.45</v>
      </c>
      <c r="F658" t="str">
        <f t="shared" si="74"/>
        <v>96.250</v>
      </c>
      <c r="G658" t="s">
        <v>881</v>
      </c>
      <c r="I658" t="str">
        <f t="shared" si="73"/>
        <v>&lt;note time="120.703" string="1" fret="7" /&gt;</v>
      </c>
      <c r="J658" t="str">
        <f t="shared" si="70"/>
        <v>93.125</v>
      </c>
      <c r="K658" t="s">
        <v>1625</v>
      </c>
    </row>
    <row r="659" spans="1:11" x14ac:dyDescent="0.45">
      <c r="A659" t="str">
        <f t="shared" si="75"/>
        <v>&lt;chord time="121.016" chordId="4" &gt;&lt;chordNote time="121.016" string="1" fret="2" leftHand="1" /&gt;&lt;chordNote time="121.016" string="2" fret="4" leftHand="3" /&gt;&lt;chordNote time="121.016" string="3" fret="4" leftHand="4" /&gt;&lt;/chord&gt;</v>
      </c>
      <c r="D659" s="3">
        <f t="shared" si="71"/>
        <v>121.01600000000001</v>
      </c>
      <c r="E659" s="3">
        <f t="shared" si="72"/>
        <v>96.7</v>
      </c>
      <c r="F659" t="str">
        <f t="shared" si="74"/>
        <v>96.500</v>
      </c>
      <c r="G659" t="s">
        <v>882</v>
      </c>
      <c r="I659" t="str">
        <f t="shared" si="73"/>
        <v>&lt;note time="121.016" string="1" fret="7" /&gt;</v>
      </c>
      <c r="J659" t="str">
        <f t="shared" si="70"/>
        <v>93.250</v>
      </c>
      <c r="K659" t="s">
        <v>1626</v>
      </c>
    </row>
    <row r="660" spans="1:11" x14ac:dyDescent="0.45">
      <c r="A660" t="str">
        <f t="shared" si="75"/>
        <v>&lt;chord time="121.329" chordId="4" highDensity="1" &gt;&lt;chordNote time="121.329" string="1" fret="2" leftHand="1" /&gt;&lt;chordNote time="121.329" string="2" fret="4" leftHand="3" /&gt;&lt;chordNote time="121.329" string="3" fret="4" leftHand="4" /&gt;&lt;/chord&gt;</v>
      </c>
      <c r="D660" s="3">
        <f t="shared" si="71"/>
        <v>121.32899999999999</v>
      </c>
      <c r="E660" s="3">
        <f t="shared" si="72"/>
        <v>96.95</v>
      </c>
      <c r="F660" t="str">
        <f t="shared" si="74"/>
        <v>96.750</v>
      </c>
      <c r="G660" t="s">
        <v>883</v>
      </c>
      <c r="I660" t="str">
        <f t="shared" si="73"/>
        <v>&lt;note time="121.329" string="1" fret="7" /&gt;</v>
      </c>
      <c r="J660" t="str">
        <f t="shared" si="70"/>
        <v>93.375</v>
      </c>
      <c r="K660" t="s">
        <v>1627</v>
      </c>
    </row>
    <row r="661" spans="1:11" x14ac:dyDescent="0.45">
      <c r="A661" t="str">
        <f t="shared" si="75"/>
        <v>&lt;chord time="121.642" chordId="5" &gt;&lt;chordNote time="121.642" string="0" fret="0" /&gt;&lt;chordNote time="121.642" string="1" fret="2" leftHand="2" /&gt;&lt;chordNote time="121.642" string="2" fret="2" leftHand="3" /&gt;&lt;/chord&gt;</v>
      </c>
      <c r="D661" s="3">
        <f t="shared" si="71"/>
        <v>121.642</v>
      </c>
      <c r="E661" s="3">
        <f t="shared" si="72"/>
        <v>97.2</v>
      </c>
      <c r="F661" t="str">
        <f t="shared" si="74"/>
        <v>97.000</v>
      </c>
      <c r="G661" t="s">
        <v>884</v>
      </c>
      <c r="I661" t="str">
        <f t="shared" si="73"/>
        <v>&lt;note time="121.642" string="1" fret="7" /&gt;</v>
      </c>
      <c r="J661" t="str">
        <f t="shared" si="70"/>
        <v>93.500</v>
      </c>
      <c r="K661" t="s">
        <v>1628</v>
      </c>
    </row>
    <row r="662" spans="1:11" x14ac:dyDescent="0.45">
      <c r="A662" t="str">
        <f t="shared" si="75"/>
        <v>&lt;chord time="122.894" chordId="5" highDensity="1" &gt;&lt;chordNote time="122.894" string="0" fret="0" /&gt;&lt;chordNote time="122.894" string="1" fret="2" leftHand="2" /&gt;&lt;chordNote time="122.894" string="2" fret="2" leftHand="3" /&gt;&lt;/chord&gt;</v>
      </c>
      <c r="D662" s="3">
        <f t="shared" si="71"/>
        <v>122.89400000000001</v>
      </c>
      <c r="E662" s="3">
        <f t="shared" si="72"/>
        <v>98.2</v>
      </c>
      <c r="F662" t="str">
        <f t="shared" si="74"/>
        <v>98.000</v>
      </c>
      <c r="G662" t="s">
        <v>885</v>
      </c>
      <c r="I662" t="str">
        <f t="shared" si="73"/>
        <v>&lt;note time="122.894" string="1" fret="7" /&gt;</v>
      </c>
      <c r="J662" t="str">
        <f t="shared" si="70"/>
        <v>93.625</v>
      </c>
      <c r="K662" t="s">
        <v>1629</v>
      </c>
    </row>
    <row r="663" spans="1:11" x14ac:dyDescent="0.45">
      <c r="A663" t="str">
        <f t="shared" si="75"/>
        <v>&lt;chord time="123.207" chordId="5" highDensity="1" &gt;&lt;chordNote time="123.207" string="0" fret="0" /&gt;&lt;chordNote time="123.207" string="1" fret="2" leftHand="2" /&gt;&lt;chordNote time="123.207" string="2" fret="2" leftHand="3" /&gt;&lt;/chord&gt;</v>
      </c>
      <c r="D663" s="3">
        <f t="shared" si="71"/>
        <v>123.20699999999999</v>
      </c>
      <c r="E663" s="3">
        <f t="shared" si="72"/>
        <v>98.45</v>
      </c>
      <c r="F663" t="str">
        <f t="shared" si="74"/>
        <v>98.250</v>
      </c>
      <c r="G663" t="s">
        <v>886</v>
      </c>
      <c r="I663" t="str">
        <f t="shared" si="73"/>
        <v>&lt;note time="123.207" string="1" fret="7" /&gt;</v>
      </c>
      <c r="J663" t="str">
        <f t="shared" si="70"/>
        <v>93.750</v>
      </c>
      <c r="K663" t="s">
        <v>1630</v>
      </c>
    </row>
    <row r="664" spans="1:11" x14ac:dyDescent="0.45">
      <c r="A664" t="str">
        <f t="shared" si="75"/>
        <v>&lt;chord time="123.520" chordId="2" &gt;&lt;chordNote time="123.520" string="0" fret="2" leftHand="1" /&gt;&lt;chordNote time="123.520" string="1" fret="4" leftHand="3" /&gt;&lt;chordNote time="123.520" string="2" fret="4" leftHand="4" /&gt;&lt;/chord&gt;</v>
      </c>
      <c r="D664" s="3">
        <f t="shared" si="71"/>
        <v>123.52</v>
      </c>
      <c r="E664" s="3">
        <f t="shared" si="72"/>
        <v>98.7</v>
      </c>
      <c r="F664" t="str">
        <f t="shared" si="74"/>
        <v>98.500</v>
      </c>
      <c r="G664" t="s">
        <v>887</v>
      </c>
      <c r="I664" t="str">
        <f t="shared" si="73"/>
        <v>&lt;note time="123.520" string="1" fret="7" /&gt;</v>
      </c>
      <c r="J664" t="str">
        <f t="shared" si="70"/>
        <v>93.875</v>
      </c>
      <c r="K664" t="s">
        <v>1631</v>
      </c>
    </row>
    <row r="665" spans="1:11" x14ac:dyDescent="0.45">
      <c r="A665" t="str">
        <f t="shared" si="75"/>
        <v>&lt;chord time="123.833" chordId="2" highDensity="1" &gt;&lt;chordNote time="123.833" string="0" fret="2" leftHand="1" /&gt;&lt;chordNote time="123.833" string="1" fret="4" leftHand="3" /&gt;&lt;chordNote time="123.833" string="2" fret="4" leftHand="4" /&gt;&lt;/chord&gt;</v>
      </c>
      <c r="D665" s="3">
        <f t="shared" si="71"/>
        <v>123.833</v>
      </c>
      <c r="E665" s="3">
        <f t="shared" si="72"/>
        <v>98.95</v>
      </c>
      <c r="F665" t="str">
        <f t="shared" si="74"/>
        <v>98.750</v>
      </c>
      <c r="G665" t="s">
        <v>888</v>
      </c>
      <c r="I665" t="str">
        <f t="shared" si="73"/>
        <v>&lt;note time="123.833" string="1" fret="9" /&gt;</v>
      </c>
      <c r="J665" t="str">
        <f t="shared" si="70"/>
        <v>94.000</v>
      </c>
      <c r="K665" t="s">
        <v>1632</v>
      </c>
    </row>
    <row r="666" spans="1:11" x14ac:dyDescent="0.45">
      <c r="A666" t="str">
        <f t="shared" si="75"/>
        <v>&lt;chord time="124.146" chordId="3" &gt;&lt;chordNote time="124.146" string="1" fret="4" leftHand="1" /&gt;&lt;chordNote time="124.146" string="2" fret="6" leftHand="3" /&gt;&lt;chordNote time="124.146" string="3" fret="6" leftHand="4" /&gt;&lt;/chord&gt;</v>
      </c>
      <c r="D666" s="3">
        <f t="shared" si="71"/>
        <v>124.146</v>
      </c>
      <c r="E666" s="3">
        <f t="shared" si="72"/>
        <v>99.2</v>
      </c>
      <c r="F666" t="str">
        <f t="shared" si="74"/>
        <v>99.000</v>
      </c>
      <c r="G666" t="s">
        <v>889</v>
      </c>
      <c r="I666" t="str">
        <f t="shared" si="73"/>
        <v>&lt;note time="124.146" string="1" fret="9" /&gt;</v>
      </c>
      <c r="J666" t="str">
        <f t="shared" si="70"/>
        <v>94.125</v>
      </c>
      <c r="K666" t="s">
        <v>1633</v>
      </c>
    </row>
    <row r="667" spans="1:11" x14ac:dyDescent="0.45">
      <c r="A667" t="str">
        <f t="shared" si="75"/>
        <v>&lt;chord time="125.398" chordId="3" highDensity="1" &gt;&lt;chordNote time="125.398" string="1" fret="4" leftHand="1" /&gt;&lt;chordNote time="125.398" string="2" fret="6" leftHand="3" /&gt;&lt;chordNote time="125.398" string="3" fret="6" leftHand="4" /&gt;&lt;/chord&gt;</v>
      </c>
      <c r="D667" s="3">
        <f t="shared" si="71"/>
        <v>125.398</v>
      </c>
      <c r="E667" s="3">
        <f t="shared" si="72"/>
        <v>100.2</v>
      </c>
      <c r="F667" t="str">
        <f t="shared" ref="F667:F696" si="76">RIGHT(LEFT(G667,20),7)</f>
        <v>100.000</v>
      </c>
      <c r="G667" t="s">
        <v>890</v>
      </c>
      <c r="I667" t="str">
        <f t="shared" si="73"/>
        <v>&lt;note time="125.398" string="1" fret="9" /&gt;</v>
      </c>
      <c r="J667" t="str">
        <f t="shared" si="70"/>
        <v>94.250</v>
      </c>
      <c r="K667" t="s">
        <v>1634</v>
      </c>
    </row>
    <row r="668" spans="1:11" x14ac:dyDescent="0.45">
      <c r="A668" t="str">
        <f t="shared" si="75"/>
        <v>&lt;chord time="125.711" chordId="3" highDensity="1" &gt;&lt;chordNote time="125.711" string="1" fret="4" leftHand="1" /&gt;&lt;chordNote time="125.711" string="2" fret="6" leftHand="3" /&gt;&lt;chordNote time="125.711" string="3" fret="6" leftHand="4" /&gt;&lt;/chord&gt;</v>
      </c>
      <c r="D668" s="3">
        <f t="shared" si="71"/>
        <v>125.711</v>
      </c>
      <c r="E668" s="3">
        <f t="shared" si="72"/>
        <v>100.45</v>
      </c>
      <c r="F668" t="str">
        <f t="shared" si="76"/>
        <v>100.250</v>
      </c>
      <c r="G668" t="s">
        <v>891</v>
      </c>
      <c r="I668" t="str">
        <f t="shared" si="73"/>
        <v>&lt;note time="125.711" string="1" fret="9" /&gt;</v>
      </c>
      <c r="J668" t="str">
        <f t="shared" si="70"/>
        <v>94.375</v>
      </c>
      <c r="K668" t="s">
        <v>1635</v>
      </c>
    </row>
    <row r="669" spans="1:11" x14ac:dyDescent="0.45">
      <c r="A669" t="str">
        <f t="shared" si="75"/>
        <v>&lt;chord time="126.024" chordId="4" &gt;&lt;chordNote time="126.024" string="1" fret="2" leftHand="1" /&gt;&lt;chordNote time="126.024" string="2" fret="4" leftHand="3" /&gt;&lt;chordNote time="126.024" string="3" fret="4" leftHand="4" /&gt;&lt;/chord&gt;</v>
      </c>
      <c r="D669" s="3">
        <f t="shared" si="71"/>
        <v>126.024</v>
      </c>
      <c r="E669" s="3">
        <f t="shared" si="72"/>
        <v>100.7</v>
      </c>
      <c r="F669" t="str">
        <f t="shared" si="76"/>
        <v>100.500</v>
      </c>
      <c r="G669" t="s">
        <v>892</v>
      </c>
      <c r="I669" t="str">
        <f t="shared" si="73"/>
        <v>&lt;note time="126.024" string="1" fret="9" /&gt;</v>
      </c>
      <c r="J669" t="str">
        <f t="shared" si="70"/>
        <v>94.500</v>
      </c>
      <c r="K669" t="s">
        <v>1636</v>
      </c>
    </row>
    <row r="670" spans="1:11" x14ac:dyDescent="0.45">
      <c r="A670" t="str">
        <f t="shared" si="75"/>
        <v>&lt;chord time="126.337" chordId="4" highDensity="1" &gt;&lt;chordNote time="126.337" string="1" fret="2" leftHand="1" /&gt;&lt;chordNote time="126.337" string="2" fret="4" leftHand="3" /&gt;&lt;chordNote time="126.337" string="3" fret="4" leftHand="4" /&gt;&lt;/chord&gt;</v>
      </c>
      <c r="D670" s="3">
        <f t="shared" si="71"/>
        <v>126.337</v>
      </c>
      <c r="E670" s="3">
        <f t="shared" si="72"/>
        <v>100.95</v>
      </c>
      <c r="F670" t="str">
        <f t="shared" si="76"/>
        <v>100.750</v>
      </c>
      <c r="G670" t="s">
        <v>893</v>
      </c>
      <c r="I670" t="str">
        <f t="shared" si="73"/>
        <v>&lt;note time="126.337" string="1" fret="9" /&gt;</v>
      </c>
      <c r="J670" t="str">
        <f t="shared" si="70"/>
        <v>94.625</v>
      </c>
      <c r="K670" t="s">
        <v>1637</v>
      </c>
    </row>
    <row r="671" spans="1:11" x14ac:dyDescent="0.45">
      <c r="A671" t="str">
        <f t="shared" si="75"/>
        <v>&lt;chord time="126.650" chordId="5" &gt;&lt;chordNote time="126.650" string="0" fret="0" /&gt;&lt;chordNote time="126.650" string="1" fret="2" leftHand="2" /&gt;&lt;chordNote time="126.650" string="2" fret="2" leftHand="3" /&gt;&lt;/chord&gt;</v>
      </c>
      <c r="D671" s="3">
        <f t="shared" si="71"/>
        <v>126.65</v>
      </c>
      <c r="E671" s="3">
        <f t="shared" si="72"/>
        <v>101.2</v>
      </c>
      <c r="F671" t="str">
        <f t="shared" si="76"/>
        <v>101.000</v>
      </c>
      <c r="G671" t="s">
        <v>894</v>
      </c>
      <c r="I671" t="str">
        <f t="shared" si="73"/>
        <v>&lt;note time="126.650" string="1" fret="9" /&gt;</v>
      </c>
      <c r="J671" t="str">
        <f t="shared" si="70"/>
        <v>94.750</v>
      </c>
      <c r="K671" t="s">
        <v>1638</v>
      </c>
    </row>
    <row r="672" spans="1:11" x14ac:dyDescent="0.45">
      <c r="A672" t="str">
        <f t="shared" si="75"/>
        <v>&lt;chord time="127.902" chordId="5" highDensity="1" &gt;&lt;chordNote time="127.902" string="0" fret="0" /&gt;&lt;chordNote time="127.902" string="1" fret="2" leftHand="2" /&gt;&lt;chordNote time="127.902" string="2" fret="2" leftHand="3" /&gt;&lt;/chord&gt;</v>
      </c>
      <c r="D672" s="3">
        <f t="shared" si="71"/>
        <v>127.902</v>
      </c>
      <c r="E672" s="3">
        <f t="shared" si="72"/>
        <v>102.2</v>
      </c>
      <c r="F672" t="str">
        <f t="shared" si="76"/>
        <v>102.000</v>
      </c>
      <c r="G672" t="s">
        <v>895</v>
      </c>
      <c r="I672" t="str">
        <f t="shared" si="73"/>
        <v>&lt;note time="127.902" string="1" fret="9" /&gt;</v>
      </c>
      <c r="J672" t="str">
        <f t="shared" si="70"/>
        <v>94.875</v>
      </c>
      <c r="K672" t="s">
        <v>1639</v>
      </c>
    </row>
    <row r="673" spans="1:11" x14ac:dyDescent="0.45">
      <c r="A673" t="str">
        <f t="shared" si="75"/>
        <v>&lt;chord time="128.215" chordId="5" highDensity="1" &gt;&lt;chordNote time="128.215" string="0" fret="0" /&gt;&lt;chordNote time="128.215" string="1" fret="2" leftHand="2" /&gt;&lt;chordNote time="128.215" string="2" fret="2" leftHand="3" /&gt;&lt;/chord&gt;</v>
      </c>
      <c r="D673" s="3">
        <f t="shared" si="71"/>
        <v>128.215</v>
      </c>
      <c r="E673" s="3">
        <f t="shared" si="72"/>
        <v>102.45</v>
      </c>
      <c r="F673" t="str">
        <f t="shared" si="76"/>
        <v>102.250</v>
      </c>
      <c r="G673" t="s">
        <v>896</v>
      </c>
      <c r="I673" t="str">
        <f t="shared" si="73"/>
        <v>&lt;note time="128.215" string="1" fret="9" /&gt;</v>
      </c>
      <c r="J673" t="str">
        <f t="shared" si="70"/>
        <v>95.000</v>
      </c>
      <c r="K673" t="s">
        <v>1640</v>
      </c>
    </row>
    <row r="674" spans="1:11" x14ac:dyDescent="0.45">
      <c r="A674" t="str">
        <f t="shared" si="75"/>
        <v>&lt;chord time="128.528" chordId="2" &gt;&lt;chordNote time="128.528" string="0" fret="2" leftHand="1" /&gt;&lt;chordNote time="128.528" string="1" fret="4" leftHand="3" /&gt;&lt;chordNote time="128.528" string="2" fret="4" leftHand="4" /&gt;&lt;/chord&gt;</v>
      </c>
      <c r="D674" s="3">
        <f t="shared" si="71"/>
        <v>128.52799999999999</v>
      </c>
      <c r="E674" s="3">
        <f t="shared" si="72"/>
        <v>102.7</v>
      </c>
      <c r="F674" t="str">
        <f t="shared" si="76"/>
        <v>102.500</v>
      </c>
      <c r="G674" t="s">
        <v>897</v>
      </c>
      <c r="I674" t="str">
        <f t="shared" si="73"/>
        <v>&lt;note time="128.528" string="1" fret="9" /&gt;</v>
      </c>
      <c r="J674" t="str">
        <f t="shared" si="70"/>
        <v>95.125</v>
      </c>
      <c r="K674" t="s">
        <v>1641</v>
      </c>
    </row>
    <row r="675" spans="1:11" x14ac:dyDescent="0.45">
      <c r="A675" t="str">
        <f t="shared" si="75"/>
        <v>&lt;chord time="128.841" chordId="2" highDensity="1" &gt;&lt;chordNote time="128.841" string="0" fret="2" leftHand="1" /&gt;&lt;chordNote time="128.841" string="1" fret="4" leftHand="3" /&gt;&lt;chordNote time="128.841" string="2" fret="4" leftHand="4" /&gt;&lt;/chord&gt;</v>
      </c>
      <c r="D675" s="3">
        <f t="shared" si="71"/>
        <v>128.84100000000001</v>
      </c>
      <c r="E675" s="3">
        <f t="shared" si="72"/>
        <v>102.95</v>
      </c>
      <c r="F675" t="str">
        <f t="shared" si="76"/>
        <v>102.750</v>
      </c>
      <c r="G675" t="s">
        <v>898</v>
      </c>
      <c r="I675" t="str">
        <f t="shared" si="73"/>
        <v>&lt;note time="128.841" string="1" fret="9" /&gt;</v>
      </c>
      <c r="J675" t="str">
        <f t="shared" si="70"/>
        <v>95.250</v>
      </c>
      <c r="K675" t="s">
        <v>1642</v>
      </c>
    </row>
    <row r="676" spans="1:11" x14ac:dyDescent="0.45">
      <c r="A676" t="str">
        <f t="shared" si="75"/>
        <v>&lt;chord time="129.154" chordId="3" &gt;&lt;chordNote time="129.154" string="1" fret="4" leftHand="1" /&gt;&lt;chordNote time="129.154" string="2" fret="6" leftHand="3" /&gt;&lt;chordNote time="129.154" string="3" fret="6" leftHand="4" /&gt;&lt;/chord&gt;</v>
      </c>
      <c r="D676" s="3">
        <f t="shared" si="71"/>
        <v>129.154</v>
      </c>
      <c r="E676" s="3">
        <f t="shared" si="72"/>
        <v>103.2</v>
      </c>
      <c r="F676" t="str">
        <f t="shared" si="76"/>
        <v>103.000</v>
      </c>
      <c r="G676" t="s">
        <v>899</v>
      </c>
      <c r="I676" t="str">
        <f t="shared" si="73"/>
        <v>&lt;note time="129.154" string="1" fret="9" /&gt;</v>
      </c>
      <c r="J676" t="str">
        <f t="shared" ref="J676:J739" si="77">RIGHT(LEFT(K676,18),6)</f>
        <v>95.375</v>
      </c>
      <c r="K676" t="s">
        <v>1643</v>
      </c>
    </row>
    <row r="677" spans="1:11" x14ac:dyDescent="0.45">
      <c r="A677" t="str">
        <f t="shared" si="75"/>
        <v>&lt;chord time="130.406" chordId="3" highDensity="1" &gt;&lt;chordNote time="130.406" string="1" fret="4" leftHand="1" /&gt;&lt;chordNote time="130.406" string="2" fret="6" leftHand="3" /&gt;&lt;chordNote time="130.406" string="3" fret="6" leftHand="4" /&gt;&lt;/chord&gt;</v>
      </c>
      <c r="D677" s="3">
        <f t="shared" si="71"/>
        <v>130.40600000000001</v>
      </c>
      <c r="E677" s="3">
        <f t="shared" si="72"/>
        <v>104.2</v>
      </c>
      <c r="F677" t="str">
        <f t="shared" si="76"/>
        <v>104.000</v>
      </c>
      <c r="G677" t="s">
        <v>900</v>
      </c>
      <c r="I677" t="str">
        <f t="shared" si="73"/>
        <v>&lt;note time="130.406" string="1" fret="9" /&gt;</v>
      </c>
      <c r="J677" t="str">
        <f t="shared" si="77"/>
        <v>95.500</v>
      </c>
      <c r="K677" t="s">
        <v>1644</v>
      </c>
    </row>
    <row r="678" spans="1:11" x14ac:dyDescent="0.45">
      <c r="A678" t="str">
        <f t="shared" si="75"/>
        <v>&lt;chord time="130.719" chordId="3" highDensity="1" &gt;&lt;chordNote time="130.719" string="1" fret="4" leftHand="1" /&gt;&lt;chordNote time="130.719" string="2" fret="6" leftHand="3" /&gt;&lt;chordNote time="130.719" string="3" fret="6" leftHand="4" /&gt;&lt;/chord&gt;</v>
      </c>
      <c r="D678" s="3">
        <f t="shared" si="71"/>
        <v>130.71899999999999</v>
      </c>
      <c r="E678" s="3">
        <f t="shared" si="72"/>
        <v>104.45</v>
      </c>
      <c r="F678" t="str">
        <f t="shared" si="76"/>
        <v>104.250</v>
      </c>
      <c r="G678" t="s">
        <v>901</v>
      </c>
      <c r="I678" t="str">
        <f t="shared" si="73"/>
        <v>&lt;note time="130.719" string="1" fret="9" /&gt;</v>
      </c>
      <c r="J678" t="str">
        <f t="shared" si="77"/>
        <v>95.625</v>
      </c>
      <c r="K678" t="s">
        <v>1645</v>
      </c>
    </row>
    <row r="679" spans="1:11" x14ac:dyDescent="0.45">
      <c r="A679" t="str">
        <f t="shared" si="75"/>
        <v>&lt;chord time="131.032" chordId="4" &gt;&lt;chordNote time="131.032" string="1" fret="2" leftHand="1" /&gt;&lt;chordNote time="131.032" string="2" fret="4" leftHand="3" /&gt;&lt;chordNote time="131.032" string="3" fret="4" leftHand="4" /&gt;&lt;/chord&gt;</v>
      </c>
      <c r="D679" s="3">
        <f t="shared" si="71"/>
        <v>131.03200000000001</v>
      </c>
      <c r="E679" s="3">
        <f t="shared" si="72"/>
        <v>104.7</v>
      </c>
      <c r="F679" t="str">
        <f t="shared" si="76"/>
        <v>104.500</v>
      </c>
      <c r="G679" t="s">
        <v>902</v>
      </c>
      <c r="I679" t="str">
        <f t="shared" si="73"/>
        <v>&lt;note time="131.032" string="1" fret="9" /&gt;</v>
      </c>
      <c r="J679" t="str">
        <f t="shared" si="77"/>
        <v>95.750</v>
      </c>
      <c r="K679" t="s">
        <v>1646</v>
      </c>
    </row>
    <row r="680" spans="1:11" x14ac:dyDescent="0.45">
      <c r="A680" t="str">
        <f t="shared" si="75"/>
        <v>&lt;chord time="131.345" chordId="4" highDensity="1" &gt;&lt;chordNote time="131.345" string="1" fret="2" leftHand="1" /&gt;&lt;chordNote time="131.345" string="2" fret="4" leftHand="3" /&gt;&lt;chordNote time="131.345" string="3" fret="4" leftHand="4" /&gt;&lt;/chord&gt;</v>
      </c>
      <c r="D680" s="3">
        <f t="shared" si="71"/>
        <v>131.345</v>
      </c>
      <c r="E680" s="3">
        <f t="shared" si="72"/>
        <v>104.95</v>
      </c>
      <c r="F680" t="str">
        <f t="shared" si="76"/>
        <v>104.750</v>
      </c>
      <c r="G680" t="s">
        <v>903</v>
      </c>
      <c r="I680" t="str">
        <f t="shared" si="73"/>
        <v>&lt;note time="131.345" string="1" fret="9" /&gt;</v>
      </c>
      <c r="J680" t="str">
        <f t="shared" si="77"/>
        <v>95.875</v>
      </c>
      <c r="K680" t="s">
        <v>1647</v>
      </c>
    </row>
    <row r="681" spans="1:11" x14ac:dyDescent="0.45">
      <c r="A681" t="str">
        <f t="shared" si="75"/>
        <v>&lt;chord time="131.658" chordId="5" &gt;&lt;chordNote time="131.658" string="0" fret="0" /&gt;&lt;chordNote time="131.658" string="1" fret="2" leftHand="2" /&gt;&lt;chordNote time="131.658" string="2" fret="2" leftHand="3" /&gt;&lt;/chord&gt;</v>
      </c>
      <c r="D681" s="3">
        <f t="shared" si="71"/>
        <v>131.65799999999999</v>
      </c>
      <c r="E681" s="3">
        <f t="shared" si="72"/>
        <v>105.2</v>
      </c>
      <c r="F681" t="str">
        <f t="shared" si="76"/>
        <v>105.000</v>
      </c>
      <c r="G681" t="s">
        <v>904</v>
      </c>
      <c r="I681" t="str">
        <f t="shared" si="73"/>
        <v>&lt;note time="131.658" string="1" fret="4" /&gt;</v>
      </c>
      <c r="J681" t="str">
        <f t="shared" si="77"/>
        <v>96.000</v>
      </c>
      <c r="K681" t="s">
        <v>1648</v>
      </c>
    </row>
    <row r="682" spans="1:11" x14ac:dyDescent="0.45">
      <c r="A682" t="str">
        <f t="shared" si="75"/>
        <v>&lt;chord time="132.910" chordId="5" highDensity="1" &gt;&lt;chordNote time="132.910" string="0" fret="0" /&gt;&lt;chordNote time="132.910" string="1" fret="2" leftHand="2" /&gt;&lt;chordNote time="132.910" string="2" fret="2" leftHand="3" /&gt;&lt;/chord&gt;</v>
      </c>
      <c r="D682" s="3">
        <f t="shared" si="71"/>
        <v>132.91</v>
      </c>
      <c r="E682" s="3">
        <f t="shared" si="72"/>
        <v>106.2</v>
      </c>
      <c r="F682" t="str">
        <f t="shared" si="76"/>
        <v>106.000</v>
      </c>
      <c r="G682" t="s">
        <v>905</v>
      </c>
      <c r="I682" t="str">
        <f t="shared" si="73"/>
        <v>&lt;note time="132.910" string="1" fret="4" /&gt;</v>
      </c>
      <c r="J682" t="str">
        <f t="shared" si="77"/>
        <v>96.250</v>
      </c>
      <c r="K682" t="s">
        <v>1649</v>
      </c>
    </row>
    <row r="683" spans="1:11" x14ac:dyDescent="0.45">
      <c r="A683" t="str">
        <f t="shared" si="75"/>
        <v>&lt;chord time="133.223" chordId="5" highDensity="1" &gt;&lt;chordNote time="133.223" string="0" fret="0" /&gt;&lt;chordNote time="133.223" string="1" fret="2" leftHand="2" /&gt;&lt;chordNote time="133.223" string="2" fret="2" leftHand="3" /&gt;&lt;/chord&gt;</v>
      </c>
      <c r="D683" s="3">
        <f t="shared" si="71"/>
        <v>133.22300000000001</v>
      </c>
      <c r="E683" s="3">
        <f t="shared" si="72"/>
        <v>106.45</v>
      </c>
      <c r="F683" t="str">
        <f t="shared" si="76"/>
        <v>106.250</v>
      </c>
      <c r="G683" t="s">
        <v>906</v>
      </c>
      <c r="I683" t="str">
        <f t="shared" si="73"/>
        <v>&lt;note time="133.223" string="1" fret="2" /&gt;</v>
      </c>
      <c r="J683" t="str">
        <f t="shared" si="77"/>
        <v>96.500</v>
      </c>
      <c r="K683" t="s">
        <v>1650</v>
      </c>
    </row>
    <row r="684" spans="1:11" x14ac:dyDescent="0.45">
      <c r="A684" t="str">
        <f t="shared" si="75"/>
        <v>&lt;chord time="133.536" chordId="2" &gt;&lt;chordNote time="133.536" string="0" fret="2" leftHand="1" /&gt;&lt;chordNote time="133.536" string="1" fret="4" leftHand="3" /&gt;&lt;chordNote time="133.536" string="2" fret="4" leftHand="4" /&gt;&lt;/chord&gt;</v>
      </c>
      <c r="D684" s="3">
        <f t="shared" si="71"/>
        <v>133.536</v>
      </c>
      <c r="E684" s="3">
        <f t="shared" si="72"/>
        <v>106.7</v>
      </c>
      <c r="F684" t="str">
        <f t="shared" si="76"/>
        <v>106.500</v>
      </c>
      <c r="G684" t="s">
        <v>907</v>
      </c>
      <c r="I684" t="str">
        <f t="shared" si="73"/>
        <v>&lt;note time="133.536" string="1" fret="2" /&gt;</v>
      </c>
      <c r="J684" t="str">
        <f t="shared" si="77"/>
        <v>96.750</v>
      </c>
      <c r="K684" t="s">
        <v>1651</v>
      </c>
    </row>
    <row r="685" spans="1:11" x14ac:dyDescent="0.45">
      <c r="A685" t="str">
        <f t="shared" si="75"/>
        <v>&lt;chord time="133.849" chordId="2" highDensity="1" &gt;&lt;chordNote time="133.849" string="0" fret="2" leftHand="1" /&gt;&lt;chordNote time="133.849" string="1" fret="4" leftHand="3" /&gt;&lt;chordNote time="133.849" string="2" fret="4" leftHand="4" /&gt;&lt;/chord&gt;</v>
      </c>
      <c r="D685" s="3">
        <f t="shared" si="71"/>
        <v>133.84899999999999</v>
      </c>
      <c r="E685" s="3">
        <f t="shared" si="72"/>
        <v>106.95</v>
      </c>
      <c r="F685" t="str">
        <f t="shared" si="76"/>
        <v>106.750</v>
      </c>
      <c r="G685" t="s">
        <v>908</v>
      </c>
      <c r="I685" t="str">
        <f t="shared" si="73"/>
        <v>&lt;note time="133.849" string="0" fret="0" sustain="0.500" /&gt;</v>
      </c>
      <c r="J685" t="str">
        <f t="shared" si="77"/>
        <v>97.000</v>
      </c>
      <c r="K685" t="s">
        <v>1652</v>
      </c>
    </row>
    <row r="686" spans="1:11" x14ac:dyDescent="0.45">
      <c r="A686" t="str">
        <f t="shared" si="75"/>
        <v>&lt;chord time="134.162" chordId="3" &gt;&lt;chordNote time="134.162" string="1" fret="4" leftHand="1" /&gt;&lt;chordNote time="134.162" string="2" fret="6" leftHand="3" /&gt;&lt;chordNote time="134.162" string="3" fret="6" leftHand="4" /&gt;&lt;/chord&gt;</v>
      </c>
      <c r="D686" s="3">
        <f t="shared" si="71"/>
        <v>134.16200000000001</v>
      </c>
      <c r="E686" s="3">
        <f t="shared" si="72"/>
        <v>107.2</v>
      </c>
      <c r="F686" t="str">
        <f t="shared" si="76"/>
        <v>107.000</v>
      </c>
      <c r="G686" t="s">
        <v>909</v>
      </c>
      <c r="I686" t="str">
        <f t="shared" si="73"/>
        <v>&lt;note time="134.162" string="0" fret="0" /&gt;</v>
      </c>
      <c r="J686" t="str">
        <f t="shared" si="77"/>
        <v>98.000</v>
      </c>
      <c r="K686" t="s">
        <v>1653</v>
      </c>
    </row>
    <row r="687" spans="1:11" x14ac:dyDescent="0.45">
      <c r="A687" t="str">
        <f t="shared" si="75"/>
        <v>&lt;chord time="135.414" chordId="3" highDensity="1" &gt;&lt;chordNote time="135.414" string="1" fret="4" leftHand="1" /&gt;&lt;chordNote time="135.414" string="2" fret="6" leftHand="3" /&gt;&lt;chordNote time="135.414" string="3" fret="6" leftHand="4" /&gt;&lt;/chord&gt;</v>
      </c>
      <c r="D687" s="3">
        <f t="shared" si="71"/>
        <v>135.41399999999999</v>
      </c>
      <c r="E687" s="3">
        <f t="shared" si="72"/>
        <v>108.2</v>
      </c>
      <c r="F687" t="str">
        <f t="shared" si="76"/>
        <v>108.000</v>
      </c>
      <c r="G687" t="s">
        <v>910</v>
      </c>
      <c r="I687" t="str">
        <f t="shared" si="73"/>
        <v>&lt;note time="135.414" string="0" fret="0" /&gt;</v>
      </c>
      <c r="J687" t="str">
        <f t="shared" si="77"/>
        <v>98.250</v>
      </c>
      <c r="K687" t="s">
        <v>1654</v>
      </c>
    </row>
    <row r="688" spans="1:11" x14ac:dyDescent="0.45">
      <c r="A688" t="str">
        <f t="shared" si="75"/>
        <v>&lt;chord time="135.727" chordId="3" highDensity="1" &gt;&lt;chordNote time="135.727" string="1" fret="4" leftHand="1" /&gt;&lt;chordNote time="135.727" string="2" fret="6" leftHand="3" /&gt;&lt;chordNote time="135.727" string="3" fret="6" leftHand="4" /&gt;&lt;/chord&gt;</v>
      </c>
      <c r="D688" s="3">
        <f t="shared" si="71"/>
        <v>135.727</v>
      </c>
      <c r="E688" s="3">
        <f t="shared" si="72"/>
        <v>108.45</v>
      </c>
      <c r="F688" t="str">
        <f t="shared" si="76"/>
        <v>108.250</v>
      </c>
      <c r="G688" t="s">
        <v>911</v>
      </c>
      <c r="I688" t="str">
        <f t="shared" si="73"/>
        <v>&lt;note time="135.727" string="0" fret="2" /&gt;</v>
      </c>
      <c r="J688" t="str">
        <f t="shared" si="77"/>
        <v>98.500</v>
      </c>
      <c r="K688" t="s">
        <v>1655</v>
      </c>
    </row>
    <row r="689" spans="1:11" x14ac:dyDescent="0.45">
      <c r="A689" t="str">
        <f t="shared" si="75"/>
        <v>&lt;chord time="136.040" chordId="4" &gt;&lt;chordNote time="136.040" string="1" fret="2" leftHand="1" /&gt;&lt;chordNote time="136.040" string="2" fret="4" leftHand="3" /&gt;&lt;chordNote time="136.040" string="3" fret="4" leftHand="4" /&gt;&lt;/chord&gt;</v>
      </c>
      <c r="D689" s="3">
        <f t="shared" si="71"/>
        <v>136.04</v>
      </c>
      <c r="E689" s="3">
        <f t="shared" si="72"/>
        <v>108.7</v>
      </c>
      <c r="F689" t="str">
        <f t="shared" si="76"/>
        <v>108.500</v>
      </c>
      <c r="G689" t="s">
        <v>912</v>
      </c>
      <c r="I689" t="str">
        <f t="shared" si="73"/>
        <v>&lt;note time="136.040" string="0" fret="2" /&gt;</v>
      </c>
      <c r="J689" t="str">
        <f t="shared" si="77"/>
        <v>98.750</v>
      </c>
      <c r="K689" t="s">
        <v>1656</v>
      </c>
    </row>
    <row r="690" spans="1:11" x14ac:dyDescent="0.45">
      <c r="A690" t="str">
        <f t="shared" si="75"/>
        <v>&lt;chord time="136.353" chordId="4" highDensity="1" &gt;&lt;chordNote time="136.353" string="1" fret="2" leftHand="1" /&gt;&lt;chordNote time="136.353" string="2" fret="4" leftHand="3" /&gt;&lt;chordNote time="136.353" string="3" fret="4" leftHand="4" /&gt;&lt;/chord&gt;</v>
      </c>
      <c r="D690" s="3">
        <f t="shared" si="71"/>
        <v>136.35300000000001</v>
      </c>
      <c r="E690" s="3">
        <f t="shared" si="72"/>
        <v>108.95</v>
      </c>
      <c r="F690" t="str">
        <f t="shared" si="76"/>
        <v>108.750</v>
      </c>
      <c r="G690" t="s">
        <v>913</v>
      </c>
      <c r="I690" t="str">
        <f t="shared" si="73"/>
        <v>&lt;note time="136.353" string="1" fret="4" sustain="0.500" /&gt;</v>
      </c>
      <c r="J690" t="str">
        <f t="shared" si="77"/>
        <v>99.000</v>
      </c>
      <c r="K690" t="s">
        <v>1657</v>
      </c>
    </row>
    <row r="691" spans="1:11" x14ac:dyDescent="0.45">
      <c r="A691" t="str">
        <f t="shared" si="75"/>
        <v>&lt;chord time="136.666" chordId="5" &gt;&lt;chordNote time="136.666" string="0" fret="0" /&gt;&lt;chordNote time="136.666" string="1" fret="2" leftHand="2" /&gt;&lt;chordNote time="136.666" string="2" fret="2" leftHand="3" /&gt;&lt;/chord&gt;</v>
      </c>
      <c r="D691" s="3">
        <f t="shared" si="71"/>
        <v>136.666</v>
      </c>
      <c r="E691" s="3">
        <f t="shared" si="72"/>
        <v>109.2</v>
      </c>
      <c r="F691" t="str">
        <f t="shared" si="76"/>
        <v>109.000</v>
      </c>
      <c r="G691" t="s">
        <v>914</v>
      </c>
      <c r="I691" t="str">
        <f t="shared" si="73"/>
        <v>&lt;note time="136.6660" string="1" fret="4" /&gt;</v>
      </c>
      <c r="J691" t="str">
        <f t="shared" si="77"/>
        <v>100.00</v>
      </c>
      <c r="K691" t="s">
        <v>1658</v>
      </c>
    </row>
    <row r="692" spans="1:11" x14ac:dyDescent="0.45">
      <c r="A692" t="str">
        <f t="shared" si="75"/>
        <v>&lt;chord time="137.918" chordId="5" highDensity="1" &gt;&lt;chordNote time="137.918" string="0" fret="0" /&gt;&lt;chordNote time="137.918" string="1" fret="2" leftHand="2" /&gt;&lt;chordNote time="137.918" string="2" fret="2" leftHand="3" /&gt;&lt;/chord&gt;</v>
      </c>
      <c r="D692" s="3">
        <f t="shared" si="71"/>
        <v>137.91800000000001</v>
      </c>
      <c r="E692" s="3">
        <f t="shared" si="72"/>
        <v>110.2</v>
      </c>
      <c r="F692" t="str">
        <f t="shared" si="76"/>
        <v>110.000</v>
      </c>
      <c r="G692" t="s">
        <v>915</v>
      </c>
      <c r="I692" t="str">
        <f t="shared" si="73"/>
        <v>&lt;note time="137.9180" string="1" fret="4" /&gt;</v>
      </c>
      <c r="J692" t="str">
        <f t="shared" si="77"/>
        <v>100.25</v>
      </c>
      <c r="K692" t="s">
        <v>1659</v>
      </c>
    </row>
    <row r="693" spans="1:11" x14ac:dyDescent="0.45">
      <c r="A693" t="str">
        <f t="shared" si="75"/>
        <v>&lt;chord time="138.231" chordId="5" highDensity="1" &gt;&lt;chordNote time="138.231" string="0" fret="0" /&gt;&lt;chordNote time="138.231" string="1" fret="2" leftHand="2" /&gt;&lt;chordNote time="138.231" string="2" fret="2" leftHand="3" /&gt;&lt;/chord&gt;</v>
      </c>
      <c r="D693" s="3">
        <f t="shared" si="71"/>
        <v>138.23099999999999</v>
      </c>
      <c r="E693" s="3">
        <f t="shared" si="72"/>
        <v>110.45</v>
      </c>
      <c r="F693" t="str">
        <f t="shared" si="76"/>
        <v>110.250</v>
      </c>
      <c r="G693" t="s">
        <v>916</v>
      </c>
      <c r="I693" t="str">
        <f t="shared" si="73"/>
        <v>&lt;note time="138.2310" string="1" fret="2" /&gt;</v>
      </c>
      <c r="J693" t="str">
        <f t="shared" si="77"/>
        <v>100.50</v>
      </c>
      <c r="K693" t="s">
        <v>1660</v>
      </c>
    </row>
    <row r="694" spans="1:11" x14ac:dyDescent="0.45">
      <c r="A694" t="str">
        <f t="shared" si="75"/>
        <v>&lt;chord time="138.544" chordId="2" &gt;&lt;chordNote time="138.544" string="0" fret="2" leftHand="1" /&gt;&lt;chordNote time="138.544" string="1" fret="4" leftHand="3" /&gt;&lt;chordNote time="138.544" string="2" fret="4" leftHand="4" /&gt;&lt;/chord&gt;</v>
      </c>
      <c r="D694" s="3">
        <f t="shared" si="71"/>
        <v>138.54400000000001</v>
      </c>
      <c r="E694" s="3">
        <f t="shared" si="72"/>
        <v>110.7</v>
      </c>
      <c r="F694" t="str">
        <f t="shared" si="76"/>
        <v>110.500</v>
      </c>
      <c r="G694" t="s">
        <v>917</v>
      </c>
      <c r="I694" t="str">
        <f t="shared" si="73"/>
        <v>&lt;note time="138.5440" string="1" fret="2" /&gt;</v>
      </c>
      <c r="J694" t="str">
        <f t="shared" si="77"/>
        <v>100.75</v>
      </c>
      <c r="K694" t="s">
        <v>1661</v>
      </c>
    </row>
    <row r="695" spans="1:11" x14ac:dyDescent="0.45">
      <c r="A695" t="str">
        <f t="shared" si="75"/>
        <v>&lt;chord time="138.857" chordId="2" highDensity="1" &gt;&lt;chordNote time="138.857" string="0" fret="2" leftHand="1" /&gt;&lt;chordNote time="138.857" string="1" fret="4" leftHand="3" /&gt;&lt;chordNote time="138.857" string="2" fret="4" leftHand="4" /&gt;&lt;/chord&gt;</v>
      </c>
      <c r="D695" s="3">
        <f t="shared" si="71"/>
        <v>138.857</v>
      </c>
      <c r="E695" s="3">
        <f t="shared" si="72"/>
        <v>110.95</v>
      </c>
      <c r="F695" t="str">
        <f t="shared" si="76"/>
        <v>110.750</v>
      </c>
      <c r="G695" t="s">
        <v>918</v>
      </c>
      <c r="I695" t="str">
        <f t="shared" si="73"/>
        <v>&lt;note time="138.8570" string="0" fret="0" sustain="0.500" /&gt;</v>
      </c>
      <c r="J695" t="str">
        <f t="shared" si="77"/>
        <v>101.00</v>
      </c>
      <c r="K695" t="s">
        <v>1662</v>
      </c>
    </row>
    <row r="696" spans="1:11" x14ac:dyDescent="0.45">
      <c r="A696" t="str">
        <f t="shared" si="75"/>
        <v>&lt;chord time="139.170" chordId="3" &gt;&lt;chordNote time="139.170" string="1" fret="4" leftHand="1" /&gt;&lt;chordNote time="139.170" string="2" fret="6" leftHand="3" /&gt;&lt;chordNote time="139.170" string="3" fret="6" leftHand="4" /&gt;&lt;/chord&gt;</v>
      </c>
      <c r="D696" s="3">
        <f t="shared" si="71"/>
        <v>139.16999999999999</v>
      </c>
      <c r="E696" s="3">
        <f t="shared" si="72"/>
        <v>111.2</v>
      </c>
      <c r="F696" t="str">
        <f t="shared" si="76"/>
        <v>111.000</v>
      </c>
      <c r="G696" t="s">
        <v>919</v>
      </c>
      <c r="I696" t="str">
        <f t="shared" si="73"/>
        <v>&lt;note time="139.1700" string="0" fret="0" /&gt;</v>
      </c>
      <c r="J696" t="str">
        <f t="shared" si="77"/>
        <v>102.00</v>
      </c>
      <c r="K696" t="s">
        <v>1663</v>
      </c>
    </row>
    <row r="697" spans="1:11" x14ac:dyDescent="0.45">
      <c r="A697" t="str">
        <f t="shared" si="75"/>
        <v>&lt;note time="145.743" string="3" fret="6" /&gt;</v>
      </c>
      <c r="D697" s="3">
        <f t="shared" si="71"/>
        <v>145.74299999999999</v>
      </c>
      <c r="E697" s="3">
        <f t="shared" si="72"/>
        <v>116.45</v>
      </c>
      <c r="F697" t="str">
        <f t="shared" ref="F697:F728" si="78">RIGHT(LEFT(G697,19),7)</f>
        <v>116.250</v>
      </c>
      <c r="G697" t="s">
        <v>108</v>
      </c>
      <c r="I697" t="str">
        <f t="shared" si="73"/>
        <v>&lt;note time="145.7430" string="0" fret="0" /&gt;</v>
      </c>
      <c r="J697" t="str">
        <f t="shared" si="77"/>
        <v>102.25</v>
      </c>
      <c r="K697" t="s">
        <v>1664</v>
      </c>
    </row>
    <row r="698" spans="1:11" x14ac:dyDescent="0.45">
      <c r="A698" t="str">
        <f t="shared" si="75"/>
        <v>&lt;note time="145.899" string="3" fret="4" /&gt;</v>
      </c>
      <c r="D698" s="3">
        <f t="shared" si="71"/>
        <v>145.899</v>
      </c>
      <c r="E698" s="3">
        <f t="shared" si="72"/>
        <v>116.575</v>
      </c>
      <c r="F698" t="str">
        <f t="shared" si="78"/>
        <v>116.375</v>
      </c>
      <c r="G698" t="s">
        <v>109</v>
      </c>
      <c r="I698" t="str">
        <f t="shared" si="73"/>
        <v>&lt;note time="145.8990" string="0" fret="2" /&gt;</v>
      </c>
      <c r="J698" t="str">
        <f t="shared" si="77"/>
        <v>102.50</v>
      </c>
      <c r="K698" t="s">
        <v>1665</v>
      </c>
    </row>
    <row r="699" spans="1:11" x14ac:dyDescent="0.45">
      <c r="A699" t="str">
        <f t="shared" si="75"/>
        <v>&lt;note time="146.056" string="2" fret="6" /&gt;</v>
      </c>
      <c r="D699" s="3">
        <f t="shared" si="71"/>
        <v>146.05600000000001</v>
      </c>
      <c r="E699" s="3">
        <f t="shared" si="72"/>
        <v>116.7</v>
      </c>
      <c r="F699" t="str">
        <f t="shared" si="78"/>
        <v>116.500</v>
      </c>
      <c r="G699" t="s">
        <v>110</v>
      </c>
      <c r="I699" t="str">
        <f t="shared" si="73"/>
        <v>&lt;note time="146.0560" string="0" fret="2" /&gt;</v>
      </c>
      <c r="J699" t="str">
        <f t="shared" si="77"/>
        <v>102.75</v>
      </c>
      <c r="K699" t="s">
        <v>1666</v>
      </c>
    </row>
    <row r="700" spans="1:11" x14ac:dyDescent="0.45">
      <c r="A700" t="str">
        <f t="shared" si="75"/>
        <v>&lt;note time="146.212" string="2" fret="4" /&gt;</v>
      </c>
      <c r="D700" s="3">
        <f t="shared" si="71"/>
        <v>146.21199999999999</v>
      </c>
      <c r="E700" s="3">
        <f t="shared" si="72"/>
        <v>116.825</v>
      </c>
      <c r="F700" t="str">
        <f t="shared" si="78"/>
        <v>116.625</v>
      </c>
      <c r="G700" t="s">
        <v>111</v>
      </c>
      <c r="I700" t="str">
        <f t="shared" si="73"/>
        <v>&lt;note time="146.2120" string="1" fret="4" sustain="0.500" /&gt;</v>
      </c>
      <c r="J700" t="str">
        <f t="shared" si="77"/>
        <v>103.00</v>
      </c>
      <c r="K700" t="s">
        <v>1667</v>
      </c>
    </row>
    <row r="701" spans="1:11" x14ac:dyDescent="0.45">
      <c r="A701" t="str">
        <f t="shared" si="75"/>
        <v>&lt;note time="146.525" string="2" fret="2" /&gt;</v>
      </c>
      <c r="D701" s="3">
        <f t="shared" si="71"/>
        <v>146.52500000000001</v>
      </c>
      <c r="E701" s="3">
        <f t="shared" si="72"/>
        <v>117.075</v>
      </c>
      <c r="F701" t="str">
        <f t="shared" si="78"/>
        <v>116.875</v>
      </c>
      <c r="G701" t="s">
        <v>112</v>
      </c>
      <c r="I701" t="str">
        <f t="shared" si="73"/>
        <v>&lt;note time="146.5250" string="1" fret="4" /&gt;</v>
      </c>
      <c r="J701" t="str">
        <f t="shared" si="77"/>
        <v>104.00</v>
      </c>
      <c r="K701" t="s">
        <v>1668</v>
      </c>
    </row>
    <row r="702" spans="1:11" x14ac:dyDescent="0.45">
      <c r="A702" t="str">
        <f t="shared" si="75"/>
        <v>&lt;note time="146.682" string="1" fret="2" sustain="2.000" /&gt;</v>
      </c>
      <c r="D702" s="3">
        <f t="shared" si="71"/>
        <v>146.68199999999999</v>
      </c>
      <c r="E702" s="3">
        <f t="shared" si="72"/>
        <v>117.2</v>
      </c>
      <c r="F702" t="str">
        <f t="shared" si="78"/>
        <v>117.000</v>
      </c>
      <c r="G702" t="s">
        <v>113</v>
      </c>
      <c r="I702" t="str">
        <f t="shared" si="73"/>
        <v>&lt;note time="146.6820" string="1" fret="4" /&gt;</v>
      </c>
      <c r="J702" t="str">
        <f t="shared" si="77"/>
        <v>104.25</v>
      </c>
      <c r="K702" t="s">
        <v>1669</v>
      </c>
    </row>
    <row r="703" spans="1:11" x14ac:dyDescent="0.45">
      <c r="A703" t="str">
        <f t="shared" si="75"/>
        <v>&lt;note time="155.759" string="3" fret="6" /&gt;</v>
      </c>
      <c r="D703" s="3">
        <f t="shared" si="71"/>
        <v>155.75899999999999</v>
      </c>
      <c r="E703" s="3">
        <f t="shared" si="72"/>
        <v>124.45</v>
      </c>
      <c r="F703" t="str">
        <f t="shared" si="78"/>
        <v>124.250</v>
      </c>
      <c r="G703" t="s">
        <v>114</v>
      </c>
      <c r="I703" t="str">
        <f t="shared" si="73"/>
        <v>&lt;note time="155.7590" string="1" fret="2" /&gt;</v>
      </c>
      <c r="J703" t="str">
        <f t="shared" si="77"/>
        <v>104.50</v>
      </c>
      <c r="K703" t="s">
        <v>1670</v>
      </c>
    </row>
    <row r="704" spans="1:11" x14ac:dyDescent="0.45">
      <c r="A704" t="str">
        <f t="shared" si="75"/>
        <v>&lt;note time="155.915" string="3" fret="4" /&gt;</v>
      </c>
      <c r="D704" s="3">
        <f t="shared" si="71"/>
        <v>155.91499999999999</v>
      </c>
      <c r="E704" s="3">
        <f t="shared" si="72"/>
        <v>124.575</v>
      </c>
      <c r="F704" t="str">
        <f t="shared" si="78"/>
        <v>124.375</v>
      </c>
      <c r="G704" t="s">
        <v>115</v>
      </c>
      <c r="I704" t="str">
        <f t="shared" si="73"/>
        <v>&lt;note time="155.9150" string="1" fret="2" /&gt;</v>
      </c>
      <c r="J704" t="str">
        <f t="shared" si="77"/>
        <v>104.75</v>
      </c>
      <c r="K704" t="s">
        <v>1671</v>
      </c>
    </row>
    <row r="705" spans="1:11" x14ac:dyDescent="0.45">
      <c r="A705" t="str">
        <f t="shared" si="75"/>
        <v>&lt;note time="156.072" string="2" fret="6" /&gt;</v>
      </c>
      <c r="D705" s="3">
        <f t="shared" si="71"/>
        <v>156.072</v>
      </c>
      <c r="E705" s="3">
        <f t="shared" si="72"/>
        <v>124.7</v>
      </c>
      <c r="F705" t="str">
        <f t="shared" si="78"/>
        <v>124.500</v>
      </c>
      <c r="G705" t="s">
        <v>116</v>
      </c>
      <c r="I705" t="str">
        <f t="shared" si="73"/>
        <v>&lt;note time="156.0720" string="0" fret="0" sustain="0.500" /&gt;</v>
      </c>
      <c r="J705" t="str">
        <f t="shared" si="77"/>
        <v>105.00</v>
      </c>
      <c r="K705" t="s">
        <v>1672</v>
      </c>
    </row>
    <row r="706" spans="1:11" x14ac:dyDescent="0.45">
      <c r="A706" t="str">
        <f t="shared" si="75"/>
        <v>&lt;note time="156.228" string="2" fret="4" /&gt;</v>
      </c>
      <c r="D706" s="3">
        <f t="shared" ref="D706:D769" si="79">ROUNDDOWN(E706-($C$3*(E706-$E$1)/100),3)</f>
        <v>156.22800000000001</v>
      </c>
      <c r="E706" s="3">
        <f t="shared" ref="E706:E769" si="80">0.2+F706</f>
        <v>124.825</v>
      </c>
      <c r="F706" t="str">
        <f t="shared" si="78"/>
        <v>124.625</v>
      </c>
      <c r="G706" t="s">
        <v>117</v>
      </c>
      <c r="I706" t="str">
        <f t="shared" ref="I706:I769" si="81">SUBSTITUTE(K706,J706,TEXT(D706,"0.000"))</f>
        <v>&lt;note time="156.2280" string="0" fret="0" /&gt;</v>
      </c>
      <c r="J706" t="str">
        <f t="shared" si="77"/>
        <v>106.00</v>
      </c>
      <c r="K706" t="s">
        <v>1673</v>
      </c>
    </row>
    <row r="707" spans="1:11" x14ac:dyDescent="0.45">
      <c r="A707" t="str">
        <f t="shared" si="75"/>
        <v>&lt;note time="156.541" string="2" fret="2" /&gt;</v>
      </c>
      <c r="D707" s="3">
        <f t="shared" si="79"/>
        <v>156.541</v>
      </c>
      <c r="E707" s="3">
        <f t="shared" si="80"/>
        <v>125.075</v>
      </c>
      <c r="F707" t="str">
        <f t="shared" si="78"/>
        <v>124.875</v>
      </c>
      <c r="G707" t="s">
        <v>118</v>
      </c>
      <c r="I707" t="str">
        <f t="shared" si="81"/>
        <v>&lt;note time="156.5410" string="0" fret="0" /&gt;</v>
      </c>
      <c r="J707" t="str">
        <f t="shared" si="77"/>
        <v>106.25</v>
      </c>
      <c r="K707" t="s">
        <v>1674</v>
      </c>
    </row>
    <row r="708" spans="1:11" x14ac:dyDescent="0.45">
      <c r="A708" t="str">
        <f t="shared" si="75"/>
        <v>&lt;note time="156.698" string="1" fret="2" sustain="0.997" /&gt;</v>
      </c>
      <c r="D708" s="3">
        <f t="shared" si="79"/>
        <v>156.69800000000001</v>
      </c>
      <c r="E708" s="3">
        <f t="shared" si="80"/>
        <v>125.2</v>
      </c>
      <c r="F708" t="str">
        <f t="shared" si="78"/>
        <v>125.000</v>
      </c>
      <c r="G708" t="s">
        <v>119</v>
      </c>
      <c r="I708" t="str">
        <f t="shared" si="81"/>
        <v>&lt;note time="156.6980" string="0" fret="2" /&gt;</v>
      </c>
      <c r="J708" t="str">
        <f t="shared" si="77"/>
        <v>106.50</v>
      </c>
      <c r="K708" t="s">
        <v>1675</v>
      </c>
    </row>
    <row r="709" spans="1:11" x14ac:dyDescent="0.45">
      <c r="A709" t="str">
        <f t="shared" si="75"/>
        <v>&lt;note time="157.950" string="1" fret="4" sustain="0.997" /&gt;</v>
      </c>
      <c r="D709" s="3">
        <f t="shared" si="79"/>
        <v>157.94999999999999</v>
      </c>
      <c r="E709" s="3">
        <f t="shared" si="80"/>
        <v>126.2</v>
      </c>
      <c r="F709" t="str">
        <f t="shared" si="78"/>
        <v>126.000</v>
      </c>
      <c r="G709" t="s">
        <v>120</v>
      </c>
      <c r="I709" t="str">
        <f t="shared" si="81"/>
        <v>&lt;note time="157.9500" string="0" fret="2" /&gt;</v>
      </c>
      <c r="J709" t="str">
        <f t="shared" si="77"/>
        <v>106.75</v>
      </c>
      <c r="K709" t="s">
        <v>1676</v>
      </c>
    </row>
    <row r="710" spans="1:11" x14ac:dyDescent="0.45">
      <c r="A710" t="str">
        <f t="shared" si="75"/>
        <v>&lt;note time="159.202" string="3" fret="6" /&gt;</v>
      </c>
      <c r="D710" s="3">
        <f t="shared" si="79"/>
        <v>159.202</v>
      </c>
      <c r="E710" s="3">
        <f t="shared" si="80"/>
        <v>127.2</v>
      </c>
      <c r="F710" t="str">
        <f t="shared" si="78"/>
        <v>127.000</v>
      </c>
      <c r="G710" t="s">
        <v>121</v>
      </c>
      <c r="I710" t="str">
        <f t="shared" si="81"/>
        <v>&lt;note time="159.2020" string="1" fret="4" sustain="0.500" /&gt;</v>
      </c>
      <c r="J710" t="str">
        <f t="shared" si="77"/>
        <v>107.00</v>
      </c>
      <c r="K710" t="s">
        <v>1677</v>
      </c>
    </row>
    <row r="711" spans="1:11" x14ac:dyDescent="0.45">
      <c r="A711" t="str">
        <f t="shared" si="75"/>
        <v>&lt;note time="159.358" string="3" fret="4" /&gt;</v>
      </c>
      <c r="D711" s="3">
        <f t="shared" si="79"/>
        <v>159.358</v>
      </c>
      <c r="E711" s="3">
        <f t="shared" si="80"/>
        <v>127.325</v>
      </c>
      <c r="F711" t="str">
        <f t="shared" si="78"/>
        <v>127.125</v>
      </c>
      <c r="G711" t="s">
        <v>122</v>
      </c>
      <c r="I711" t="str">
        <f t="shared" si="81"/>
        <v>&lt;note time="159.3580" string="1" fret="4" /&gt;</v>
      </c>
      <c r="J711" t="str">
        <f t="shared" si="77"/>
        <v>108.00</v>
      </c>
      <c r="K711" t="s">
        <v>1678</v>
      </c>
    </row>
    <row r="712" spans="1:11" x14ac:dyDescent="0.45">
      <c r="A712" t="str">
        <f t="shared" si="75"/>
        <v>&lt;note time="159.515" string="2" fret="6" /&gt;</v>
      </c>
      <c r="D712" s="3">
        <f t="shared" si="79"/>
        <v>159.51499999999999</v>
      </c>
      <c r="E712" s="3">
        <f t="shared" si="80"/>
        <v>127.45</v>
      </c>
      <c r="F712" t="str">
        <f t="shared" si="78"/>
        <v>127.250</v>
      </c>
      <c r="G712" t="s">
        <v>123</v>
      </c>
      <c r="I712" t="str">
        <f t="shared" si="81"/>
        <v>&lt;note time="159.5150" string="1" fret="4" /&gt;</v>
      </c>
      <c r="J712" t="str">
        <f t="shared" si="77"/>
        <v>108.25</v>
      </c>
      <c r="K712" t="s">
        <v>1679</v>
      </c>
    </row>
    <row r="713" spans="1:11" x14ac:dyDescent="0.45">
      <c r="A713" t="str">
        <f t="shared" si="75"/>
        <v>&lt;note time="159.671" string="2" fret="4" /&gt;</v>
      </c>
      <c r="D713" s="3">
        <f t="shared" si="79"/>
        <v>159.67099999999999</v>
      </c>
      <c r="E713" s="3">
        <f t="shared" si="80"/>
        <v>127.575</v>
      </c>
      <c r="F713" t="str">
        <f t="shared" si="78"/>
        <v>127.375</v>
      </c>
      <c r="G713" t="s">
        <v>124</v>
      </c>
      <c r="I713" t="str">
        <f t="shared" si="81"/>
        <v>&lt;note time="159.6710" string="1" fret="2" /&gt;</v>
      </c>
      <c r="J713" t="str">
        <f t="shared" si="77"/>
        <v>108.50</v>
      </c>
      <c r="K713" t="s">
        <v>1680</v>
      </c>
    </row>
    <row r="714" spans="1:11" x14ac:dyDescent="0.45">
      <c r="A714" t="str">
        <f t="shared" si="75"/>
        <v>&lt;note time="159.828" string="1" fret="6" palmMute="1" /&gt;</v>
      </c>
      <c r="D714" s="3">
        <f t="shared" si="79"/>
        <v>159.828</v>
      </c>
      <c r="E714" s="3">
        <f t="shared" si="80"/>
        <v>127.7</v>
      </c>
      <c r="F714" t="str">
        <f t="shared" si="78"/>
        <v>127.500</v>
      </c>
      <c r="G714" t="s">
        <v>125</v>
      </c>
      <c r="I714" t="str">
        <f t="shared" si="81"/>
        <v>&lt;note time="159.8280" string="1" fret="2" /&gt;</v>
      </c>
      <c r="J714" t="str">
        <f t="shared" si="77"/>
        <v>108.75</v>
      </c>
      <c r="K714" t="s">
        <v>1681</v>
      </c>
    </row>
    <row r="715" spans="1:11" x14ac:dyDescent="0.45">
      <c r="A715" t="str">
        <f t="shared" si="75"/>
        <v>&lt;note time="159.984" string="1" fret="7" palmMute="1" /&gt;</v>
      </c>
      <c r="D715" s="3">
        <f t="shared" si="79"/>
        <v>159.98400000000001</v>
      </c>
      <c r="E715" s="3">
        <f t="shared" si="80"/>
        <v>127.825</v>
      </c>
      <c r="F715" t="str">
        <f t="shared" si="78"/>
        <v>127.625</v>
      </c>
      <c r="G715" t="s">
        <v>126</v>
      </c>
      <c r="I715" t="str">
        <f t="shared" si="81"/>
        <v>&lt;note time="159.9840" string="0" fret="0" sustain="0.500" /&gt;</v>
      </c>
      <c r="J715" t="str">
        <f t="shared" si="77"/>
        <v>109.00</v>
      </c>
      <c r="K715" t="s">
        <v>1682</v>
      </c>
    </row>
    <row r="716" spans="1:11" x14ac:dyDescent="0.45">
      <c r="A716" t="str">
        <f t="shared" si="75"/>
        <v>&lt;note time="160.141" string="1" fret="6" palmMute="1" /&gt;</v>
      </c>
      <c r="D716" s="3">
        <f t="shared" si="79"/>
        <v>160.14099999999999</v>
      </c>
      <c r="E716" s="3">
        <f t="shared" si="80"/>
        <v>127.95</v>
      </c>
      <c r="F716" t="str">
        <f t="shared" si="78"/>
        <v>127.750</v>
      </c>
      <c r="G716" t="s">
        <v>127</v>
      </c>
      <c r="I716" t="str">
        <f t="shared" si="81"/>
        <v>&lt;note time="160.1410" string="0" fret="0" /&gt;</v>
      </c>
      <c r="J716" t="str">
        <f t="shared" si="77"/>
        <v>110.00</v>
      </c>
      <c r="K716" t="s">
        <v>1683</v>
      </c>
    </row>
    <row r="717" spans="1:11" x14ac:dyDescent="0.45">
      <c r="A717" t="str">
        <f t="shared" si="75"/>
        <v>&lt;note time="160.297" string="0" fret="7" palmMute="1" /&gt;</v>
      </c>
      <c r="D717" s="3">
        <f t="shared" si="79"/>
        <v>160.297</v>
      </c>
      <c r="E717" s="3">
        <f t="shared" si="80"/>
        <v>128.07499999999999</v>
      </c>
      <c r="F717" t="str">
        <f t="shared" si="78"/>
        <v>127.875</v>
      </c>
      <c r="G717" t="s">
        <v>128</v>
      </c>
      <c r="I717" t="str">
        <f t="shared" si="81"/>
        <v>&lt;note time="160.2970" string="0" fret="0" /&gt;</v>
      </c>
      <c r="J717" t="str">
        <f t="shared" si="77"/>
        <v>110.25</v>
      </c>
      <c r="K717" t="s">
        <v>1684</v>
      </c>
    </row>
    <row r="718" spans="1:11" x14ac:dyDescent="0.45">
      <c r="A718" t="str">
        <f t="shared" si="75"/>
        <v>&lt;note time="160.454" string="1" fret="4" palmMute="1" /&gt;</v>
      </c>
      <c r="D718" s="3">
        <f t="shared" si="79"/>
        <v>160.45400000000001</v>
      </c>
      <c r="E718" s="3">
        <f t="shared" si="80"/>
        <v>128.19999999999999</v>
      </c>
      <c r="F718" t="str">
        <f t="shared" si="78"/>
        <v>128.000</v>
      </c>
      <c r="G718" t="s">
        <v>129</v>
      </c>
      <c r="I718" t="str">
        <f t="shared" si="81"/>
        <v>&lt;note time="160.4540" string="0" fret="2" /&gt;</v>
      </c>
      <c r="J718" t="str">
        <f t="shared" si="77"/>
        <v>110.50</v>
      </c>
      <c r="K718" t="s">
        <v>1685</v>
      </c>
    </row>
    <row r="719" spans="1:11" x14ac:dyDescent="0.45">
      <c r="A719" t="str">
        <f t="shared" si="75"/>
        <v>&lt;note time="160.610" string="1" fret="7" palmMute="1" /&gt;</v>
      </c>
      <c r="D719" s="3">
        <f t="shared" si="79"/>
        <v>160.61000000000001</v>
      </c>
      <c r="E719" s="3">
        <f t="shared" si="80"/>
        <v>128.32499999999999</v>
      </c>
      <c r="F719" t="str">
        <f t="shared" si="78"/>
        <v>128.125</v>
      </c>
      <c r="G719" t="s">
        <v>130</v>
      </c>
      <c r="I719" t="str">
        <f t="shared" si="81"/>
        <v>&lt;note time="160.6100" string="0" fret="2" /&gt;</v>
      </c>
      <c r="J719" t="str">
        <f t="shared" si="77"/>
        <v>110.75</v>
      </c>
      <c r="K719" t="s">
        <v>1686</v>
      </c>
    </row>
    <row r="720" spans="1:11" x14ac:dyDescent="0.45">
      <c r="A720" t="str">
        <f t="shared" si="75"/>
        <v>&lt;note time="160.767" string="1" fret="4" palmMute="1" /&gt;</v>
      </c>
      <c r="D720" s="3">
        <f t="shared" si="79"/>
        <v>160.767</v>
      </c>
      <c r="E720" s="3">
        <f t="shared" si="80"/>
        <v>128.44999999999999</v>
      </c>
      <c r="F720" t="str">
        <f t="shared" si="78"/>
        <v>128.250</v>
      </c>
      <c r="G720" t="s">
        <v>131</v>
      </c>
      <c r="I720" t="str">
        <f t="shared" si="81"/>
        <v>&lt;note time="160.7670" string="1" fret="4" sustain="1.997" /&gt;</v>
      </c>
      <c r="J720" t="str">
        <f t="shared" si="77"/>
        <v>111.00</v>
      </c>
      <c r="K720" t="s">
        <v>1687</v>
      </c>
    </row>
    <row r="721" spans="1:11" x14ac:dyDescent="0.45">
      <c r="A721" t="str">
        <f t="shared" si="75"/>
        <v>&lt;note time="160.923" string="0" fret="7" palmMute="1" /&gt;</v>
      </c>
      <c r="D721" s="3">
        <f t="shared" si="79"/>
        <v>160.923</v>
      </c>
      <c r="E721" s="3">
        <f t="shared" si="80"/>
        <v>128.57499999999999</v>
      </c>
      <c r="F721" t="str">
        <f t="shared" si="78"/>
        <v>128.375</v>
      </c>
      <c r="G721" t="s">
        <v>132</v>
      </c>
      <c r="I721" t="str">
        <f t="shared" si="81"/>
        <v>&lt;note time="160.9230" string="1" fret="2" sustain="1.997" /&gt;</v>
      </c>
      <c r="J721" t="str">
        <f t="shared" si="77"/>
        <v>113.00</v>
      </c>
      <c r="K721" t="s">
        <v>1688</v>
      </c>
    </row>
    <row r="722" spans="1:11" x14ac:dyDescent="0.45">
      <c r="A722" t="str">
        <f t="shared" ref="A722:A785" si="82">SUBSTITUTE(G722,F722,TEXT(D722,"0.000"))</f>
        <v>&lt;note time="161.080" string="1" fret="4" sustain="0.497" vibrato="80" /&gt;</v>
      </c>
      <c r="D722" s="3">
        <f t="shared" si="79"/>
        <v>161.08000000000001</v>
      </c>
      <c r="E722" s="3">
        <f t="shared" si="80"/>
        <v>128.69999999999999</v>
      </c>
      <c r="F722" t="str">
        <f t="shared" si="78"/>
        <v>128.500</v>
      </c>
      <c r="G722" t="s">
        <v>133</v>
      </c>
      <c r="I722" t="str">
        <f t="shared" si="81"/>
        <v>&lt;note time="161.0800" string="0" fret="0" /&gt;</v>
      </c>
      <c r="J722" t="str">
        <f t="shared" si="77"/>
        <v>115.00</v>
      </c>
      <c r="K722" t="s">
        <v>1689</v>
      </c>
    </row>
    <row r="723" spans="1:11" x14ac:dyDescent="0.45">
      <c r="A723" t="str">
        <f t="shared" si="82"/>
        <v>&lt;note time="161.706" string="3" fret="6" /&gt;</v>
      </c>
      <c r="D723" s="3">
        <f t="shared" si="79"/>
        <v>161.70599999999999</v>
      </c>
      <c r="E723" s="3">
        <f t="shared" si="80"/>
        <v>129.19999999999999</v>
      </c>
      <c r="F723" t="str">
        <f t="shared" si="78"/>
        <v>129.000</v>
      </c>
      <c r="G723" t="s">
        <v>134</v>
      </c>
      <c r="I723" t="str">
        <f t="shared" si="81"/>
        <v>&lt;note time="161.7060" string="0" fret="0" /&gt;</v>
      </c>
      <c r="J723" t="str">
        <f t="shared" si="77"/>
        <v>115.25</v>
      </c>
      <c r="K723" t="s">
        <v>1690</v>
      </c>
    </row>
    <row r="724" spans="1:11" x14ac:dyDescent="0.45">
      <c r="A724" t="str">
        <f t="shared" si="82"/>
        <v>&lt;note time="161.862" string="3" fret="4" /&gt;</v>
      </c>
      <c r="D724" s="3">
        <f t="shared" si="79"/>
        <v>161.86199999999999</v>
      </c>
      <c r="E724" s="3">
        <f t="shared" si="80"/>
        <v>129.32499999999999</v>
      </c>
      <c r="F724" t="str">
        <f t="shared" si="78"/>
        <v>129.125</v>
      </c>
      <c r="G724" t="s">
        <v>135</v>
      </c>
      <c r="I724" t="str">
        <f t="shared" si="81"/>
        <v>&lt;note time="161.8620" string="0" fret="0" /&gt;</v>
      </c>
      <c r="J724" t="str">
        <f t="shared" si="77"/>
        <v>115.50</v>
      </c>
      <c r="K724" t="s">
        <v>1691</v>
      </c>
    </row>
    <row r="725" spans="1:11" x14ac:dyDescent="0.45">
      <c r="A725" t="str">
        <f t="shared" si="82"/>
        <v>&lt;note time="162.019" string="2" fret="6" /&gt;</v>
      </c>
      <c r="D725" s="3">
        <f t="shared" si="79"/>
        <v>162.01900000000001</v>
      </c>
      <c r="E725" s="3">
        <f t="shared" si="80"/>
        <v>129.44999999999999</v>
      </c>
      <c r="F725" t="str">
        <f t="shared" si="78"/>
        <v>129.250</v>
      </c>
      <c r="G725" t="s">
        <v>136</v>
      </c>
      <c r="I725" t="str">
        <f t="shared" si="81"/>
        <v>&lt;note time="162.0190" string="0" fret="0" /&gt;</v>
      </c>
      <c r="J725" t="str">
        <f t="shared" si="77"/>
        <v>115.75</v>
      </c>
      <c r="K725" t="s">
        <v>1692</v>
      </c>
    </row>
    <row r="726" spans="1:11" x14ac:dyDescent="0.45">
      <c r="A726" t="str">
        <f t="shared" si="82"/>
        <v>&lt;note time="162.175" string="2" fret="4" /&gt;</v>
      </c>
      <c r="D726" s="3">
        <f t="shared" si="79"/>
        <v>162.17500000000001</v>
      </c>
      <c r="E726" s="3">
        <f t="shared" si="80"/>
        <v>129.57499999999999</v>
      </c>
      <c r="F726" t="str">
        <f t="shared" si="78"/>
        <v>129.375</v>
      </c>
      <c r="G726" t="s">
        <v>137</v>
      </c>
      <c r="I726" t="str">
        <f t="shared" si="81"/>
        <v>&lt;note time="162.1750" string="0" fret="0" /&gt;</v>
      </c>
      <c r="J726" t="str">
        <f t="shared" si="77"/>
        <v>116.00</v>
      </c>
      <c r="K726" t="s">
        <v>1693</v>
      </c>
    </row>
    <row r="727" spans="1:11" x14ac:dyDescent="0.45">
      <c r="A727" t="str">
        <f t="shared" si="82"/>
        <v>&lt;note time="162.332" string="1" fret="6" palmMute="1" /&gt;</v>
      </c>
      <c r="D727" s="3">
        <f t="shared" si="79"/>
        <v>162.33199999999999</v>
      </c>
      <c r="E727" s="3">
        <f t="shared" si="80"/>
        <v>129.69999999999999</v>
      </c>
      <c r="F727" t="str">
        <f t="shared" si="78"/>
        <v>129.500</v>
      </c>
      <c r="G727" t="s">
        <v>138</v>
      </c>
      <c r="I727" t="str">
        <f t="shared" si="81"/>
        <v>&lt;note time="162.3320" string="0" fret="0" /&gt;</v>
      </c>
      <c r="J727" t="str">
        <f t="shared" si="77"/>
        <v>116.25</v>
      </c>
      <c r="K727" t="s">
        <v>1694</v>
      </c>
    </row>
    <row r="728" spans="1:11" x14ac:dyDescent="0.45">
      <c r="A728" t="str">
        <f t="shared" si="82"/>
        <v>&lt;note time="162.488" string="1" fret="7" palmMute="1" /&gt;</v>
      </c>
      <c r="D728" s="3">
        <f t="shared" si="79"/>
        <v>162.488</v>
      </c>
      <c r="E728" s="3">
        <f t="shared" si="80"/>
        <v>129.82499999999999</v>
      </c>
      <c r="F728" t="str">
        <f t="shared" si="78"/>
        <v>129.625</v>
      </c>
      <c r="G728" t="s">
        <v>139</v>
      </c>
      <c r="I728" t="str">
        <f t="shared" si="81"/>
        <v>&lt;note time="162.4880" string="0" fret="0" /&gt;</v>
      </c>
      <c r="J728" t="str">
        <f t="shared" si="77"/>
        <v>116.50</v>
      </c>
      <c r="K728" t="s">
        <v>1695</v>
      </c>
    </row>
    <row r="729" spans="1:11" x14ac:dyDescent="0.45">
      <c r="A729" t="str">
        <f t="shared" si="82"/>
        <v>&lt;note time="162.645" string="1" fret="6" palmMute="1" /&gt;</v>
      </c>
      <c r="D729" s="3">
        <f t="shared" si="79"/>
        <v>162.64500000000001</v>
      </c>
      <c r="E729" s="3">
        <f t="shared" si="80"/>
        <v>129.94999999999999</v>
      </c>
      <c r="F729" t="str">
        <f t="shared" ref="F729:F760" si="83">RIGHT(LEFT(G729,19),7)</f>
        <v>129.750</v>
      </c>
      <c r="G729" t="s">
        <v>140</v>
      </c>
      <c r="I729" t="str">
        <f t="shared" si="81"/>
        <v>&lt;note time="162.6450" string="0" fret="0" /&gt;</v>
      </c>
      <c r="J729" t="str">
        <f t="shared" si="77"/>
        <v>116.75</v>
      </c>
      <c r="K729" t="s">
        <v>1696</v>
      </c>
    </row>
    <row r="730" spans="1:11" x14ac:dyDescent="0.45">
      <c r="A730" t="str">
        <f t="shared" si="82"/>
        <v>&lt;note time="162.801" string="0" fret="7" palmMute="1" /&gt;</v>
      </c>
      <c r="D730" s="3">
        <f t="shared" si="79"/>
        <v>162.80099999999999</v>
      </c>
      <c r="E730" s="3">
        <f t="shared" si="80"/>
        <v>130.07499999999999</v>
      </c>
      <c r="F730" t="str">
        <f t="shared" si="83"/>
        <v>129.875</v>
      </c>
      <c r="G730" t="s">
        <v>141</v>
      </c>
      <c r="I730" t="str">
        <f t="shared" si="81"/>
        <v>&lt;note time="162.8010" string="0" fret="0" /&gt;</v>
      </c>
      <c r="J730" t="str">
        <f t="shared" si="77"/>
        <v>117.00</v>
      </c>
      <c r="K730" t="s">
        <v>1697</v>
      </c>
    </row>
    <row r="731" spans="1:11" x14ac:dyDescent="0.45">
      <c r="A731" t="str">
        <f t="shared" si="82"/>
        <v>&lt;note time="162.958" string="1" fret="4" palmMute="1" /&gt;</v>
      </c>
      <c r="D731" s="3">
        <f t="shared" si="79"/>
        <v>162.958</v>
      </c>
      <c r="E731" s="3">
        <f t="shared" si="80"/>
        <v>130.19999999999999</v>
      </c>
      <c r="F731" t="str">
        <f t="shared" si="83"/>
        <v>130.000</v>
      </c>
      <c r="G731" t="s">
        <v>142</v>
      </c>
      <c r="I731" t="str">
        <f t="shared" si="81"/>
        <v>&lt;note time="162.9580" string="0" fret="0" /&gt;</v>
      </c>
      <c r="J731" t="str">
        <f t="shared" si="77"/>
        <v>117.25</v>
      </c>
      <c r="K731" t="s">
        <v>1698</v>
      </c>
    </row>
    <row r="732" spans="1:11" x14ac:dyDescent="0.45">
      <c r="A732" t="str">
        <f t="shared" si="82"/>
        <v>&lt;note time="163.114" string="1" fret="7" palmMute="1" /&gt;</v>
      </c>
      <c r="D732" s="3">
        <f t="shared" si="79"/>
        <v>163.114</v>
      </c>
      <c r="E732" s="3">
        <f t="shared" si="80"/>
        <v>130.32499999999999</v>
      </c>
      <c r="F732" t="str">
        <f t="shared" si="83"/>
        <v>130.125</v>
      </c>
      <c r="G732" t="s">
        <v>143</v>
      </c>
      <c r="I732" t="str">
        <f t="shared" si="81"/>
        <v>&lt;note time="163.1140" string="0" fret="0" /&gt;</v>
      </c>
      <c r="J732" t="str">
        <f t="shared" si="77"/>
        <v>117.50</v>
      </c>
      <c r="K732" t="s">
        <v>1699</v>
      </c>
    </row>
    <row r="733" spans="1:11" x14ac:dyDescent="0.45">
      <c r="A733" t="str">
        <f t="shared" si="82"/>
        <v>&lt;note time="163.271" string="1" fret="4" palmMute="1" /&gt;</v>
      </c>
      <c r="D733" s="3">
        <f t="shared" si="79"/>
        <v>163.27099999999999</v>
      </c>
      <c r="E733" s="3">
        <f t="shared" si="80"/>
        <v>130.44999999999999</v>
      </c>
      <c r="F733" t="str">
        <f t="shared" si="83"/>
        <v>130.250</v>
      </c>
      <c r="G733" t="s">
        <v>144</v>
      </c>
      <c r="I733" t="str">
        <f t="shared" si="81"/>
        <v>&lt;note time="163.2710" string="0" fret="0" /&gt;</v>
      </c>
      <c r="J733" t="str">
        <f t="shared" si="77"/>
        <v>117.75</v>
      </c>
      <c r="K733" t="s">
        <v>1700</v>
      </c>
    </row>
    <row r="734" spans="1:11" x14ac:dyDescent="0.45">
      <c r="A734" t="str">
        <f t="shared" si="82"/>
        <v>&lt;note time="163.427" string="0" fret="7" palmMute="1" /&gt;</v>
      </c>
      <c r="D734" s="3">
        <f t="shared" si="79"/>
        <v>163.42699999999999</v>
      </c>
      <c r="E734" s="3">
        <f t="shared" si="80"/>
        <v>130.57499999999999</v>
      </c>
      <c r="F734" t="str">
        <f t="shared" si="83"/>
        <v>130.375</v>
      </c>
      <c r="G734" t="s">
        <v>145</v>
      </c>
      <c r="I734" t="str">
        <f t="shared" si="81"/>
        <v>&lt;note time="163.4270" string="0" fret="0" /&gt;</v>
      </c>
      <c r="J734" t="str">
        <f t="shared" si="77"/>
        <v>118.00</v>
      </c>
      <c r="K734" t="s">
        <v>1701</v>
      </c>
    </row>
    <row r="735" spans="1:11" x14ac:dyDescent="0.45">
      <c r="A735" t="str">
        <f t="shared" si="82"/>
        <v>&lt;note time="163.584" string="1" fret="4" sustain="0.497" vibrato="80" /&gt;</v>
      </c>
      <c r="D735" s="3">
        <f t="shared" si="79"/>
        <v>163.584</v>
      </c>
      <c r="E735" s="3">
        <f t="shared" si="80"/>
        <v>130.69999999999999</v>
      </c>
      <c r="F735" t="str">
        <f t="shared" si="83"/>
        <v>130.500</v>
      </c>
      <c r="G735" t="s">
        <v>146</v>
      </c>
      <c r="I735" t="str">
        <f t="shared" si="81"/>
        <v>&lt;note time="163.5840" string="0" fret="0" /&gt;</v>
      </c>
      <c r="J735" t="str">
        <f t="shared" si="77"/>
        <v>118.25</v>
      </c>
      <c r="K735" t="s">
        <v>1702</v>
      </c>
    </row>
    <row r="736" spans="1:11" x14ac:dyDescent="0.45">
      <c r="A736" t="str">
        <f t="shared" si="82"/>
        <v>&lt;note time="164.210" string="3" fret="6" /&gt;</v>
      </c>
      <c r="D736" s="3">
        <f t="shared" si="79"/>
        <v>164.21</v>
      </c>
      <c r="E736" s="3">
        <f t="shared" si="80"/>
        <v>131.19999999999999</v>
      </c>
      <c r="F736" t="str">
        <f t="shared" si="83"/>
        <v>131.000</v>
      </c>
      <c r="G736" t="s">
        <v>147</v>
      </c>
      <c r="I736" t="str">
        <f t="shared" si="81"/>
        <v>&lt;note time="164.2100" string="0" fret="0" /&gt;</v>
      </c>
      <c r="J736" t="str">
        <f t="shared" si="77"/>
        <v>118.50</v>
      </c>
      <c r="K736" t="s">
        <v>1703</v>
      </c>
    </row>
    <row r="737" spans="1:11" x14ac:dyDescent="0.45">
      <c r="A737" t="str">
        <f t="shared" si="82"/>
        <v>&lt;note time="164.366" string="3" fret="4" /&gt;</v>
      </c>
      <c r="D737" s="3">
        <f t="shared" si="79"/>
        <v>164.36600000000001</v>
      </c>
      <c r="E737" s="3">
        <f t="shared" si="80"/>
        <v>131.32499999999999</v>
      </c>
      <c r="F737" t="str">
        <f t="shared" si="83"/>
        <v>131.125</v>
      </c>
      <c r="G737" t="s">
        <v>148</v>
      </c>
      <c r="I737" t="str">
        <f t="shared" si="81"/>
        <v>&lt;note time="164.3660" string="0" fret="0" /&gt;</v>
      </c>
      <c r="J737" t="str">
        <f t="shared" si="77"/>
        <v>118.75</v>
      </c>
      <c r="K737" t="s">
        <v>1704</v>
      </c>
    </row>
    <row r="738" spans="1:11" x14ac:dyDescent="0.45">
      <c r="A738" t="str">
        <f t="shared" si="82"/>
        <v>&lt;note time="164.523" string="2" fret="6" /&gt;</v>
      </c>
      <c r="D738" s="3">
        <f t="shared" si="79"/>
        <v>164.523</v>
      </c>
      <c r="E738" s="3">
        <f t="shared" si="80"/>
        <v>131.44999999999999</v>
      </c>
      <c r="F738" t="str">
        <f t="shared" si="83"/>
        <v>131.250</v>
      </c>
      <c r="G738" t="s">
        <v>149</v>
      </c>
      <c r="I738" t="str">
        <f t="shared" si="81"/>
        <v>&lt;note time="164.5230" string="1" fret="4" /&gt;</v>
      </c>
      <c r="J738" t="str">
        <f t="shared" si="77"/>
        <v>119.00</v>
      </c>
      <c r="K738" t="s">
        <v>1705</v>
      </c>
    </row>
    <row r="739" spans="1:11" x14ac:dyDescent="0.45">
      <c r="A739" t="str">
        <f t="shared" si="82"/>
        <v>&lt;note time="164.679" string="2" fret="4" /&gt;</v>
      </c>
      <c r="D739" s="3">
        <f t="shared" si="79"/>
        <v>164.679</v>
      </c>
      <c r="E739" s="3">
        <f t="shared" si="80"/>
        <v>131.57499999999999</v>
      </c>
      <c r="F739" t="str">
        <f t="shared" si="83"/>
        <v>131.375</v>
      </c>
      <c r="G739" t="s">
        <v>150</v>
      </c>
      <c r="I739" t="str">
        <f t="shared" si="81"/>
        <v>&lt;note time="164.6790" string="1" fret="4" /&gt;</v>
      </c>
      <c r="J739" t="str">
        <f t="shared" si="77"/>
        <v>119.25</v>
      </c>
      <c r="K739" t="s">
        <v>1706</v>
      </c>
    </row>
    <row r="740" spans="1:11" x14ac:dyDescent="0.45">
      <c r="A740" t="str">
        <f t="shared" si="82"/>
        <v>&lt;note time="164.836" string="1" fret="6" palmMute="1" /&gt;</v>
      </c>
      <c r="D740" s="3">
        <f t="shared" si="79"/>
        <v>164.83600000000001</v>
      </c>
      <c r="E740" s="3">
        <f t="shared" si="80"/>
        <v>131.69999999999999</v>
      </c>
      <c r="F740" t="str">
        <f t="shared" si="83"/>
        <v>131.500</v>
      </c>
      <c r="G740" t="s">
        <v>151</v>
      </c>
      <c r="I740" t="str">
        <f t="shared" si="81"/>
        <v>&lt;note time="164.8360" string="1" fret="4" /&gt;</v>
      </c>
      <c r="J740" t="str">
        <f t="shared" ref="J740:J803" si="84">RIGHT(LEFT(K740,18),6)</f>
        <v>119.50</v>
      </c>
      <c r="K740" t="s">
        <v>1707</v>
      </c>
    </row>
    <row r="741" spans="1:11" x14ac:dyDescent="0.45">
      <c r="A741" t="str">
        <f t="shared" si="82"/>
        <v>&lt;note time="164.992" string="1" fret="7" palmMute="1" /&gt;</v>
      </c>
      <c r="D741" s="3">
        <f t="shared" si="79"/>
        <v>164.99199999999999</v>
      </c>
      <c r="E741" s="3">
        <f t="shared" si="80"/>
        <v>131.82499999999999</v>
      </c>
      <c r="F741" t="str">
        <f t="shared" si="83"/>
        <v>131.625</v>
      </c>
      <c r="G741" t="s">
        <v>152</v>
      </c>
      <c r="I741" t="str">
        <f t="shared" si="81"/>
        <v>&lt;note time="164.9920" string="1" fret="4" /&gt;</v>
      </c>
      <c r="J741" t="str">
        <f t="shared" si="84"/>
        <v>119.75</v>
      </c>
      <c r="K741" t="s">
        <v>1708</v>
      </c>
    </row>
    <row r="742" spans="1:11" x14ac:dyDescent="0.45">
      <c r="A742" t="str">
        <f t="shared" si="82"/>
        <v>&lt;note time="165.149" string="1" fret="6" palmMute="1" /&gt;</v>
      </c>
      <c r="D742" s="3">
        <f t="shared" si="79"/>
        <v>165.149</v>
      </c>
      <c r="E742" s="3">
        <f t="shared" si="80"/>
        <v>131.94999999999999</v>
      </c>
      <c r="F742" t="str">
        <f t="shared" si="83"/>
        <v>131.750</v>
      </c>
      <c r="G742" t="s">
        <v>153</v>
      </c>
      <c r="I742" t="str">
        <f t="shared" si="81"/>
        <v>&lt;note time="165.1490" string="1" fret="4" /&gt;</v>
      </c>
      <c r="J742" t="str">
        <f t="shared" si="84"/>
        <v>120.00</v>
      </c>
      <c r="K742" t="s">
        <v>1709</v>
      </c>
    </row>
    <row r="743" spans="1:11" x14ac:dyDescent="0.45">
      <c r="A743" t="str">
        <f t="shared" si="82"/>
        <v>&lt;note time="165.305" string="0" fret="7" palmMute="1" /&gt;</v>
      </c>
      <c r="D743" s="3">
        <f t="shared" si="79"/>
        <v>165.30500000000001</v>
      </c>
      <c r="E743" s="3">
        <f t="shared" si="80"/>
        <v>132.07499999999999</v>
      </c>
      <c r="F743" t="str">
        <f t="shared" si="83"/>
        <v>131.875</v>
      </c>
      <c r="G743" t="s">
        <v>154</v>
      </c>
      <c r="I743" t="str">
        <f t="shared" si="81"/>
        <v>&lt;note time="165.3050" string="1" fret="4" /&gt;</v>
      </c>
      <c r="J743" t="str">
        <f t="shared" si="84"/>
        <v>120.25</v>
      </c>
      <c r="K743" t="s">
        <v>1710</v>
      </c>
    </row>
    <row r="744" spans="1:11" x14ac:dyDescent="0.45">
      <c r="A744" t="str">
        <f t="shared" si="82"/>
        <v>&lt;note time="165.462" string="1" fret="4" palmMute="1" /&gt;</v>
      </c>
      <c r="D744" s="3">
        <f t="shared" si="79"/>
        <v>165.46199999999999</v>
      </c>
      <c r="E744" s="3">
        <f t="shared" si="80"/>
        <v>132.19999999999999</v>
      </c>
      <c r="F744" t="str">
        <f t="shared" si="83"/>
        <v>132.000</v>
      </c>
      <c r="G744" t="s">
        <v>155</v>
      </c>
      <c r="I744" t="str">
        <f t="shared" si="81"/>
        <v>&lt;note time="165.4620" string="1" fret="4" /&gt;</v>
      </c>
      <c r="J744" t="str">
        <f t="shared" si="84"/>
        <v>120.50</v>
      </c>
      <c r="K744" t="s">
        <v>1711</v>
      </c>
    </row>
    <row r="745" spans="1:11" x14ac:dyDescent="0.45">
      <c r="A745" t="str">
        <f t="shared" si="82"/>
        <v>&lt;note time="165.618" string="1" fret="7" palmMute="1" /&gt;</v>
      </c>
      <c r="D745" s="3">
        <f t="shared" si="79"/>
        <v>165.61799999999999</v>
      </c>
      <c r="E745" s="3">
        <f t="shared" si="80"/>
        <v>132.32499999999999</v>
      </c>
      <c r="F745" t="str">
        <f t="shared" si="83"/>
        <v>132.125</v>
      </c>
      <c r="G745" t="s">
        <v>156</v>
      </c>
      <c r="I745" t="str">
        <f t="shared" si="81"/>
        <v>&lt;note time="165.6180" string="1" fret="4" /&gt;</v>
      </c>
      <c r="J745" t="str">
        <f t="shared" si="84"/>
        <v>120.75</v>
      </c>
      <c r="K745" t="s">
        <v>1712</v>
      </c>
    </row>
    <row r="746" spans="1:11" x14ac:dyDescent="0.45">
      <c r="A746" t="str">
        <f t="shared" si="82"/>
        <v>&lt;note time="165.775" string="1" fret="4" palmMute="1" /&gt;</v>
      </c>
      <c r="D746" s="3">
        <f t="shared" si="79"/>
        <v>165.77500000000001</v>
      </c>
      <c r="E746" s="3">
        <f t="shared" si="80"/>
        <v>132.44999999999999</v>
      </c>
      <c r="F746" t="str">
        <f t="shared" si="83"/>
        <v>132.250</v>
      </c>
      <c r="G746" t="s">
        <v>157</v>
      </c>
      <c r="I746" t="str">
        <f t="shared" si="81"/>
        <v>&lt;note time="165.7750" string="1" fret="2" /&gt;</v>
      </c>
      <c r="J746" t="str">
        <f t="shared" si="84"/>
        <v>121.00</v>
      </c>
      <c r="K746" t="s">
        <v>1713</v>
      </c>
    </row>
    <row r="747" spans="1:11" x14ac:dyDescent="0.45">
      <c r="A747" t="str">
        <f t="shared" si="82"/>
        <v>&lt;note time="165.931" string="0" fret="7" palmMute="1" /&gt;</v>
      </c>
      <c r="D747" s="3">
        <f t="shared" si="79"/>
        <v>165.93100000000001</v>
      </c>
      <c r="E747" s="3">
        <f t="shared" si="80"/>
        <v>132.57499999999999</v>
      </c>
      <c r="F747" t="str">
        <f t="shared" si="83"/>
        <v>132.375</v>
      </c>
      <c r="G747" t="s">
        <v>158</v>
      </c>
      <c r="I747" t="str">
        <f t="shared" si="81"/>
        <v>&lt;note time="165.9310" string="1" fret="2" /&gt;</v>
      </c>
      <c r="J747" t="str">
        <f t="shared" si="84"/>
        <v>121.25</v>
      </c>
      <c r="K747" t="s">
        <v>1714</v>
      </c>
    </row>
    <row r="748" spans="1:11" x14ac:dyDescent="0.45">
      <c r="A748" t="str">
        <f t="shared" si="82"/>
        <v>&lt;note time="166.088" string="1" fret="4" sustain="0.497" vibrato="80" /&gt;</v>
      </c>
      <c r="D748" s="3">
        <f t="shared" si="79"/>
        <v>166.08799999999999</v>
      </c>
      <c r="E748" s="3">
        <f t="shared" si="80"/>
        <v>132.69999999999999</v>
      </c>
      <c r="F748" t="str">
        <f t="shared" si="83"/>
        <v>132.500</v>
      </c>
      <c r="G748" t="s">
        <v>159</v>
      </c>
      <c r="I748" t="str">
        <f t="shared" si="81"/>
        <v>&lt;note time="166.0880" string="1" fret="2" /&gt;</v>
      </c>
      <c r="J748" t="str">
        <f t="shared" si="84"/>
        <v>121.50</v>
      </c>
      <c r="K748" t="s">
        <v>1715</v>
      </c>
    </row>
    <row r="749" spans="1:11" x14ac:dyDescent="0.45">
      <c r="A749" t="str">
        <f t="shared" si="82"/>
        <v>&lt;note time="166.714" string="3" fret="6" /&gt;</v>
      </c>
      <c r="D749" s="3">
        <f t="shared" si="79"/>
        <v>166.714</v>
      </c>
      <c r="E749" s="3">
        <f t="shared" si="80"/>
        <v>133.19999999999999</v>
      </c>
      <c r="F749" t="str">
        <f t="shared" si="83"/>
        <v>133.000</v>
      </c>
      <c r="G749" t="s">
        <v>160</v>
      </c>
      <c r="I749" t="str">
        <f t="shared" si="81"/>
        <v>&lt;note time="166.7140" string="1" fret="2" /&gt;</v>
      </c>
      <c r="J749" t="str">
        <f t="shared" si="84"/>
        <v>121.75</v>
      </c>
      <c r="K749" t="s">
        <v>1716</v>
      </c>
    </row>
    <row r="750" spans="1:11" x14ac:dyDescent="0.45">
      <c r="A750" t="str">
        <f t="shared" si="82"/>
        <v>&lt;note time="166.870" string="3" fret="4" /&gt;</v>
      </c>
      <c r="D750" s="3">
        <f t="shared" si="79"/>
        <v>166.87</v>
      </c>
      <c r="E750" s="3">
        <f t="shared" si="80"/>
        <v>133.32499999999999</v>
      </c>
      <c r="F750" t="str">
        <f t="shared" si="83"/>
        <v>133.125</v>
      </c>
      <c r="G750" t="s">
        <v>161</v>
      </c>
      <c r="I750" t="str">
        <f t="shared" si="81"/>
        <v>&lt;note time="166.8700" string="1" fret="2" /&gt;</v>
      </c>
      <c r="J750" t="str">
        <f t="shared" si="84"/>
        <v>122.00</v>
      </c>
      <c r="K750" t="s">
        <v>1717</v>
      </c>
    </row>
    <row r="751" spans="1:11" x14ac:dyDescent="0.45">
      <c r="A751" t="str">
        <f t="shared" si="82"/>
        <v>&lt;note time="167.027" string="2" fret="6" /&gt;</v>
      </c>
      <c r="D751" s="3">
        <f t="shared" si="79"/>
        <v>167.02699999999999</v>
      </c>
      <c r="E751" s="3">
        <f t="shared" si="80"/>
        <v>133.44999999999999</v>
      </c>
      <c r="F751" t="str">
        <f t="shared" si="83"/>
        <v>133.250</v>
      </c>
      <c r="G751" t="s">
        <v>162</v>
      </c>
      <c r="I751" t="str">
        <f t="shared" si="81"/>
        <v>&lt;note time="167.0270" string="1" fret="2" /&gt;</v>
      </c>
      <c r="J751" t="str">
        <f t="shared" si="84"/>
        <v>122.25</v>
      </c>
      <c r="K751" t="s">
        <v>1718</v>
      </c>
    </row>
    <row r="752" spans="1:11" x14ac:dyDescent="0.45">
      <c r="A752" t="str">
        <f t="shared" si="82"/>
        <v>&lt;note time="167.183" string="2" fret="4" /&gt;</v>
      </c>
      <c r="D752" s="3">
        <f t="shared" si="79"/>
        <v>167.18299999999999</v>
      </c>
      <c r="E752" s="3">
        <f t="shared" si="80"/>
        <v>133.57499999999999</v>
      </c>
      <c r="F752" t="str">
        <f t="shared" si="83"/>
        <v>133.375</v>
      </c>
      <c r="G752" t="s">
        <v>163</v>
      </c>
      <c r="I752" t="str">
        <f t="shared" si="81"/>
        <v>&lt;note time="167.1830" string="1" fret="2" /&gt;</v>
      </c>
      <c r="J752" t="str">
        <f t="shared" si="84"/>
        <v>122.50</v>
      </c>
      <c r="K752" t="s">
        <v>1719</v>
      </c>
    </row>
    <row r="753" spans="1:11" x14ac:dyDescent="0.45">
      <c r="A753" t="str">
        <f t="shared" si="82"/>
        <v>&lt;note time="167.340" string="1" fret="6" palmMute="1" /&gt;</v>
      </c>
      <c r="D753" s="3">
        <f t="shared" si="79"/>
        <v>167.34</v>
      </c>
      <c r="E753" s="3">
        <f t="shared" si="80"/>
        <v>133.69999999999999</v>
      </c>
      <c r="F753" t="str">
        <f t="shared" si="83"/>
        <v>133.500</v>
      </c>
      <c r="G753" t="s">
        <v>164</v>
      </c>
      <c r="I753" t="str">
        <f t="shared" si="81"/>
        <v>&lt;note time="167.3400" string="1" fret="2" /&gt;</v>
      </c>
      <c r="J753" t="str">
        <f t="shared" si="84"/>
        <v>122.75</v>
      </c>
      <c r="K753" t="s">
        <v>1720</v>
      </c>
    </row>
    <row r="754" spans="1:11" x14ac:dyDescent="0.45">
      <c r="A754" t="str">
        <f t="shared" si="82"/>
        <v>&lt;note time="167.496" string="1" fret="7" palmMute="1" /&gt;</v>
      </c>
      <c r="D754" s="3">
        <f t="shared" si="79"/>
        <v>167.49600000000001</v>
      </c>
      <c r="E754" s="3">
        <f t="shared" si="80"/>
        <v>133.82499999999999</v>
      </c>
      <c r="F754" t="str">
        <f t="shared" si="83"/>
        <v>133.625</v>
      </c>
      <c r="G754" t="s">
        <v>165</v>
      </c>
      <c r="I754" t="str">
        <f t="shared" si="81"/>
        <v>&lt;note time="167.4960" string="0" fret="0" /&gt;</v>
      </c>
      <c r="J754" t="str">
        <f t="shared" si="84"/>
        <v>123.00</v>
      </c>
      <c r="K754" t="s">
        <v>1721</v>
      </c>
    </row>
    <row r="755" spans="1:11" x14ac:dyDescent="0.45">
      <c r="A755" t="str">
        <f t="shared" si="82"/>
        <v>&lt;note time="167.653" string="1" fret="6" palmMute="1" /&gt;</v>
      </c>
      <c r="D755" s="3">
        <f t="shared" si="79"/>
        <v>167.65299999999999</v>
      </c>
      <c r="E755" s="3">
        <f t="shared" si="80"/>
        <v>133.94999999999999</v>
      </c>
      <c r="F755" t="str">
        <f t="shared" si="83"/>
        <v>133.750</v>
      </c>
      <c r="G755" t="s">
        <v>166</v>
      </c>
      <c r="I755" t="str">
        <f t="shared" si="81"/>
        <v>&lt;note time="167.6530" string="0" fret="0" /&gt;</v>
      </c>
      <c r="J755" t="str">
        <f t="shared" si="84"/>
        <v>123.25</v>
      </c>
      <c r="K755" t="s">
        <v>1722</v>
      </c>
    </row>
    <row r="756" spans="1:11" x14ac:dyDescent="0.45">
      <c r="A756" t="str">
        <f t="shared" si="82"/>
        <v>&lt;note time="167.809" string="0" fret="7" palmMute="1" /&gt;</v>
      </c>
      <c r="D756" s="3">
        <f t="shared" si="79"/>
        <v>167.809</v>
      </c>
      <c r="E756" s="3">
        <f t="shared" si="80"/>
        <v>134.07499999999999</v>
      </c>
      <c r="F756" t="str">
        <f t="shared" si="83"/>
        <v>133.875</v>
      </c>
      <c r="G756" t="s">
        <v>167</v>
      </c>
      <c r="I756" t="str">
        <f t="shared" si="81"/>
        <v>&lt;note time="167.8090" string="0" fret="0" /&gt;</v>
      </c>
      <c r="J756" t="str">
        <f t="shared" si="84"/>
        <v>123.50</v>
      </c>
      <c r="K756" t="s">
        <v>1723</v>
      </c>
    </row>
    <row r="757" spans="1:11" x14ac:dyDescent="0.45">
      <c r="A757" t="str">
        <f t="shared" si="82"/>
        <v>&lt;note time="167.966" string="1" fret="4" palmMute="1" /&gt;</v>
      </c>
      <c r="D757" s="3">
        <f t="shared" si="79"/>
        <v>167.96600000000001</v>
      </c>
      <c r="E757" s="3">
        <f t="shared" si="80"/>
        <v>134.19999999999999</v>
      </c>
      <c r="F757" t="str">
        <f t="shared" si="83"/>
        <v>134.000</v>
      </c>
      <c r="G757" t="s">
        <v>168</v>
      </c>
      <c r="I757" t="str">
        <f t="shared" si="81"/>
        <v>&lt;note time="167.9660" string="0" fret="0" /&gt;</v>
      </c>
      <c r="J757" t="str">
        <f t="shared" si="84"/>
        <v>123.75</v>
      </c>
      <c r="K757" t="s">
        <v>1724</v>
      </c>
    </row>
    <row r="758" spans="1:11" x14ac:dyDescent="0.45">
      <c r="A758" t="str">
        <f t="shared" si="82"/>
        <v>&lt;note time="168.122" string="1" fret="7" palmMute="1" /&gt;</v>
      </c>
      <c r="D758" s="3">
        <f t="shared" si="79"/>
        <v>168.12200000000001</v>
      </c>
      <c r="E758" s="3">
        <f t="shared" si="80"/>
        <v>134.32499999999999</v>
      </c>
      <c r="F758" t="str">
        <f t="shared" si="83"/>
        <v>134.125</v>
      </c>
      <c r="G758" t="s">
        <v>169</v>
      </c>
      <c r="I758" t="str">
        <f t="shared" si="81"/>
        <v>&lt;note time="168.1220" string="0" fret="0" /&gt;</v>
      </c>
      <c r="J758" t="str">
        <f t="shared" si="84"/>
        <v>124.00</v>
      </c>
      <c r="K758" t="s">
        <v>1725</v>
      </c>
    </row>
    <row r="759" spans="1:11" x14ac:dyDescent="0.45">
      <c r="A759" t="str">
        <f t="shared" si="82"/>
        <v>&lt;note time="168.279" string="1" fret="4" palmMute="1" /&gt;</v>
      </c>
      <c r="D759" s="3">
        <f t="shared" si="79"/>
        <v>168.279</v>
      </c>
      <c r="E759" s="3">
        <f t="shared" si="80"/>
        <v>134.44999999999999</v>
      </c>
      <c r="F759" t="str">
        <f t="shared" si="83"/>
        <v>134.250</v>
      </c>
      <c r="G759" t="s">
        <v>170</v>
      </c>
      <c r="I759" t="str">
        <f t="shared" si="81"/>
        <v>&lt;note time="168.2790" string="0" fret="0" /&gt;</v>
      </c>
      <c r="J759" t="str">
        <f t="shared" si="84"/>
        <v>124.25</v>
      </c>
      <c r="K759" t="s">
        <v>1726</v>
      </c>
    </row>
    <row r="760" spans="1:11" x14ac:dyDescent="0.45">
      <c r="A760" t="str">
        <f t="shared" si="82"/>
        <v>&lt;note time="168.435" string="0" fret="7" palmMute="1" /&gt;</v>
      </c>
      <c r="D760" s="3">
        <f t="shared" si="79"/>
        <v>168.435</v>
      </c>
      <c r="E760" s="3">
        <f t="shared" si="80"/>
        <v>134.57499999999999</v>
      </c>
      <c r="F760" t="str">
        <f t="shared" si="83"/>
        <v>134.375</v>
      </c>
      <c r="G760" t="s">
        <v>171</v>
      </c>
      <c r="I760" t="str">
        <f t="shared" si="81"/>
        <v>&lt;note time="168.4350" string="0" fret="0" /&gt;</v>
      </c>
      <c r="J760" t="str">
        <f t="shared" si="84"/>
        <v>124.50</v>
      </c>
      <c r="K760" t="s">
        <v>1727</v>
      </c>
    </row>
    <row r="761" spans="1:11" x14ac:dyDescent="0.45">
      <c r="A761" t="str">
        <f t="shared" si="82"/>
        <v>&lt;note time="168.592" string="1" fret="4" sustain="0.497" vibrato="80" /&gt;</v>
      </c>
      <c r="D761" s="3">
        <f t="shared" si="79"/>
        <v>168.59200000000001</v>
      </c>
      <c r="E761" s="3">
        <f t="shared" si="80"/>
        <v>134.69999999999999</v>
      </c>
      <c r="F761" t="str">
        <f t="shared" ref="F761:F792" si="85">RIGHT(LEFT(G761,19),7)</f>
        <v>134.500</v>
      </c>
      <c r="G761" t="s">
        <v>172</v>
      </c>
      <c r="I761" t="str">
        <f t="shared" si="81"/>
        <v>&lt;note time="168.5920" string="0" fret="0" /&gt;</v>
      </c>
      <c r="J761" t="str">
        <f t="shared" si="84"/>
        <v>124.75</v>
      </c>
      <c r="K761" t="s">
        <v>1728</v>
      </c>
    </row>
    <row r="762" spans="1:11" x14ac:dyDescent="0.45">
      <c r="A762" t="str">
        <f t="shared" si="82"/>
        <v>&lt;note time="169.218" string="3" fret="6" /&gt;</v>
      </c>
      <c r="D762" s="3">
        <f t="shared" si="79"/>
        <v>169.21799999999999</v>
      </c>
      <c r="E762" s="3">
        <f t="shared" si="80"/>
        <v>135.19999999999999</v>
      </c>
      <c r="F762" t="str">
        <f t="shared" si="85"/>
        <v>135.000</v>
      </c>
      <c r="G762" t="s">
        <v>173</v>
      </c>
      <c r="I762" t="str">
        <f t="shared" si="81"/>
        <v>&lt;note time="169.2180" string="0" fret="0" /&gt;</v>
      </c>
      <c r="J762" t="str">
        <f t="shared" si="84"/>
        <v>125.00</v>
      </c>
      <c r="K762" t="s">
        <v>1729</v>
      </c>
    </row>
    <row r="763" spans="1:11" x14ac:dyDescent="0.45">
      <c r="A763" t="str">
        <f t="shared" si="82"/>
        <v>&lt;note time="169.374" string="3" fret="4" /&gt;</v>
      </c>
      <c r="D763" s="3">
        <f t="shared" si="79"/>
        <v>169.374</v>
      </c>
      <c r="E763" s="3">
        <f t="shared" si="80"/>
        <v>135.32499999999999</v>
      </c>
      <c r="F763" t="str">
        <f t="shared" si="85"/>
        <v>135.125</v>
      </c>
      <c r="G763" t="s">
        <v>174</v>
      </c>
      <c r="I763" t="str">
        <f t="shared" si="81"/>
        <v>&lt;note time="169.3740" string="0" fret="0" /&gt;</v>
      </c>
      <c r="J763" t="str">
        <f t="shared" si="84"/>
        <v>125.25</v>
      </c>
      <c r="K763" t="s">
        <v>1730</v>
      </c>
    </row>
    <row r="764" spans="1:11" x14ac:dyDescent="0.45">
      <c r="A764" t="str">
        <f t="shared" si="82"/>
        <v>&lt;note time="169.531" string="2" fret="6" /&gt;</v>
      </c>
      <c r="D764" s="3">
        <f t="shared" si="79"/>
        <v>169.53100000000001</v>
      </c>
      <c r="E764" s="3">
        <f t="shared" si="80"/>
        <v>135.44999999999999</v>
      </c>
      <c r="F764" t="str">
        <f t="shared" si="85"/>
        <v>135.250</v>
      </c>
      <c r="G764" t="s">
        <v>175</v>
      </c>
      <c r="I764" t="str">
        <f t="shared" si="81"/>
        <v>&lt;note time="169.5310" string="0" fret="0" /&gt;</v>
      </c>
      <c r="J764" t="str">
        <f t="shared" si="84"/>
        <v>125.50</v>
      </c>
      <c r="K764" t="s">
        <v>1731</v>
      </c>
    </row>
    <row r="765" spans="1:11" x14ac:dyDescent="0.45">
      <c r="A765" t="str">
        <f t="shared" si="82"/>
        <v>&lt;note time="169.687" string="2" fret="4" /&gt;</v>
      </c>
      <c r="D765" s="3">
        <f t="shared" si="79"/>
        <v>169.68700000000001</v>
      </c>
      <c r="E765" s="3">
        <f t="shared" si="80"/>
        <v>135.57499999999999</v>
      </c>
      <c r="F765" t="str">
        <f t="shared" si="85"/>
        <v>135.375</v>
      </c>
      <c r="G765" t="s">
        <v>176</v>
      </c>
      <c r="I765" t="str">
        <f t="shared" si="81"/>
        <v>&lt;note time="169.6870" string="0" fret="0" /&gt;</v>
      </c>
      <c r="J765" t="str">
        <f t="shared" si="84"/>
        <v>125.75</v>
      </c>
      <c r="K765" t="s">
        <v>1732</v>
      </c>
    </row>
    <row r="766" spans="1:11" x14ac:dyDescent="0.45">
      <c r="A766" t="str">
        <f t="shared" si="82"/>
        <v>&lt;note time="169.844" string="1" fret="6" palmMute="1" /&gt;</v>
      </c>
      <c r="D766" s="3">
        <f t="shared" si="79"/>
        <v>169.84399999999999</v>
      </c>
      <c r="E766" s="3">
        <f t="shared" si="80"/>
        <v>135.69999999999999</v>
      </c>
      <c r="F766" t="str">
        <f t="shared" si="85"/>
        <v>135.500</v>
      </c>
      <c r="G766" t="s">
        <v>177</v>
      </c>
      <c r="I766" t="str">
        <f t="shared" si="81"/>
        <v>&lt;note time="169.8440" string="0" fret="0" /&gt;</v>
      </c>
      <c r="J766" t="str">
        <f t="shared" si="84"/>
        <v>126.00</v>
      </c>
      <c r="K766" t="s">
        <v>1733</v>
      </c>
    </row>
    <row r="767" spans="1:11" x14ac:dyDescent="0.45">
      <c r="A767" t="str">
        <f t="shared" si="82"/>
        <v>&lt;note time="170.000" string="1" fret="7" palmMute="1" /&gt;</v>
      </c>
      <c r="D767" s="3">
        <f t="shared" si="79"/>
        <v>170</v>
      </c>
      <c r="E767" s="3">
        <f t="shared" si="80"/>
        <v>135.82499999999999</v>
      </c>
      <c r="F767" t="str">
        <f t="shared" si="85"/>
        <v>135.625</v>
      </c>
      <c r="G767" t="s">
        <v>178</v>
      </c>
      <c r="I767" t="str">
        <f t="shared" si="81"/>
        <v>&lt;note time="170.0000" string="0" fret="0" /&gt;</v>
      </c>
      <c r="J767" t="str">
        <f t="shared" si="84"/>
        <v>126.25</v>
      </c>
      <c r="K767" t="s">
        <v>1734</v>
      </c>
    </row>
    <row r="768" spans="1:11" x14ac:dyDescent="0.45">
      <c r="A768" t="str">
        <f t="shared" si="82"/>
        <v>&lt;note time="170.157" string="1" fret="6" palmMute="1" /&gt;</v>
      </c>
      <c r="D768" s="3">
        <f t="shared" si="79"/>
        <v>170.15700000000001</v>
      </c>
      <c r="E768" s="3">
        <f t="shared" si="80"/>
        <v>135.94999999999999</v>
      </c>
      <c r="F768" t="str">
        <f t="shared" si="85"/>
        <v>135.750</v>
      </c>
      <c r="G768" t="s">
        <v>179</v>
      </c>
      <c r="I768" t="str">
        <f t="shared" si="81"/>
        <v>&lt;note time="170.1570" string="0" fret="0" /&gt;</v>
      </c>
      <c r="J768" t="str">
        <f t="shared" si="84"/>
        <v>126.50</v>
      </c>
      <c r="K768" t="s">
        <v>1735</v>
      </c>
    </row>
    <row r="769" spans="1:11" x14ac:dyDescent="0.45">
      <c r="A769" t="str">
        <f t="shared" si="82"/>
        <v>&lt;note time="170.313" string="0" fret="7" palmMute="1" /&gt;</v>
      </c>
      <c r="D769" s="3">
        <f t="shared" si="79"/>
        <v>170.31299999999999</v>
      </c>
      <c r="E769" s="3">
        <f t="shared" si="80"/>
        <v>136.07499999999999</v>
      </c>
      <c r="F769" t="str">
        <f t="shared" si="85"/>
        <v>135.875</v>
      </c>
      <c r="G769" t="s">
        <v>180</v>
      </c>
      <c r="I769" t="str">
        <f t="shared" si="81"/>
        <v>&lt;note time="170.3130" string="0" fret="0" /&gt;</v>
      </c>
      <c r="J769" t="str">
        <f t="shared" si="84"/>
        <v>126.75</v>
      </c>
      <c r="K769" t="s">
        <v>1736</v>
      </c>
    </row>
    <row r="770" spans="1:11" x14ac:dyDescent="0.45">
      <c r="A770" t="str">
        <f t="shared" si="82"/>
        <v>&lt;note time="170.470" string="1" fret="4" palmMute="1" /&gt;</v>
      </c>
      <c r="D770" s="3">
        <f t="shared" ref="D770:D833" si="86">ROUNDDOWN(E770-($C$3*(E770-$E$1)/100),3)</f>
        <v>170.47</v>
      </c>
      <c r="E770" s="3">
        <f t="shared" ref="E770:E833" si="87">0.2+F770</f>
        <v>136.19999999999999</v>
      </c>
      <c r="F770" t="str">
        <f t="shared" si="85"/>
        <v>136.000</v>
      </c>
      <c r="G770" t="s">
        <v>181</v>
      </c>
      <c r="I770" t="str">
        <f t="shared" ref="I770:I833" si="88">SUBSTITUTE(K770,J770,TEXT(D770,"0.000"))</f>
        <v>&lt;note time="170.4700" string="1" fret="4" /&gt;</v>
      </c>
      <c r="J770" t="str">
        <f t="shared" si="84"/>
        <v>127.00</v>
      </c>
      <c r="K770" t="s">
        <v>1737</v>
      </c>
    </row>
    <row r="771" spans="1:11" x14ac:dyDescent="0.45">
      <c r="A771" t="str">
        <f t="shared" si="82"/>
        <v>&lt;note time="170.626" string="1" fret="7" palmMute="1" /&gt;</v>
      </c>
      <c r="D771" s="3">
        <f t="shared" si="86"/>
        <v>170.626</v>
      </c>
      <c r="E771" s="3">
        <f t="shared" si="87"/>
        <v>136.32499999999999</v>
      </c>
      <c r="F771" t="str">
        <f t="shared" si="85"/>
        <v>136.125</v>
      </c>
      <c r="G771" t="s">
        <v>182</v>
      </c>
      <c r="I771" t="str">
        <f t="shared" si="88"/>
        <v>&lt;note time="170.6260" string="1" fret="4" /&gt;</v>
      </c>
      <c r="J771" t="str">
        <f t="shared" si="84"/>
        <v>127.25</v>
      </c>
      <c r="K771" t="s">
        <v>1738</v>
      </c>
    </row>
    <row r="772" spans="1:11" x14ac:dyDescent="0.45">
      <c r="A772" t="str">
        <f t="shared" si="82"/>
        <v>&lt;note time="170.783" string="1" fret="4" palmMute="1" /&gt;</v>
      </c>
      <c r="D772" s="3">
        <f t="shared" si="86"/>
        <v>170.78299999999999</v>
      </c>
      <c r="E772" s="3">
        <f t="shared" si="87"/>
        <v>136.44999999999999</v>
      </c>
      <c r="F772" t="str">
        <f t="shared" si="85"/>
        <v>136.250</v>
      </c>
      <c r="G772" t="s">
        <v>183</v>
      </c>
      <c r="I772" t="str">
        <f t="shared" si="88"/>
        <v>&lt;note time="170.7830" string="1" fret="4" /&gt;</v>
      </c>
      <c r="J772" t="str">
        <f t="shared" si="84"/>
        <v>127.50</v>
      </c>
      <c r="K772" t="s">
        <v>1739</v>
      </c>
    </row>
    <row r="773" spans="1:11" x14ac:dyDescent="0.45">
      <c r="A773" t="str">
        <f t="shared" si="82"/>
        <v>&lt;note time="170.939" string="0" fret="7" palmMute="1" /&gt;</v>
      </c>
      <c r="D773" s="3">
        <f t="shared" si="86"/>
        <v>170.93899999999999</v>
      </c>
      <c r="E773" s="3">
        <f t="shared" si="87"/>
        <v>136.57499999999999</v>
      </c>
      <c r="F773" t="str">
        <f t="shared" si="85"/>
        <v>136.375</v>
      </c>
      <c r="G773" t="s">
        <v>184</v>
      </c>
      <c r="I773" t="str">
        <f t="shared" si="88"/>
        <v>&lt;note time="170.9390" string="1" fret="4" /&gt;</v>
      </c>
      <c r="J773" t="str">
        <f t="shared" si="84"/>
        <v>127.75</v>
      </c>
      <c r="K773" t="s">
        <v>1740</v>
      </c>
    </row>
    <row r="774" spans="1:11" x14ac:dyDescent="0.45">
      <c r="A774" t="str">
        <f t="shared" si="82"/>
        <v>&lt;note time="171.096" string="1" fret="4" sustain="0.497" vibrato="80" /&gt;</v>
      </c>
      <c r="D774" s="3">
        <f t="shared" si="86"/>
        <v>171.096</v>
      </c>
      <c r="E774" s="3">
        <f t="shared" si="87"/>
        <v>136.69999999999999</v>
      </c>
      <c r="F774" t="str">
        <f t="shared" si="85"/>
        <v>136.500</v>
      </c>
      <c r="G774" t="s">
        <v>185</v>
      </c>
      <c r="I774" t="str">
        <f t="shared" si="88"/>
        <v>&lt;note time="171.0960" string="1" fret="4" /&gt;</v>
      </c>
      <c r="J774" t="str">
        <f t="shared" si="84"/>
        <v>128.00</v>
      </c>
      <c r="K774" t="s">
        <v>1741</v>
      </c>
    </row>
    <row r="775" spans="1:11" x14ac:dyDescent="0.45">
      <c r="A775" t="str">
        <f t="shared" si="82"/>
        <v>&lt;note time="171.722" string="3" fret="6" /&gt;</v>
      </c>
      <c r="D775" s="3">
        <f t="shared" si="86"/>
        <v>171.72200000000001</v>
      </c>
      <c r="E775" s="3">
        <f t="shared" si="87"/>
        <v>137.19999999999999</v>
      </c>
      <c r="F775" t="str">
        <f t="shared" si="85"/>
        <v>137.000</v>
      </c>
      <c r="G775" t="s">
        <v>186</v>
      </c>
      <c r="I775" t="str">
        <f t="shared" si="88"/>
        <v>&lt;note time="171.7220" string="1" fret="4" /&gt;</v>
      </c>
      <c r="J775" t="str">
        <f t="shared" si="84"/>
        <v>128.25</v>
      </c>
      <c r="K775" t="s">
        <v>1742</v>
      </c>
    </row>
    <row r="776" spans="1:11" x14ac:dyDescent="0.45">
      <c r="A776" t="str">
        <f t="shared" si="82"/>
        <v>&lt;note time="171.878" string="3" fret="4" /&gt;</v>
      </c>
      <c r="D776" s="3">
        <f t="shared" si="86"/>
        <v>171.87799999999999</v>
      </c>
      <c r="E776" s="3">
        <f t="shared" si="87"/>
        <v>137.32499999999999</v>
      </c>
      <c r="F776" t="str">
        <f t="shared" si="85"/>
        <v>137.125</v>
      </c>
      <c r="G776" t="s">
        <v>187</v>
      </c>
      <c r="I776" t="str">
        <f t="shared" si="88"/>
        <v>&lt;note time="171.8780" string="1" fret="4" /&gt;</v>
      </c>
      <c r="J776" t="str">
        <f t="shared" si="84"/>
        <v>128.50</v>
      </c>
      <c r="K776" t="s">
        <v>1743</v>
      </c>
    </row>
    <row r="777" spans="1:11" x14ac:dyDescent="0.45">
      <c r="A777" t="str">
        <f t="shared" si="82"/>
        <v>&lt;note time="172.035" string="2" fret="6" /&gt;</v>
      </c>
      <c r="D777" s="3">
        <f t="shared" si="86"/>
        <v>172.035</v>
      </c>
      <c r="E777" s="3">
        <f t="shared" si="87"/>
        <v>137.44999999999999</v>
      </c>
      <c r="F777" t="str">
        <f t="shared" si="85"/>
        <v>137.250</v>
      </c>
      <c r="G777" t="s">
        <v>188</v>
      </c>
      <c r="I777" t="str">
        <f t="shared" si="88"/>
        <v>&lt;note time="172.0350" string="1" fret="4" /&gt;</v>
      </c>
      <c r="J777" t="str">
        <f t="shared" si="84"/>
        <v>128.75</v>
      </c>
      <c r="K777" t="s">
        <v>1744</v>
      </c>
    </row>
    <row r="778" spans="1:11" x14ac:dyDescent="0.45">
      <c r="A778" t="str">
        <f t="shared" si="82"/>
        <v>&lt;note time="172.191" string="2" fret="4" /&gt;</v>
      </c>
      <c r="D778" s="3">
        <f t="shared" si="86"/>
        <v>172.191</v>
      </c>
      <c r="E778" s="3">
        <f t="shared" si="87"/>
        <v>137.57499999999999</v>
      </c>
      <c r="F778" t="str">
        <f t="shared" si="85"/>
        <v>137.375</v>
      </c>
      <c r="G778" t="s">
        <v>189</v>
      </c>
      <c r="I778" t="str">
        <f t="shared" si="88"/>
        <v>&lt;note time="172.1910" string="1" fret="2" /&gt;</v>
      </c>
      <c r="J778" t="str">
        <f t="shared" si="84"/>
        <v>129.00</v>
      </c>
      <c r="K778" t="s">
        <v>1745</v>
      </c>
    </row>
    <row r="779" spans="1:11" x14ac:dyDescent="0.45">
      <c r="A779" t="str">
        <f t="shared" si="82"/>
        <v>&lt;note time="172.348" string="1" fret="6" palmMute="1" /&gt;</v>
      </c>
      <c r="D779" s="3">
        <f t="shared" si="86"/>
        <v>172.34800000000001</v>
      </c>
      <c r="E779" s="3">
        <f t="shared" si="87"/>
        <v>137.69999999999999</v>
      </c>
      <c r="F779" t="str">
        <f t="shared" si="85"/>
        <v>137.500</v>
      </c>
      <c r="G779" t="s">
        <v>190</v>
      </c>
      <c r="I779" t="str">
        <f t="shared" si="88"/>
        <v>&lt;note time="172.3480" string="1" fret="2" /&gt;</v>
      </c>
      <c r="J779" t="str">
        <f t="shared" si="84"/>
        <v>129.25</v>
      </c>
      <c r="K779" t="s">
        <v>1746</v>
      </c>
    </row>
    <row r="780" spans="1:11" x14ac:dyDescent="0.45">
      <c r="A780" t="str">
        <f t="shared" si="82"/>
        <v>&lt;note time="172.504" string="1" fret="7" palmMute="1" /&gt;</v>
      </c>
      <c r="D780" s="3">
        <f t="shared" si="86"/>
        <v>172.50399999999999</v>
      </c>
      <c r="E780" s="3">
        <f t="shared" si="87"/>
        <v>137.82499999999999</v>
      </c>
      <c r="F780" t="str">
        <f t="shared" si="85"/>
        <v>137.625</v>
      </c>
      <c r="G780" t="s">
        <v>191</v>
      </c>
      <c r="I780" t="str">
        <f t="shared" si="88"/>
        <v>&lt;note time="172.5040" string="1" fret="2" /&gt;</v>
      </c>
      <c r="J780" t="str">
        <f t="shared" si="84"/>
        <v>129.50</v>
      </c>
      <c r="K780" t="s">
        <v>1747</v>
      </c>
    </row>
    <row r="781" spans="1:11" x14ac:dyDescent="0.45">
      <c r="A781" t="str">
        <f t="shared" si="82"/>
        <v>&lt;note time="172.661" string="1" fret="6" palmMute="1" /&gt;</v>
      </c>
      <c r="D781" s="3">
        <f t="shared" si="86"/>
        <v>172.661</v>
      </c>
      <c r="E781" s="3">
        <f t="shared" si="87"/>
        <v>137.94999999999999</v>
      </c>
      <c r="F781" t="str">
        <f t="shared" si="85"/>
        <v>137.750</v>
      </c>
      <c r="G781" t="s">
        <v>192</v>
      </c>
      <c r="I781" t="str">
        <f t="shared" si="88"/>
        <v>&lt;note time="172.6610" string="1" fret="2" /&gt;</v>
      </c>
      <c r="J781" t="str">
        <f t="shared" si="84"/>
        <v>129.75</v>
      </c>
      <c r="K781" t="s">
        <v>1748</v>
      </c>
    </row>
    <row r="782" spans="1:11" x14ac:dyDescent="0.45">
      <c r="A782" t="str">
        <f t="shared" si="82"/>
        <v>&lt;note time="172.817" string="0" fret="7" palmMute="1" /&gt;</v>
      </c>
      <c r="D782" s="3">
        <f t="shared" si="86"/>
        <v>172.81700000000001</v>
      </c>
      <c r="E782" s="3">
        <f t="shared" si="87"/>
        <v>138.07499999999999</v>
      </c>
      <c r="F782" t="str">
        <f t="shared" si="85"/>
        <v>137.875</v>
      </c>
      <c r="G782" t="s">
        <v>193</v>
      </c>
      <c r="I782" t="str">
        <f t="shared" si="88"/>
        <v>&lt;note time="172.8170" string="1" fret="2" /&gt;</v>
      </c>
      <c r="J782" t="str">
        <f t="shared" si="84"/>
        <v>130.00</v>
      </c>
      <c r="K782" t="s">
        <v>1749</v>
      </c>
    </row>
    <row r="783" spans="1:11" x14ac:dyDescent="0.45">
      <c r="A783" t="str">
        <f t="shared" si="82"/>
        <v>&lt;note time="172.974" string="1" fret="4" palmMute="1" /&gt;</v>
      </c>
      <c r="D783" s="3">
        <f t="shared" si="86"/>
        <v>172.97399999999999</v>
      </c>
      <c r="E783" s="3">
        <f t="shared" si="87"/>
        <v>138.19999999999999</v>
      </c>
      <c r="F783" t="str">
        <f t="shared" si="85"/>
        <v>138.000</v>
      </c>
      <c r="G783" t="s">
        <v>194</v>
      </c>
      <c r="I783" t="str">
        <f t="shared" si="88"/>
        <v>&lt;note time="172.9740" string="1" fret="2" /&gt;</v>
      </c>
      <c r="J783" t="str">
        <f t="shared" si="84"/>
        <v>130.25</v>
      </c>
      <c r="K783" t="s">
        <v>1750</v>
      </c>
    </row>
    <row r="784" spans="1:11" x14ac:dyDescent="0.45">
      <c r="A784" t="str">
        <f t="shared" si="82"/>
        <v>&lt;note time="173.130" string="1" fret="7" palmMute="1" /&gt;</v>
      </c>
      <c r="D784" s="3">
        <f t="shared" si="86"/>
        <v>173.13</v>
      </c>
      <c r="E784" s="3">
        <f t="shared" si="87"/>
        <v>138.32499999999999</v>
      </c>
      <c r="F784" t="str">
        <f t="shared" si="85"/>
        <v>138.125</v>
      </c>
      <c r="G784" t="s">
        <v>195</v>
      </c>
      <c r="I784" t="str">
        <f t="shared" si="88"/>
        <v>&lt;note time="173.1300" string="1" fret="2" /&gt;</v>
      </c>
      <c r="J784" t="str">
        <f t="shared" si="84"/>
        <v>130.50</v>
      </c>
      <c r="K784" t="s">
        <v>1751</v>
      </c>
    </row>
    <row r="785" spans="1:11" x14ac:dyDescent="0.45">
      <c r="A785" t="str">
        <f t="shared" si="82"/>
        <v>&lt;note time="173.287" string="1" fret="4" palmMute="1" /&gt;</v>
      </c>
      <c r="D785" s="3">
        <f t="shared" si="86"/>
        <v>173.28700000000001</v>
      </c>
      <c r="E785" s="3">
        <f t="shared" si="87"/>
        <v>138.44999999999999</v>
      </c>
      <c r="F785" t="str">
        <f t="shared" si="85"/>
        <v>138.250</v>
      </c>
      <c r="G785" t="s">
        <v>196</v>
      </c>
      <c r="I785" t="str">
        <f t="shared" si="88"/>
        <v>&lt;note time="173.2870" string="1" fret="2" /&gt;</v>
      </c>
      <c r="J785" t="str">
        <f t="shared" si="84"/>
        <v>130.75</v>
      </c>
      <c r="K785" t="s">
        <v>1752</v>
      </c>
    </row>
    <row r="786" spans="1:11" x14ac:dyDescent="0.45">
      <c r="A786" t="str">
        <f t="shared" ref="A786:A849" si="89">SUBSTITUTE(G786,F786,TEXT(D786,"0.000"))</f>
        <v>&lt;note time="173.443" string="0" fret="7" palmMute="1" /&gt;</v>
      </c>
      <c r="D786" s="3">
        <f t="shared" si="86"/>
        <v>173.44300000000001</v>
      </c>
      <c r="E786" s="3">
        <f t="shared" si="87"/>
        <v>138.57499999999999</v>
      </c>
      <c r="F786" t="str">
        <f t="shared" si="85"/>
        <v>138.375</v>
      </c>
      <c r="G786" t="s">
        <v>197</v>
      </c>
      <c r="I786" t="str">
        <f t="shared" si="88"/>
        <v>&lt;note time="173.4430" string="0" fret="0" /&gt;</v>
      </c>
      <c r="J786" t="str">
        <f t="shared" si="84"/>
        <v>131.00</v>
      </c>
      <c r="K786" t="s">
        <v>1753</v>
      </c>
    </row>
    <row r="787" spans="1:11" x14ac:dyDescent="0.45">
      <c r="A787" t="str">
        <f t="shared" si="89"/>
        <v>&lt;note time="173.600" string="1" fret="4" sustain="0.497" vibrato="80" /&gt;</v>
      </c>
      <c r="D787" s="3">
        <f t="shared" si="86"/>
        <v>173.6</v>
      </c>
      <c r="E787" s="3">
        <f t="shared" si="87"/>
        <v>138.69999999999999</v>
      </c>
      <c r="F787" t="str">
        <f t="shared" si="85"/>
        <v>138.500</v>
      </c>
      <c r="G787" t="s">
        <v>198</v>
      </c>
      <c r="I787" t="str">
        <f t="shared" si="88"/>
        <v>&lt;note time="173.6000" string="0" fret="0" /&gt;</v>
      </c>
      <c r="J787" t="str">
        <f t="shared" si="84"/>
        <v>131.25</v>
      </c>
      <c r="K787" t="s">
        <v>1754</v>
      </c>
    </row>
    <row r="788" spans="1:11" x14ac:dyDescent="0.45">
      <c r="A788" t="str">
        <f t="shared" si="89"/>
        <v>&lt;note time="174.226" string="3" fret="6" /&gt;</v>
      </c>
      <c r="D788" s="3">
        <f t="shared" si="86"/>
        <v>174.226</v>
      </c>
      <c r="E788" s="3">
        <f t="shared" si="87"/>
        <v>139.19999999999999</v>
      </c>
      <c r="F788" t="str">
        <f t="shared" si="85"/>
        <v>139.000</v>
      </c>
      <c r="G788" t="s">
        <v>199</v>
      </c>
      <c r="I788" t="str">
        <f t="shared" si="88"/>
        <v>&lt;note time="174.2260" string="0" fret="0" /&gt;</v>
      </c>
      <c r="J788" t="str">
        <f t="shared" si="84"/>
        <v>131.50</v>
      </c>
      <c r="K788" t="s">
        <v>1755</v>
      </c>
    </row>
    <row r="789" spans="1:11" x14ac:dyDescent="0.45">
      <c r="A789" t="str">
        <f t="shared" si="89"/>
        <v>&lt;note time="174.382" string="3" fret="4" /&gt;</v>
      </c>
      <c r="D789" s="3">
        <f t="shared" si="86"/>
        <v>174.38200000000001</v>
      </c>
      <c r="E789" s="3">
        <f t="shared" si="87"/>
        <v>139.32499999999999</v>
      </c>
      <c r="F789" t="str">
        <f t="shared" si="85"/>
        <v>139.125</v>
      </c>
      <c r="G789" t="s">
        <v>200</v>
      </c>
      <c r="I789" t="str">
        <f t="shared" si="88"/>
        <v>&lt;note time="174.3820" string="0" fret="0" /&gt;</v>
      </c>
      <c r="J789" t="str">
        <f t="shared" si="84"/>
        <v>131.75</v>
      </c>
      <c r="K789" t="s">
        <v>1756</v>
      </c>
    </row>
    <row r="790" spans="1:11" x14ac:dyDescent="0.45">
      <c r="A790" t="str">
        <f t="shared" si="89"/>
        <v>&lt;note time="174.539" string="2" fret="6" /&gt;</v>
      </c>
      <c r="D790" s="3">
        <f t="shared" si="86"/>
        <v>174.53899999999999</v>
      </c>
      <c r="E790" s="3">
        <f t="shared" si="87"/>
        <v>139.44999999999999</v>
      </c>
      <c r="F790" t="str">
        <f t="shared" si="85"/>
        <v>139.250</v>
      </c>
      <c r="G790" t="s">
        <v>201</v>
      </c>
      <c r="I790" t="str">
        <f t="shared" si="88"/>
        <v>&lt;note time="174.5390" string="0" fret="0" /&gt;</v>
      </c>
      <c r="J790" t="str">
        <f t="shared" si="84"/>
        <v>132.00</v>
      </c>
      <c r="K790" t="s">
        <v>1757</v>
      </c>
    </row>
    <row r="791" spans="1:11" x14ac:dyDescent="0.45">
      <c r="A791" t="str">
        <f t="shared" si="89"/>
        <v>&lt;note time="174.695" string="2" fret="4" /&gt;</v>
      </c>
      <c r="D791" s="3">
        <f t="shared" si="86"/>
        <v>174.69499999999999</v>
      </c>
      <c r="E791" s="3">
        <f t="shared" si="87"/>
        <v>139.57499999999999</v>
      </c>
      <c r="F791" t="str">
        <f t="shared" si="85"/>
        <v>139.375</v>
      </c>
      <c r="G791" t="s">
        <v>202</v>
      </c>
      <c r="I791" t="str">
        <f t="shared" si="88"/>
        <v>&lt;note time="174.6950" string="0" fret="0" /&gt;</v>
      </c>
      <c r="J791" t="str">
        <f t="shared" si="84"/>
        <v>132.25</v>
      </c>
      <c r="K791" t="s">
        <v>1758</v>
      </c>
    </row>
    <row r="792" spans="1:11" x14ac:dyDescent="0.45">
      <c r="A792" t="str">
        <f t="shared" si="89"/>
        <v>&lt;note time="174.852" string="1" fret="6" palmMute="1" /&gt;</v>
      </c>
      <c r="D792" s="3">
        <f t="shared" si="86"/>
        <v>174.852</v>
      </c>
      <c r="E792" s="3">
        <f t="shared" si="87"/>
        <v>139.69999999999999</v>
      </c>
      <c r="F792" t="str">
        <f t="shared" si="85"/>
        <v>139.500</v>
      </c>
      <c r="G792" t="s">
        <v>203</v>
      </c>
      <c r="I792" t="str">
        <f t="shared" si="88"/>
        <v>&lt;note time="174.8520" string="0" fret="0" /&gt;</v>
      </c>
      <c r="J792" t="str">
        <f t="shared" si="84"/>
        <v>132.50</v>
      </c>
      <c r="K792" t="s">
        <v>1759</v>
      </c>
    </row>
    <row r="793" spans="1:11" x14ac:dyDescent="0.45">
      <c r="A793" t="str">
        <f t="shared" si="89"/>
        <v>&lt;note time="175.008" string="1" fret="7" palmMute="1" /&gt;</v>
      </c>
      <c r="D793" s="3">
        <f t="shared" si="86"/>
        <v>175.00800000000001</v>
      </c>
      <c r="E793" s="3">
        <f t="shared" si="87"/>
        <v>139.82499999999999</v>
      </c>
      <c r="F793" t="str">
        <f t="shared" ref="F793:F824" si="90">RIGHT(LEFT(G793,19),7)</f>
        <v>139.625</v>
      </c>
      <c r="G793" t="s">
        <v>204</v>
      </c>
      <c r="I793" t="str">
        <f t="shared" si="88"/>
        <v>&lt;note time="175.0080" string="0" fret="0" /&gt;</v>
      </c>
      <c r="J793" t="str">
        <f t="shared" si="84"/>
        <v>132.75</v>
      </c>
      <c r="K793" t="s">
        <v>1760</v>
      </c>
    </row>
    <row r="794" spans="1:11" x14ac:dyDescent="0.45">
      <c r="A794" t="str">
        <f t="shared" si="89"/>
        <v>&lt;note time="175.165" string="1" fret="6" palmMute="1" /&gt;</v>
      </c>
      <c r="D794" s="3">
        <f t="shared" si="86"/>
        <v>175.16499999999999</v>
      </c>
      <c r="E794" s="3">
        <f t="shared" si="87"/>
        <v>139.94999999999999</v>
      </c>
      <c r="F794" t="str">
        <f t="shared" si="90"/>
        <v>139.750</v>
      </c>
      <c r="G794" t="s">
        <v>205</v>
      </c>
      <c r="I794" t="str">
        <f t="shared" si="88"/>
        <v>&lt;note time="175.1650" string="0" fret="0" /&gt;</v>
      </c>
      <c r="J794" t="str">
        <f t="shared" si="84"/>
        <v>133.00</v>
      </c>
      <c r="K794" t="s">
        <v>1761</v>
      </c>
    </row>
    <row r="795" spans="1:11" x14ac:dyDescent="0.45">
      <c r="A795" t="str">
        <f t="shared" si="89"/>
        <v>&lt;note time="175.321" string="0" fret="7" palmMute="1" /&gt;</v>
      </c>
      <c r="D795" s="3">
        <f t="shared" si="86"/>
        <v>175.321</v>
      </c>
      <c r="E795" s="3">
        <f t="shared" si="87"/>
        <v>140.07499999999999</v>
      </c>
      <c r="F795" t="str">
        <f t="shared" si="90"/>
        <v>139.875</v>
      </c>
      <c r="G795" t="s">
        <v>206</v>
      </c>
      <c r="I795" t="str">
        <f t="shared" si="88"/>
        <v>&lt;note time="175.3210" string="0" fret="0" /&gt;</v>
      </c>
      <c r="J795" t="str">
        <f t="shared" si="84"/>
        <v>133.25</v>
      </c>
      <c r="K795" t="s">
        <v>1762</v>
      </c>
    </row>
    <row r="796" spans="1:11" x14ac:dyDescent="0.45">
      <c r="A796" t="str">
        <f t="shared" si="89"/>
        <v>&lt;note time="175.478" string="1" fret="4" palmMute="1" /&gt;</v>
      </c>
      <c r="D796" s="3">
        <f t="shared" si="86"/>
        <v>175.47800000000001</v>
      </c>
      <c r="E796" s="3">
        <f t="shared" si="87"/>
        <v>140.19999999999999</v>
      </c>
      <c r="F796" t="str">
        <f t="shared" si="90"/>
        <v>140.000</v>
      </c>
      <c r="G796" t="s">
        <v>207</v>
      </c>
      <c r="I796" t="str">
        <f t="shared" si="88"/>
        <v>&lt;note time="175.4780" string="0" fret="0" /&gt;</v>
      </c>
      <c r="J796" t="str">
        <f t="shared" si="84"/>
        <v>133.50</v>
      </c>
      <c r="K796" t="s">
        <v>1763</v>
      </c>
    </row>
    <row r="797" spans="1:11" x14ac:dyDescent="0.45">
      <c r="A797" t="str">
        <f t="shared" si="89"/>
        <v>&lt;note time="175.634" string="1" fret="7" palmMute="1" /&gt;</v>
      </c>
      <c r="D797" s="3">
        <f t="shared" si="86"/>
        <v>175.63399999999999</v>
      </c>
      <c r="E797" s="3">
        <f t="shared" si="87"/>
        <v>140.32499999999999</v>
      </c>
      <c r="F797" t="str">
        <f t="shared" si="90"/>
        <v>140.125</v>
      </c>
      <c r="G797" t="s">
        <v>208</v>
      </c>
      <c r="I797" t="str">
        <f t="shared" si="88"/>
        <v>&lt;note time="175.6340" string="0" fret="0" /&gt;</v>
      </c>
      <c r="J797" t="str">
        <f t="shared" si="84"/>
        <v>133.75</v>
      </c>
      <c r="K797" t="s">
        <v>1764</v>
      </c>
    </row>
    <row r="798" spans="1:11" x14ac:dyDescent="0.45">
      <c r="A798" t="str">
        <f t="shared" si="89"/>
        <v>&lt;note time="175.791" string="1" fret="4" palmMute="1" /&gt;</v>
      </c>
      <c r="D798" s="3">
        <f t="shared" si="86"/>
        <v>175.791</v>
      </c>
      <c r="E798" s="3">
        <f t="shared" si="87"/>
        <v>140.44999999999999</v>
      </c>
      <c r="F798" t="str">
        <f t="shared" si="90"/>
        <v>140.250</v>
      </c>
      <c r="G798" t="s">
        <v>209</v>
      </c>
      <c r="I798" t="str">
        <f t="shared" si="88"/>
        <v>&lt;note time="175.7910" string="0" fret="0" /&gt;</v>
      </c>
      <c r="J798" t="str">
        <f t="shared" si="84"/>
        <v>134.00</v>
      </c>
      <c r="K798" t="s">
        <v>1765</v>
      </c>
    </row>
    <row r="799" spans="1:11" x14ac:dyDescent="0.45">
      <c r="A799" t="str">
        <f t="shared" si="89"/>
        <v>&lt;note time="175.947" string="0" fret="7" palmMute="1" /&gt;</v>
      </c>
      <c r="D799" s="3">
        <f t="shared" si="86"/>
        <v>175.947</v>
      </c>
      <c r="E799" s="3">
        <f t="shared" si="87"/>
        <v>140.57499999999999</v>
      </c>
      <c r="F799" t="str">
        <f t="shared" si="90"/>
        <v>140.375</v>
      </c>
      <c r="G799" t="s">
        <v>210</v>
      </c>
      <c r="I799" t="str">
        <f t="shared" si="88"/>
        <v>&lt;note time="175.9470" string="0" fret="0" /&gt;</v>
      </c>
      <c r="J799" t="str">
        <f t="shared" si="84"/>
        <v>134.25</v>
      </c>
      <c r="K799" t="s">
        <v>1766</v>
      </c>
    </row>
    <row r="800" spans="1:11" x14ac:dyDescent="0.45">
      <c r="A800" t="str">
        <f t="shared" si="89"/>
        <v>&lt;note time="176.104" string="1" fret="4" sustain="0.497" vibrato="80" /&gt;</v>
      </c>
      <c r="D800" s="3">
        <f t="shared" si="86"/>
        <v>176.10400000000001</v>
      </c>
      <c r="E800" s="3">
        <f t="shared" si="87"/>
        <v>140.69999999999999</v>
      </c>
      <c r="F800" t="str">
        <f t="shared" si="90"/>
        <v>140.500</v>
      </c>
      <c r="G800" t="s">
        <v>211</v>
      </c>
      <c r="I800" t="str">
        <f t="shared" si="88"/>
        <v>&lt;note time="176.1040" string="0" fret="0" /&gt;</v>
      </c>
      <c r="J800" t="str">
        <f t="shared" si="84"/>
        <v>134.50</v>
      </c>
      <c r="K800" t="s">
        <v>1767</v>
      </c>
    </row>
    <row r="801" spans="1:11" x14ac:dyDescent="0.45">
      <c r="A801" t="str">
        <f t="shared" si="89"/>
        <v>&lt;note time="176.730" string="3" fret="6" /&gt;</v>
      </c>
      <c r="D801" s="3">
        <f t="shared" si="86"/>
        <v>176.73</v>
      </c>
      <c r="E801" s="3">
        <f t="shared" si="87"/>
        <v>141.19999999999999</v>
      </c>
      <c r="F801" t="str">
        <f t="shared" si="90"/>
        <v>141.000</v>
      </c>
      <c r="G801" t="s">
        <v>212</v>
      </c>
      <c r="I801" t="str">
        <f t="shared" si="88"/>
        <v>&lt;note time="176.7300" string="0" fret="0" /&gt;</v>
      </c>
      <c r="J801" t="str">
        <f t="shared" si="84"/>
        <v>134.75</v>
      </c>
      <c r="K801" t="s">
        <v>1768</v>
      </c>
    </row>
    <row r="802" spans="1:11" x14ac:dyDescent="0.45">
      <c r="A802" t="str">
        <f t="shared" si="89"/>
        <v>&lt;note time="176.886" string="3" fret="4" /&gt;</v>
      </c>
      <c r="D802" s="3">
        <f t="shared" si="86"/>
        <v>176.886</v>
      </c>
      <c r="E802" s="3">
        <f t="shared" si="87"/>
        <v>141.32499999999999</v>
      </c>
      <c r="F802" t="str">
        <f t="shared" si="90"/>
        <v>141.125</v>
      </c>
      <c r="G802" t="s">
        <v>213</v>
      </c>
      <c r="I802" t="str">
        <f t="shared" si="88"/>
        <v>&lt;note time="176.8860" string="1" fret="4" /&gt;</v>
      </c>
      <c r="J802" t="str">
        <f t="shared" si="84"/>
        <v>135.00</v>
      </c>
      <c r="K802" t="s">
        <v>1769</v>
      </c>
    </row>
    <row r="803" spans="1:11" x14ac:dyDescent="0.45">
      <c r="A803" t="str">
        <f t="shared" si="89"/>
        <v>&lt;note time="177.043" string="2" fret="6" /&gt;</v>
      </c>
      <c r="D803" s="3">
        <f t="shared" si="86"/>
        <v>177.04300000000001</v>
      </c>
      <c r="E803" s="3">
        <f t="shared" si="87"/>
        <v>141.44999999999999</v>
      </c>
      <c r="F803" t="str">
        <f t="shared" si="90"/>
        <v>141.250</v>
      </c>
      <c r="G803" t="s">
        <v>214</v>
      </c>
      <c r="I803" t="str">
        <f t="shared" si="88"/>
        <v>&lt;note time="177.0430" string="1" fret="4" /&gt;</v>
      </c>
      <c r="J803" t="str">
        <f t="shared" si="84"/>
        <v>135.25</v>
      </c>
      <c r="K803" t="s">
        <v>1770</v>
      </c>
    </row>
    <row r="804" spans="1:11" x14ac:dyDescent="0.45">
      <c r="A804" t="str">
        <f t="shared" si="89"/>
        <v>&lt;note time="177.199" string="2" fret="4" /&gt;</v>
      </c>
      <c r="D804" s="3">
        <f t="shared" si="86"/>
        <v>177.19900000000001</v>
      </c>
      <c r="E804" s="3">
        <f t="shared" si="87"/>
        <v>141.57499999999999</v>
      </c>
      <c r="F804" t="str">
        <f t="shared" si="90"/>
        <v>141.375</v>
      </c>
      <c r="G804" t="s">
        <v>215</v>
      </c>
      <c r="I804" t="str">
        <f t="shared" si="88"/>
        <v>&lt;note time="177.1990" string="1" fret="4" /&gt;</v>
      </c>
      <c r="J804" t="str">
        <f t="shared" ref="J804:J867" si="91">RIGHT(LEFT(K804,18),6)</f>
        <v>135.50</v>
      </c>
      <c r="K804" t="s">
        <v>1771</v>
      </c>
    </row>
    <row r="805" spans="1:11" x14ac:dyDescent="0.45">
      <c r="A805" t="str">
        <f t="shared" si="89"/>
        <v>&lt;note time="177.356" string="1" fret="6" palmMute="1" /&gt;</v>
      </c>
      <c r="D805" s="3">
        <f t="shared" si="86"/>
        <v>177.35599999999999</v>
      </c>
      <c r="E805" s="3">
        <f t="shared" si="87"/>
        <v>141.69999999999999</v>
      </c>
      <c r="F805" t="str">
        <f t="shared" si="90"/>
        <v>141.500</v>
      </c>
      <c r="G805" t="s">
        <v>216</v>
      </c>
      <c r="I805" t="str">
        <f t="shared" si="88"/>
        <v>&lt;note time="177.3560" string="1" fret="4" /&gt;</v>
      </c>
      <c r="J805" t="str">
        <f t="shared" si="91"/>
        <v>135.75</v>
      </c>
      <c r="K805" t="s">
        <v>1772</v>
      </c>
    </row>
    <row r="806" spans="1:11" x14ac:dyDescent="0.45">
      <c r="A806" t="str">
        <f t="shared" si="89"/>
        <v>&lt;note time="177.512" string="1" fret="7" palmMute="1" /&gt;</v>
      </c>
      <c r="D806" s="3">
        <f t="shared" si="86"/>
        <v>177.512</v>
      </c>
      <c r="E806" s="3">
        <f t="shared" si="87"/>
        <v>141.82499999999999</v>
      </c>
      <c r="F806" t="str">
        <f t="shared" si="90"/>
        <v>141.625</v>
      </c>
      <c r="G806" t="s">
        <v>217</v>
      </c>
      <c r="I806" t="str">
        <f t="shared" si="88"/>
        <v>&lt;note time="177.5120" string="1" fret="4" /&gt;</v>
      </c>
      <c r="J806" t="str">
        <f t="shared" si="91"/>
        <v>136.00</v>
      </c>
      <c r="K806" t="s">
        <v>1773</v>
      </c>
    </row>
    <row r="807" spans="1:11" x14ac:dyDescent="0.45">
      <c r="A807" t="str">
        <f t="shared" si="89"/>
        <v>&lt;note time="177.669" string="1" fret="6" palmMute="1" /&gt;</v>
      </c>
      <c r="D807" s="3">
        <f t="shared" si="86"/>
        <v>177.66900000000001</v>
      </c>
      <c r="E807" s="3">
        <f t="shared" si="87"/>
        <v>141.94999999999999</v>
      </c>
      <c r="F807" t="str">
        <f t="shared" si="90"/>
        <v>141.750</v>
      </c>
      <c r="G807" t="s">
        <v>218</v>
      </c>
      <c r="I807" t="str">
        <f t="shared" si="88"/>
        <v>&lt;note time="177.6690" string="1" fret="4" /&gt;</v>
      </c>
      <c r="J807" t="str">
        <f t="shared" si="91"/>
        <v>136.25</v>
      </c>
      <c r="K807" t="s">
        <v>1774</v>
      </c>
    </row>
    <row r="808" spans="1:11" x14ac:dyDescent="0.45">
      <c r="A808" t="str">
        <f t="shared" si="89"/>
        <v>&lt;note time="177.825" string="0" fret="7" palmMute="1" /&gt;</v>
      </c>
      <c r="D808" s="3">
        <f t="shared" si="86"/>
        <v>177.82499999999999</v>
      </c>
      <c r="E808" s="3">
        <f t="shared" si="87"/>
        <v>142.07499999999999</v>
      </c>
      <c r="F808" t="str">
        <f t="shared" si="90"/>
        <v>141.875</v>
      </c>
      <c r="G808" t="s">
        <v>219</v>
      </c>
      <c r="I808" t="str">
        <f t="shared" si="88"/>
        <v>&lt;note time="177.8250" string="1" fret="4" /&gt;</v>
      </c>
      <c r="J808" t="str">
        <f t="shared" si="91"/>
        <v>136.50</v>
      </c>
      <c r="K808" t="s">
        <v>1775</v>
      </c>
    </row>
    <row r="809" spans="1:11" x14ac:dyDescent="0.45">
      <c r="A809" t="str">
        <f t="shared" si="89"/>
        <v>&lt;note time="177.982" string="1" fret="4" palmMute="1" /&gt;</v>
      </c>
      <c r="D809" s="3">
        <f t="shared" si="86"/>
        <v>177.982</v>
      </c>
      <c r="E809" s="3">
        <f t="shared" si="87"/>
        <v>142.19999999999999</v>
      </c>
      <c r="F809" t="str">
        <f t="shared" si="90"/>
        <v>142.000</v>
      </c>
      <c r="G809" t="s">
        <v>220</v>
      </c>
      <c r="I809" t="str">
        <f t="shared" si="88"/>
        <v>&lt;note time="177.9820" string="1" fret="4" /&gt;</v>
      </c>
      <c r="J809" t="str">
        <f t="shared" si="91"/>
        <v>136.75</v>
      </c>
      <c r="K809" t="s">
        <v>1776</v>
      </c>
    </row>
    <row r="810" spans="1:11" x14ac:dyDescent="0.45">
      <c r="A810" t="str">
        <f t="shared" si="89"/>
        <v>&lt;note time="178.138" string="1" fret="7" palmMute="1" /&gt;</v>
      </c>
      <c r="D810" s="3">
        <f t="shared" si="86"/>
        <v>178.13800000000001</v>
      </c>
      <c r="E810" s="3">
        <f t="shared" si="87"/>
        <v>142.32499999999999</v>
      </c>
      <c r="F810" t="str">
        <f t="shared" si="90"/>
        <v>142.125</v>
      </c>
      <c r="G810" t="s">
        <v>221</v>
      </c>
      <c r="I810" t="str">
        <f t="shared" si="88"/>
        <v>&lt;note time="178.1380" string="1" fret="2" /&gt;</v>
      </c>
      <c r="J810" t="str">
        <f t="shared" si="91"/>
        <v>137.00</v>
      </c>
      <c r="K810" t="s">
        <v>1777</v>
      </c>
    </row>
    <row r="811" spans="1:11" x14ac:dyDescent="0.45">
      <c r="A811" t="str">
        <f t="shared" si="89"/>
        <v>&lt;note time="178.295" string="1" fret="4" palmMute="1" /&gt;</v>
      </c>
      <c r="D811" s="3">
        <f t="shared" si="86"/>
        <v>178.29499999999999</v>
      </c>
      <c r="E811" s="3">
        <f t="shared" si="87"/>
        <v>142.44999999999999</v>
      </c>
      <c r="F811" t="str">
        <f t="shared" si="90"/>
        <v>142.250</v>
      </c>
      <c r="G811" t="s">
        <v>222</v>
      </c>
      <c r="I811" t="str">
        <f t="shared" si="88"/>
        <v>&lt;note time="178.2950" string="1" fret="2" /&gt;</v>
      </c>
      <c r="J811" t="str">
        <f t="shared" si="91"/>
        <v>137.25</v>
      </c>
      <c r="K811" t="s">
        <v>1778</v>
      </c>
    </row>
    <row r="812" spans="1:11" x14ac:dyDescent="0.45">
      <c r="A812" t="str">
        <f t="shared" si="89"/>
        <v>&lt;note time="178.451" string="0" fret="7" palmMute="1" /&gt;</v>
      </c>
      <c r="D812" s="3">
        <f t="shared" si="86"/>
        <v>178.45099999999999</v>
      </c>
      <c r="E812" s="3">
        <f t="shared" si="87"/>
        <v>142.57499999999999</v>
      </c>
      <c r="F812" t="str">
        <f t="shared" si="90"/>
        <v>142.375</v>
      </c>
      <c r="G812" t="s">
        <v>223</v>
      </c>
      <c r="I812" t="str">
        <f t="shared" si="88"/>
        <v>&lt;note time="178.4510" string="1" fret="2" /&gt;</v>
      </c>
      <c r="J812" t="str">
        <f t="shared" si="91"/>
        <v>137.50</v>
      </c>
      <c r="K812" t="s">
        <v>1779</v>
      </c>
    </row>
    <row r="813" spans="1:11" x14ac:dyDescent="0.45">
      <c r="A813" t="str">
        <f t="shared" si="89"/>
        <v>&lt;note time="178.608" string="1" fret="4" sustain="0.497" vibrato="80" /&gt;</v>
      </c>
      <c r="D813" s="3">
        <f t="shared" si="86"/>
        <v>178.608</v>
      </c>
      <c r="E813" s="3">
        <f t="shared" si="87"/>
        <v>142.69999999999999</v>
      </c>
      <c r="F813" t="str">
        <f t="shared" si="90"/>
        <v>142.500</v>
      </c>
      <c r="G813" t="s">
        <v>224</v>
      </c>
      <c r="I813" t="str">
        <f t="shared" si="88"/>
        <v>&lt;note time="178.6080" string="1" fret="2" /&gt;</v>
      </c>
      <c r="J813" t="str">
        <f t="shared" si="91"/>
        <v>137.75</v>
      </c>
      <c r="K813" t="s">
        <v>1780</v>
      </c>
    </row>
    <row r="814" spans="1:11" x14ac:dyDescent="0.45">
      <c r="A814" t="str">
        <f t="shared" si="89"/>
        <v>&lt;chord time="179.234" chordId="3" &gt;&lt;chordNote time="179.234" string="1" fret="4" leftHand="1" /&gt;&lt;chordNote time="179.234" string="2" fret="6" leftHand="3" /&gt;&lt;chordNote time="179.234" string="3" fret="6" leftHand="4" /&gt;&lt;/chord&gt;</v>
      </c>
      <c r="D814" s="3">
        <f t="shared" si="86"/>
        <v>179.23400000000001</v>
      </c>
      <c r="E814" s="3">
        <f t="shared" si="87"/>
        <v>143.19999999999999</v>
      </c>
      <c r="F814" t="str">
        <f t="shared" ref="F814:F853" si="92">RIGHT(LEFT(G814,20),7)</f>
        <v>143.000</v>
      </c>
      <c r="G814" t="s">
        <v>920</v>
      </c>
      <c r="I814" t="str">
        <f t="shared" si="88"/>
        <v>&lt;note time="179.2340" string="1" fret="2" /&gt;</v>
      </c>
      <c r="J814" t="str">
        <f t="shared" si="91"/>
        <v>138.00</v>
      </c>
      <c r="K814" t="s">
        <v>1781</v>
      </c>
    </row>
    <row r="815" spans="1:11" x14ac:dyDescent="0.45">
      <c r="A815" t="str">
        <f t="shared" si="89"/>
        <v>&lt;chord time="179.547" chordId="3" highDensity="1" &gt;&lt;chordNote time="179.547" string="1" fret="4" leftHand="1" /&gt;&lt;chordNote time="179.547" string="2" fret="6" leftHand="3" /&gt;&lt;chordNote time="179.547" string="3" fret="6" leftHand="4" /&gt;&lt;/chord&gt;</v>
      </c>
      <c r="D815" s="3">
        <f t="shared" si="86"/>
        <v>179.547</v>
      </c>
      <c r="E815" s="3">
        <f t="shared" si="87"/>
        <v>143.44999999999999</v>
      </c>
      <c r="F815" t="str">
        <f t="shared" si="92"/>
        <v>143.250</v>
      </c>
      <c r="G815" t="s">
        <v>921</v>
      </c>
      <c r="I815" t="str">
        <f t="shared" si="88"/>
        <v>&lt;note time="179.5470" string="1" fret="2" /&gt;</v>
      </c>
      <c r="J815" t="str">
        <f t="shared" si="91"/>
        <v>138.25</v>
      </c>
      <c r="K815" t="s">
        <v>1782</v>
      </c>
    </row>
    <row r="816" spans="1:11" x14ac:dyDescent="0.45">
      <c r="A816" t="str">
        <f t="shared" si="89"/>
        <v>&lt;chord time="179.860" chordId="4" &gt;&lt;chordNote time="179.860" string="1" fret="2" leftHand="1" /&gt;&lt;chordNote time="179.860" string="2" fret="4" leftHand="3" /&gt;&lt;chordNote time="179.860" string="3" fret="4" leftHand="4" /&gt;&lt;/chord&gt;</v>
      </c>
      <c r="D816" s="3">
        <f t="shared" si="86"/>
        <v>179.86</v>
      </c>
      <c r="E816" s="3">
        <f t="shared" si="87"/>
        <v>143.69999999999999</v>
      </c>
      <c r="F816" t="str">
        <f t="shared" si="92"/>
        <v>143.500</v>
      </c>
      <c r="G816" t="s">
        <v>922</v>
      </c>
      <c r="I816" t="str">
        <f t="shared" si="88"/>
        <v>&lt;note time="179.8600" string="1" fret="2" /&gt;</v>
      </c>
      <c r="J816" t="str">
        <f t="shared" si="91"/>
        <v>138.50</v>
      </c>
      <c r="K816" t="s">
        <v>1783</v>
      </c>
    </row>
    <row r="817" spans="1:11" x14ac:dyDescent="0.45">
      <c r="A817" t="str">
        <f t="shared" si="89"/>
        <v>&lt;chord time="180.173" chordId="4" highDensity="1" &gt;&lt;chordNote time="180.173" string="1" fret="2" leftHand="1" /&gt;&lt;chordNote time="180.173" string="2" fret="4" leftHand="3" /&gt;&lt;chordNote time="180.173" string="3" fret="4" leftHand="4" /&gt;&lt;/chord&gt;</v>
      </c>
      <c r="D817" s="3">
        <f t="shared" si="86"/>
        <v>180.173</v>
      </c>
      <c r="E817" s="3">
        <f t="shared" si="87"/>
        <v>143.94999999999999</v>
      </c>
      <c r="F817" t="str">
        <f t="shared" si="92"/>
        <v>143.750</v>
      </c>
      <c r="G817" t="s">
        <v>923</v>
      </c>
      <c r="I817" t="str">
        <f t="shared" si="88"/>
        <v>&lt;note time="180.1730" string="1" fret="2" /&gt;</v>
      </c>
      <c r="J817" t="str">
        <f t="shared" si="91"/>
        <v>138.75</v>
      </c>
      <c r="K817" t="s">
        <v>1784</v>
      </c>
    </row>
    <row r="818" spans="1:11" x14ac:dyDescent="0.45">
      <c r="A818" t="str">
        <f t="shared" si="89"/>
        <v>&lt;chord time="180.486" chordId="5" &gt;&lt;chordNote time="180.486" string="0" fret="0" /&gt;&lt;chordNote time="180.486" string="1" fret="2" leftHand="2" /&gt;&lt;chordNote time="180.486" string="2" fret="2" leftHand="3" /&gt;&lt;/chord&gt;</v>
      </c>
      <c r="D818" s="3">
        <f t="shared" si="86"/>
        <v>180.48599999999999</v>
      </c>
      <c r="E818" s="3">
        <f t="shared" si="87"/>
        <v>144.19999999999999</v>
      </c>
      <c r="F818" t="str">
        <f t="shared" si="92"/>
        <v>144.000</v>
      </c>
      <c r="G818" t="s">
        <v>924</v>
      </c>
      <c r="I818" t="str">
        <f t="shared" si="88"/>
        <v>&lt;note time="180.4860" string="0" fret="0" /&gt;</v>
      </c>
      <c r="J818" t="str">
        <f t="shared" si="91"/>
        <v>139.00</v>
      </c>
      <c r="K818" t="s">
        <v>1785</v>
      </c>
    </row>
    <row r="819" spans="1:11" x14ac:dyDescent="0.45">
      <c r="A819" t="str">
        <f t="shared" si="89"/>
        <v>&lt;chord time="181.738" chordId="5" highDensity="1" &gt;&lt;chordNote time="181.738" string="0" fret="0" /&gt;&lt;chordNote time="181.738" string="1" fret="2" leftHand="2" /&gt;&lt;chordNote time="181.738" string="2" fret="2" leftHand="3" /&gt;&lt;/chord&gt;</v>
      </c>
      <c r="D819" s="3">
        <f t="shared" si="86"/>
        <v>181.738</v>
      </c>
      <c r="E819" s="3">
        <f t="shared" si="87"/>
        <v>145.19999999999999</v>
      </c>
      <c r="F819" t="str">
        <f t="shared" si="92"/>
        <v>145.000</v>
      </c>
      <c r="G819" t="s">
        <v>925</v>
      </c>
      <c r="I819" t="str">
        <f t="shared" si="88"/>
        <v>&lt;note time="181.7380" string="0" fret="0" /&gt;</v>
      </c>
      <c r="J819" t="str">
        <f t="shared" si="91"/>
        <v>139.25</v>
      </c>
      <c r="K819" t="s">
        <v>1786</v>
      </c>
    </row>
    <row r="820" spans="1:11" x14ac:dyDescent="0.45">
      <c r="A820" t="str">
        <f t="shared" si="89"/>
        <v>&lt;chord time="182.051" chordId="5" highDensity="1" &gt;&lt;chordNote time="182.051" string="0" fret="0" /&gt;&lt;chordNote time="182.051" string="1" fret="2" leftHand="2" /&gt;&lt;chordNote time="182.051" string="2" fret="2" leftHand="3" /&gt;&lt;/chord&gt;</v>
      </c>
      <c r="D820" s="3">
        <f t="shared" si="86"/>
        <v>182.05099999999999</v>
      </c>
      <c r="E820" s="3">
        <f t="shared" si="87"/>
        <v>145.44999999999999</v>
      </c>
      <c r="F820" t="str">
        <f t="shared" si="92"/>
        <v>145.250</v>
      </c>
      <c r="G820" t="s">
        <v>926</v>
      </c>
      <c r="I820" t="str">
        <f t="shared" si="88"/>
        <v>&lt;note time="182.0510" string="0" fret="0" /&gt;</v>
      </c>
      <c r="J820" t="str">
        <f t="shared" si="91"/>
        <v>139.50</v>
      </c>
      <c r="K820" t="s">
        <v>1787</v>
      </c>
    </row>
    <row r="821" spans="1:11" x14ac:dyDescent="0.45">
      <c r="A821" t="str">
        <f t="shared" si="89"/>
        <v>&lt;chord time="182.364" chordId="2" &gt;&lt;chordNote time="182.364" string="0" fret="2" leftHand="1" /&gt;&lt;chordNote time="182.364" string="1" fret="4" leftHand="3" /&gt;&lt;chordNote time="182.364" string="2" fret="4" leftHand="4" /&gt;&lt;/chord&gt;</v>
      </c>
      <c r="D821" s="3">
        <f t="shared" si="86"/>
        <v>182.364</v>
      </c>
      <c r="E821" s="3">
        <f t="shared" si="87"/>
        <v>145.69999999999999</v>
      </c>
      <c r="F821" t="str">
        <f t="shared" si="92"/>
        <v>145.500</v>
      </c>
      <c r="G821" t="s">
        <v>927</v>
      </c>
      <c r="I821" t="str">
        <f t="shared" si="88"/>
        <v>&lt;note time="182.3640" string="0" fret="0" /&gt;</v>
      </c>
      <c r="J821" t="str">
        <f t="shared" si="91"/>
        <v>139.75</v>
      </c>
      <c r="K821" t="s">
        <v>1788</v>
      </c>
    </row>
    <row r="822" spans="1:11" x14ac:dyDescent="0.45">
      <c r="A822" t="str">
        <f t="shared" si="89"/>
        <v>&lt;chord time="182.677" chordId="2" highDensity="1" &gt;&lt;chordNote time="182.677" string="0" fret="2" leftHand="1" /&gt;&lt;chordNote time="182.677" string="1" fret="4" leftHand="3" /&gt;&lt;chordNote time="182.677" string="2" fret="4" leftHand="4" /&gt;&lt;/chord&gt;</v>
      </c>
      <c r="D822" s="3">
        <f t="shared" si="86"/>
        <v>182.67699999999999</v>
      </c>
      <c r="E822" s="3">
        <f t="shared" si="87"/>
        <v>145.94999999999999</v>
      </c>
      <c r="F822" t="str">
        <f t="shared" si="92"/>
        <v>145.750</v>
      </c>
      <c r="G822" t="s">
        <v>928</v>
      </c>
      <c r="I822" t="str">
        <f t="shared" si="88"/>
        <v>&lt;note time="182.6770" string="0" fret="0" /&gt;</v>
      </c>
      <c r="J822" t="str">
        <f t="shared" si="91"/>
        <v>140.00</v>
      </c>
      <c r="K822" t="s">
        <v>1789</v>
      </c>
    </row>
    <row r="823" spans="1:11" x14ac:dyDescent="0.45">
      <c r="A823" t="str">
        <f t="shared" si="89"/>
        <v>&lt;chord time="182.990" chordId="3" &gt;&lt;chordNote time="182.990" string="1" fret="4" leftHand="1" /&gt;&lt;chordNote time="182.990" string="2" fret="6" leftHand="3" /&gt;&lt;chordNote time="182.990" string="3" fret="6" leftHand="4" /&gt;&lt;/chord&gt;</v>
      </c>
      <c r="D823" s="3">
        <f t="shared" si="86"/>
        <v>182.99</v>
      </c>
      <c r="E823" s="3">
        <f t="shared" si="87"/>
        <v>146.19999999999999</v>
      </c>
      <c r="F823" t="str">
        <f t="shared" si="92"/>
        <v>146.000</v>
      </c>
      <c r="G823" t="s">
        <v>929</v>
      </c>
      <c r="I823" t="str">
        <f t="shared" si="88"/>
        <v>&lt;note time="182.9900" string="0" fret="0" /&gt;</v>
      </c>
      <c r="J823" t="str">
        <f t="shared" si="91"/>
        <v>140.25</v>
      </c>
      <c r="K823" t="s">
        <v>1790</v>
      </c>
    </row>
    <row r="824" spans="1:11" x14ac:dyDescent="0.45">
      <c r="A824" t="str">
        <f t="shared" si="89"/>
        <v>&lt;chord time="184.241" chordId="3" highDensity="1" &gt;&lt;chordNote time="184.241" string="1" fret="4" leftHand="1" /&gt;&lt;chordNote time="184.241" string="2" fret="6" leftHand="3" /&gt;&lt;chordNote time="184.241" string="3" fret="6" leftHand="4" /&gt;&lt;/chord&gt;</v>
      </c>
      <c r="D824" s="3">
        <f t="shared" si="86"/>
        <v>184.24100000000001</v>
      </c>
      <c r="E824" s="3">
        <f t="shared" si="87"/>
        <v>147.19999999999999</v>
      </c>
      <c r="F824" t="str">
        <f t="shared" si="92"/>
        <v>147.000</v>
      </c>
      <c r="G824" t="s">
        <v>930</v>
      </c>
      <c r="I824" t="str">
        <f t="shared" si="88"/>
        <v>&lt;note time="184.2410" string="0" fret="0" /&gt;</v>
      </c>
      <c r="J824" t="str">
        <f t="shared" si="91"/>
        <v>140.50</v>
      </c>
      <c r="K824" t="s">
        <v>1791</v>
      </c>
    </row>
    <row r="825" spans="1:11" x14ac:dyDescent="0.45">
      <c r="A825" t="str">
        <f t="shared" si="89"/>
        <v>&lt;chord time="184.554" chordId="3" highDensity="1" &gt;&lt;chordNote time="184.554" string="1" fret="4" leftHand="1" /&gt;&lt;chordNote time="184.554" string="2" fret="6" leftHand="3" /&gt;&lt;chordNote time="184.554" string="3" fret="6" leftHand="4" /&gt;&lt;/chord&gt;</v>
      </c>
      <c r="D825" s="3">
        <f t="shared" si="86"/>
        <v>184.554</v>
      </c>
      <c r="E825" s="3">
        <f t="shared" si="87"/>
        <v>147.44999999999999</v>
      </c>
      <c r="F825" t="str">
        <f t="shared" si="92"/>
        <v>147.250</v>
      </c>
      <c r="G825" t="s">
        <v>931</v>
      </c>
      <c r="I825" t="str">
        <f t="shared" si="88"/>
        <v>&lt;note time="184.5540" string="0" fret="0" /&gt;</v>
      </c>
      <c r="J825" t="str">
        <f t="shared" si="91"/>
        <v>140.75</v>
      </c>
      <c r="K825" t="s">
        <v>1792</v>
      </c>
    </row>
    <row r="826" spans="1:11" x14ac:dyDescent="0.45">
      <c r="A826" t="str">
        <f t="shared" si="89"/>
        <v>&lt;chord time="184.867" chordId="4" &gt;&lt;chordNote time="184.867" string="1" fret="2" leftHand="1" /&gt;&lt;chordNote time="184.867" string="2" fret="4" leftHand="3" /&gt;&lt;chordNote time="184.867" string="3" fret="4" leftHand="4" /&gt;&lt;/chord&gt;</v>
      </c>
      <c r="D826" s="3">
        <f t="shared" si="86"/>
        <v>184.86699999999999</v>
      </c>
      <c r="E826" s="3">
        <f t="shared" si="87"/>
        <v>147.69999999999999</v>
      </c>
      <c r="F826" t="str">
        <f t="shared" si="92"/>
        <v>147.500</v>
      </c>
      <c r="G826" t="s">
        <v>932</v>
      </c>
      <c r="I826" t="str">
        <f t="shared" si="88"/>
        <v>&lt;note time="184.8670" string="0" fret="0" /&gt;</v>
      </c>
      <c r="J826" t="str">
        <f t="shared" si="91"/>
        <v>141.00</v>
      </c>
      <c r="K826" t="s">
        <v>1793</v>
      </c>
    </row>
    <row r="827" spans="1:11" x14ac:dyDescent="0.45">
      <c r="A827" t="str">
        <f t="shared" si="89"/>
        <v>&lt;chord time="185.180" chordId="4" highDensity="1" &gt;&lt;chordNote time="185.180" string="1" fret="2" leftHand="1" /&gt;&lt;chordNote time="185.180" string="2" fret="4" leftHand="3" /&gt;&lt;chordNote time="185.180" string="3" fret="4" leftHand="4" /&gt;&lt;/chord&gt;</v>
      </c>
      <c r="D827" s="3">
        <f t="shared" si="86"/>
        <v>185.18</v>
      </c>
      <c r="E827" s="3">
        <f t="shared" si="87"/>
        <v>147.94999999999999</v>
      </c>
      <c r="F827" t="str">
        <f t="shared" si="92"/>
        <v>147.750</v>
      </c>
      <c r="G827" t="s">
        <v>933</v>
      </c>
      <c r="I827" t="str">
        <f t="shared" si="88"/>
        <v>&lt;note time="185.1800" string="0" fret="0" /&gt;</v>
      </c>
      <c r="J827" t="str">
        <f t="shared" si="91"/>
        <v>141.25</v>
      </c>
      <c r="K827" t="s">
        <v>1794</v>
      </c>
    </row>
    <row r="828" spans="1:11" x14ac:dyDescent="0.45">
      <c r="A828" t="str">
        <f t="shared" si="89"/>
        <v>&lt;chord time="185.493" chordId="5" &gt;&lt;chordNote time="185.493" string="0" fret="0" /&gt;&lt;chordNote time="185.493" string="1" fret="2" leftHand="2" /&gt;&lt;chordNote time="185.493" string="2" fret="2" leftHand="3" /&gt;&lt;/chord&gt;</v>
      </c>
      <c r="D828" s="3">
        <f t="shared" si="86"/>
        <v>185.49299999999999</v>
      </c>
      <c r="E828" s="3">
        <f t="shared" si="87"/>
        <v>148.19999999999999</v>
      </c>
      <c r="F828" t="str">
        <f t="shared" si="92"/>
        <v>148.000</v>
      </c>
      <c r="G828" t="s">
        <v>934</v>
      </c>
      <c r="I828" t="str">
        <f t="shared" si="88"/>
        <v>&lt;note time="185.4930" string="0" fret="0" /&gt;</v>
      </c>
      <c r="J828" t="str">
        <f t="shared" si="91"/>
        <v>141.50</v>
      </c>
      <c r="K828" t="s">
        <v>1795</v>
      </c>
    </row>
    <row r="829" spans="1:11" x14ac:dyDescent="0.45">
      <c r="A829" t="str">
        <f t="shared" si="89"/>
        <v>&lt;chord time="186.745" chordId="5" highDensity="1" &gt;&lt;chordNote time="186.745" string="0" fret="0" /&gt;&lt;chordNote time="186.745" string="1" fret="2" leftHand="2" /&gt;&lt;chordNote time="186.745" string="2" fret="2" leftHand="3" /&gt;&lt;/chord&gt;</v>
      </c>
      <c r="D829" s="3">
        <f t="shared" si="86"/>
        <v>186.745</v>
      </c>
      <c r="E829" s="3">
        <f t="shared" si="87"/>
        <v>149.19999999999999</v>
      </c>
      <c r="F829" t="str">
        <f t="shared" si="92"/>
        <v>149.000</v>
      </c>
      <c r="G829" t="s">
        <v>935</v>
      </c>
      <c r="I829" t="str">
        <f t="shared" si="88"/>
        <v>&lt;note time="186.7450" string="0" fret="0" /&gt;</v>
      </c>
      <c r="J829" t="str">
        <f t="shared" si="91"/>
        <v>141.75</v>
      </c>
      <c r="K829" t="s">
        <v>1796</v>
      </c>
    </row>
    <row r="830" spans="1:11" x14ac:dyDescent="0.45">
      <c r="A830" t="str">
        <f t="shared" si="89"/>
        <v>&lt;chord time="187.058" chordId="5" highDensity="1" &gt;&lt;chordNote time="187.058" string="0" fret="0" /&gt;&lt;chordNote time="187.058" string="1" fret="2" leftHand="2" /&gt;&lt;chordNote time="187.058" string="2" fret="2" leftHand="3" /&gt;&lt;/chord&gt;</v>
      </c>
      <c r="D830" s="3">
        <f t="shared" si="86"/>
        <v>187.05799999999999</v>
      </c>
      <c r="E830" s="3">
        <f t="shared" si="87"/>
        <v>149.44999999999999</v>
      </c>
      <c r="F830" t="str">
        <f t="shared" si="92"/>
        <v>149.250</v>
      </c>
      <c r="G830" t="s">
        <v>936</v>
      </c>
      <c r="I830" t="str">
        <f t="shared" si="88"/>
        <v>&lt;note time="187.0580" string="0" fret="0" /&gt;</v>
      </c>
      <c r="J830" t="str">
        <f t="shared" si="91"/>
        <v>142.00</v>
      </c>
      <c r="K830" t="s">
        <v>1797</v>
      </c>
    </row>
    <row r="831" spans="1:11" x14ac:dyDescent="0.45">
      <c r="A831" t="str">
        <f t="shared" si="89"/>
        <v>&lt;chord time="187.371" chordId="2" &gt;&lt;chordNote time="187.371" string="0" fret="2" leftHand="1" /&gt;&lt;chordNote time="187.371" string="1" fret="4" leftHand="3" /&gt;&lt;chordNote time="187.371" string="2" fret="4" leftHand="4" /&gt;&lt;/chord&gt;</v>
      </c>
      <c r="D831" s="3">
        <f t="shared" si="86"/>
        <v>187.37100000000001</v>
      </c>
      <c r="E831" s="3">
        <f t="shared" si="87"/>
        <v>149.69999999999999</v>
      </c>
      <c r="F831" t="str">
        <f t="shared" si="92"/>
        <v>149.500</v>
      </c>
      <c r="G831" t="s">
        <v>937</v>
      </c>
      <c r="I831" t="str">
        <f t="shared" si="88"/>
        <v>&lt;note time="187.3710" string="0" fret="0" /&gt;</v>
      </c>
      <c r="J831" t="str">
        <f t="shared" si="91"/>
        <v>142.25</v>
      </c>
      <c r="K831" t="s">
        <v>1798</v>
      </c>
    </row>
    <row r="832" spans="1:11" x14ac:dyDescent="0.45">
      <c r="A832" t="str">
        <f t="shared" si="89"/>
        <v>&lt;chord time="187.684" chordId="2" highDensity="1" &gt;&lt;chordNote time="187.684" string="0" fret="2" leftHand="1" /&gt;&lt;chordNote time="187.684" string="1" fret="4" leftHand="3" /&gt;&lt;chordNote time="187.684" string="2" fret="4" leftHand="4" /&gt;&lt;/chord&gt;</v>
      </c>
      <c r="D832" s="3">
        <f t="shared" si="86"/>
        <v>187.684</v>
      </c>
      <c r="E832" s="3">
        <f t="shared" si="87"/>
        <v>149.94999999999999</v>
      </c>
      <c r="F832" t="str">
        <f t="shared" si="92"/>
        <v>149.750</v>
      </c>
      <c r="G832" t="s">
        <v>938</v>
      </c>
      <c r="I832" t="str">
        <f t="shared" si="88"/>
        <v>&lt;note time="187.6840" string="0" fret="0" /&gt;</v>
      </c>
      <c r="J832" t="str">
        <f t="shared" si="91"/>
        <v>142.50</v>
      </c>
      <c r="K832" t="s">
        <v>1799</v>
      </c>
    </row>
    <row r="833" spans="1:11" x14ac:dyDescent="0.45">
      <c r="A833" t="str">
        <f t="shared" si="89"/>
        <v>&lt;chord time="187.997" chordId="3" &gt;&lt;chordNote time="187.997" string="1" fret="4" leftHand="1" /&gt;&lt;chordNote time="187.997" string="2" fret="6" leftHand="3" /&gt;&lt;chordNote time="187.997" string="3" fret="6" leftHand="4" /&gt;&lt;/chord&gt;</v>
      </c>
      <c r="D833" s="3">
        <f t="shared" si="86"/>
        <v>187.99700000000001</v>
      </c>
      <c r="E833" s="3">
        <f t="shared" si="87"/>
        <v>150.19999999999999</v>
      </c>
      <c r="F833" t="str">
        <f t="shared" si="92"/>
        <v>150.000</v>
      </c>
      <c r="G833" t="s">
        <v>939</v>
      </c>
      <c r="I833" t="str">
        <f t="shared" si="88"/>
        <v>&lt;note time="187.9970" string="0" fret="0" /&gt;</v>
      </c>
      <c r="J833" t="str">
        <f t="shared" si="91"/>
        <v>142.75</v>
      </c>
      <c r="K833" t="s">
        <v>1800</v>
      </c>
    </row>
    <row r="834" spans="1:11" x14ac:dyDescent="0.45">
      <c r="A834" t="str">
        <f t="shared" si="89"/>
        <v>&lt;chord time="189.249" chordId="3" highDensity="1" &gt;&lt;chordNote time="189.249" string="1" fret="4" leftHand="1" /&gt;&lt;chordNote time="189.249" string="2" fret="6" leftHand="3" /&gt;&lt;chordNote time="189.249" string="3" fret="6" leftHand="4" /&gt;&lt;/chord&gt;</v>
      </c>
      <c r="D834" s="3">
        <f t="shared" ref="D834:D897" si="93">ROUNDDOWN(E834-($C$3*(E834-$E$1)/100),3)</f>
        <v>189.249</v>
      </c>
      <c r="E834" s="3">
        <f t="shared" ref="E834:E897" si="94">0.2+F834</f>
        <v>151.19999999999999</v>
      </c>
      <c r="F834" t="str">
        <f t="shared" si="92"/>
        <v>151.000</v>
      </c>
      <c r="G834" t="s">
        <v>940</v>
      </c>
      <c r="I834" t="str">
        <f t="shared" ref="I834:I897" si="95">SUBSTITUTE(K834,J834,TEXT(D834,"0.000"))</f>
        <v>&lt;note time="189.2490" string="1" fret="4" /&gt;</v>
      </c>
      <c r="J834" t="str">
        <f t="shared" si="91"/>
        <v>143.00</v>
      </c>
      <c r="K834" t="s">
        <v>1801</v>
      </c>
    </row>
    <row r="835" spans="1:11" x14ac:dyDescent="0.45">
      <c r="A835" t="str">
        <f t="shared" si="89"/>
        <v>&lt;chord time="189.562" chordId="3" highDensity="1" &gt;&lt;chordNote time="189.562" string="1" fret="4" leftHand="1" /&gt;&lt;chordNote time="189.562" string="2" fret="6" leftHand="3" /&gt;&lt;chordNote time="189.562" string="3" fret="6" leftHand="4" /&gt;&lt;/chord&gt;</v>
      </c>
      <c r="D835" s="3">
        <f t="shared" si="93"/>
        <v>189.56200000000001</v>
      </c>
      <c r="E835" s="3">
        <f t="shared" si="94"/>
        <v>151.44999999999999</v>
      </c>
      <c r="F835" t="str">
        <f t="shared" si="92"/>
        <v>151.250</v>
      </c>
      <c r="G835" t="s">
        <v>941</v>
      </c>
      <c r="I835" t="str">
        <f t="shared" si="95"/>
        <v>&lt;note time="189.5620" string="1" fret="4" /&gt;</v>
      </c>
      <c r="J835" t="str">
        <f t="shared" si="91"/>
        <v>143.25</v>
      </c>
      <c r="K835" t="s">
        <v>1802</v>
      </c>
    </row>
    <row r="836" spans="1:11" x14ac:dyDescent="0.45">
      <c r="A836" t="str">
        <f t="shared" si="89"/>
        <v>&lt;chord time="189.875" chordId="4" &gt;&lt;chordNote time="189.875" string="1" fret="2" leftHand="1" /&gt;&lt;chordNote time="189.875" string="2" fret="4" leftHand="3" /&gt;&lt;chordNote time="189.875" string="3" fret="4" leftHand="4" /&gt;&lt;/chord&gt;</v>
      </c>
      <c r="D836" s="3">
        <f t="shared" si="93"/>
        <v>189.875</v>
      </c>
      <c r="E836" s="3">
        <f t="shared" si="94"/>
        <v>151.69999999999999</v>
      </c>
      <c r="F836" t="str">
        <f t="shared" si="92"/>
        <v>151.500</v>
      </c>
      <c r="G836" t="s">
        <v>942</v>
      </c>
      <c r="I836" t="str">
        <f t="shared" si="95"/>
        <v>&lt;note time="189.8750" string="1" fret="2" /&gt;</v>
      </c>
      <c r="J836" t="str">
        <f t="shared" si="91"/>
        <v>143.50</v>
      </c>
      <c r="K836" t="s">
        <v>1803</v>
      </c>
    </row>
    <row r="837" spans="1:11" x14ac:dyDescent="0.45">
      <c r="A837" t="str">
        <f t="shared" si="89"/>
        <v>&lt;chord time="190.188" chordId="4" highDensity="1" &gt;&lt;chordNote time="190.188" string="1" fret="2" leftHand="1" /&gt;&lt;chordNote time="190.188" string="2" fret="4" leftHand="3" /&gt;&lt;chordNote time="190.188" string="3" fret="4" leftHand="4" /&gt;&lt;/chord&gt;</v>
      </c>
      <c r="D837" s="3">
        <f t="shared" si="93"/>
        <v>190.18799999999999</v>
      </c>
      <c r="E837" s="3">
        <f t="shared" si="94"/>
        <v>151.94999999999999</v>
      </c>
      <c r="F837" t="str">
        <f t="shared" si="92"/>
        <v>151.750</v>
      </c>
      <c r="G837" t="s">
        <v>943</v>
      </c>
      <c r="I837" t="str">
        <f t="shared" si="95"/>
        <v>&lt;note time="190.1880" string="1" fret="2" /&gt;</v>
      </c>
      <c r="J837" t="str">
        <f t="shared" si="91"/>
        <v>143.75</v>
      </c>
      <c r="K837" t="s">
        <v>1804</v>
      </c>
    </row>
    <row r="838" spans="1:11" x14ac:dyDescent="0.45">
      <c r="A838" t="str">
        <f t="shared" si="89"/>
        <v>&lt;chord time="190.501" chordId="5" &gt;&lt;chordNote time="190.501" string="0" fret="0" /&gt;&lt;chordNote time="190.501" string="1" fret="2" leftHand="2" /&gt;&lt;chordNote time="190.501" string="2" fret="2" leftHand="3" /&gt;&lt;/chord&gt;</v>
      </c>
      <c r="D838" s="3">
        <f t="shared" si="93"/>
        <v>190.501</v>
      </c>
      <c r="E838" s="3">
        <f t="shared" si="94"/>
        <v>152.19999999999999</v>
      </c>
      <c r="F838" t="str">
        <f t="shared" si="92"/>
        <v>152.000</v>
      </c>
      <c r="G838" t="s">
        <v>944</v>
      </c>
      <c r="I838" t="str">
        <f t="shared" si="95"/>
        <v>&lt;note time="190.5010" string="0" fret="0" sustain="0.500" /&gt;</v>
      </c>
      <c r="J838" t="str">
        <f t="shared" si="91"/>
        <v>144.00</v>
      </c>
      <c r="K838" t="s">
        <v>1805</v>
      </c>
    </row>
    <row r="839" spans="1:11" x14ac:dyDescent="0.45">
      <c r="A839" t="str">
        <f t="shared" si="89"/>
        <v>&lt;chord time="191.753" chordId="5" highDensity="1" &gt;&lt;chordNote time="191.753" string="0" fret="0" /&gt;&lt;chordNote time="191.753" string="1" fret="2" leftHand="2" /&gt;&lt;chordNote time="191.753" string="2" fret="2" leftHand="3" /&gt;&lt;/chord&gt;</v>
      </c>
      <c r="D839" s="3">
        <f t="shared" si="93"/>
        <v>191.75299999999999</v>
      </c>
      <c r="E839" s="3">
        <f t="shared" si="94"/>
        <v>153.19999999999999</v>
      </c>
      <c r="F839" t="str">
        <f t="shared" si="92"/>
        <v>153.000</v>
      </c>
      <c r="G839" t="s">
        <v>945</v>
      </c>
      <c r="I839" t="str">
        <f t="shared" si="95"/>
        <v>&lt;note time="191.7530" string="0" fret="0" /&gt;</v>
      </c>
      <c r="J839" t="str">
        <f t="shared" si="91"/>
        <v>145.00</v>
      </c>
      <c r="K839" t="s">
        <v>1806</v>
      </c>
    </row>
    <row r="840" spans="1:11" x14ac:dyDescent="0.45">
      <c r="A840" t="str">
        <f t="shared" si="89"/>
        <v>&lt;chord time="192.066" chordId="5" highDensity="1" &gt;&lt;chordNote time="192.066" string="0" fret="0" /&gt;&lt;chordNote time="192.066" string="1" fret="2" leftHand="2" /&gt;&lt;chordNote time="192.066" string="2" fret="2" leftHand="3" /&gt;&lt;/chord&gt;</v>
      </c>
      <c r="D840" s="3">
        <f t="shared" si="93"/>
        <v>192.066</v>
      </c>
      <c r="E840" s="3">
        <f t="shared" si="94"/>
        <v>153.44999999999999</v>
      </c>
      <c r="F840" t="str">
        <f t="shared" si="92"/>
        <v>153.250</v>
      </c>
      <c r="G840" t="s">
        <v>946</v>
      </c>
      <c r="I840" t="str">
        <f t="shared" si="95"/>
        <v>&lt;note time="192.0660" string="0" fret="0" /&gt;</v>
      </c>
      <c r="J840" t="str">
        <f t="shared" si="91"/>
        <v>145.25</v>
      </c>
      <c r="K840" t="s">
        <v>1807</v>
      </c>
    </row>
    <row r="841" spans="1:11" x14ac:dyDescent="0.45">
      <c r="A841" t="str">
        <f t="shared" si="89"/>
        <v>&lt;chord time="192.379" chordId="2" &gt;&lt;chordNote time="192.379" string="0" fret="2" leftHand="1" /&gt;&lt;chordNote time="192.379" string="1" fret="4" leftHand="3" /&gt;&lt;chordNote time="192.379" string="2" fret="4" leftHand="4" /&gt;&lt;/chord&gt;</v>
      </c>
      <c r="D841" s="3">
        <f t="shared" si="93"/>
        <v>192.37899999999999</v>
      </c>
      <c r="E841" s="3">
        <f t="shared" si="94"/>
        <v>153.69999999999999</v>
      </c>
      <c r="F841" t="str">
        <f t="shared" si="92"/>
        <v>153.500</v>
      </c>
      <c r="G841" t="s">
        <v>947</v>
      </c>
      <c r="I841" t="str">
        <f t="shared" si="95"/>
        <v>&lt;note time="192.3790" string="0" fret="2" /&gt;</v>
      </c>
      <c r="J841" t="str">
        <f t="shared" si="91"/>
        <v>145.50</v>
      </c>
      <c r="K841" t="s">
        <v>1808</v>
      </c>
    </row>
    <row r="842" spans="1:11" x14ac:dyDescent="0.45">
      <c r="A842" t="str">
        <f t="shared" si="89"/>
        <v>&lt;chord time="192.692" chordId="2" highDensity="1" &gt;&lt;chordNote time="192.692" string="0" fret="2" leftHand="1" /&gt;&lt;chordNote time="192.692" string="1" fret="4" leftHand="3" /&gt;&lt;chordNote time="192.692" string="2" fret="4" leftHand="4" /&gt;&lt;/chord&gt;</v>
      </c>
      <c r="D842" s="3">
        <f t="shared" si="93"/>
        <v>192.69200000000001</v>
      </c>
      <c r="E842" s="3">
        <f t="shared" si="94"/>
        <v>153.94999999999999</v>
      </c>
      <c r="F842" t="str">
        <f t="shared" si="92"/>
        <v>153.750</v>
      </c>
      <c r="G842" t="s">
        <v>948</v>
      </c>
      <c r="I842" t="str">
        <f t="shared" si="95"/>
        <v>&lt;note time="192.6920" string="0" fret="2" /&gt;</v>
      </c>
      <c r="J842" t="str">
        <f t="shared" si="91"/>
        <v>145.75</v>
      </c>
      <c r="K842" t="s">
        <v>1809</v>
      </c>
    </row>
    <row r="843" spans="1:11" x14ac:dyDescent="0.45">
      <c r="A843" t="str">
        <f t="shared" si="89"/>
        <v>&lt;chord time="193.005" chordId="3" &gt;&lt;chordNote time="193.005" string="1" fret="4" leftHand="1" /&gt;&lt;chordNote time="193.005" string="2" fret="6" leftHand="3" /&gt;&lt;chordNote time="193.005" string="3" fret="6" leftHand="4" /&gt;&lt;/chord&gt;</v>
      </c>
      <c r="D843" s="3">
        <f t="shared" si="93"/>
        <v>193.005</v>
      </c>
      <c r="E843" s="3">
        <f t="shared" si="94"/>
        <v>154.19999999999999</v>
      </c>
      <c r="F843" t="str">
        <f t="shared" si="92"/>
        <v>154.000</v>
      </c>
      <c r="G843" t="s">
        <v>949</v>
      </c>
      <c r="I843" t="str">
        <f t="shared" si="95"/>
        <v>&lt;note time="193.0050" string="1" fret="4" sustain="0.500" /&gt;</v>
      </c>
      <c r="J843" t="str">
        <f t="shared" si="91"/>
        <v>146.00</v>
      </c>
      <c r="K843" t="s">
        <v>1810</v>
      </c>
    </row>
    <row r="844" spans="1:11" x14ac:dyDescent="0.45">
      <c r="A844" t="str">
        <f t="shared" si="89"/>
        <v>&lt;chord time="194.257" chordId="3" highDensity="1" &gt;&lt;chordNote time="194.257" string="1" fret="4" leftHand="1" /&gt;&lt;chordNote time="194.257" string="2" fret="6" leftHand="3" /&gt;&lt;chordNote time="194.257" string="3" fret="6" leftHand="4" /&gt;&lt;/chord&gt;</v>
      </c>
      <c r="D844" s="3">
        <f t="shared" si="93"/>
        <v>194.25700000000001</v>
      </c>
      <c r="E844" s="3">
        <f t="shared" si="94"/>
        <v>155.19999999999999</v>
      </c>
      <c r="F844" t="str">
        <f t="shared" si="92"/>
        <v>155.000</v>
      </c>
      <c r="G844" t="s">
        <v>950</v>
      </c>
      <c r="I844" t="str">
        <f t="shared" si="95"/>
        <v>&lt;note time="194.2570" string="1" fret="4" /&gt;</v>
      </c>
      <c r="J844" t="str">
        <f t="shared" si="91"/>
        <v>147.00</v>
      </c>
      <c r="K844" t="s">
        <v>1811</v>
      </c>
    </row>
    <row r="845" spans="1:11" x14ac:dyDescent="0.45">
      <c r="A845" t="str">
        <f t="shared" si="89"/>
        <v>&lt;chord time="194.570" chordId="3" highDensity="1" &gt;&lt;chordNote time="194.570" string="1" fret="4" leftHand="1" /&gt;&lt;chordNote time="194.570" string="2" fret="6" leftHand="3" /&gt;&lt;chordNote time="194.570" string="3" fret="6" leftHand="4" /&gt;&lt;/chord&gt;</v>
      </c>
      <c r="D845" s="3">
        <f t="shared" si="93"/>
        <v>194.57</v>
      </c>
      <c r="E845" s="3">
        <f t="shared" si="94"/>
        <v>155.44999999999999</v>
      </c>
      <c r="F845" t="str">
        <f t="shared" si="92"/>
        <v>155.250</v>
      </c>
      <c r="G845" t="s">
        <v>951</v>
      </c>
      <c r="I845" t="str">
        <f t="shared" si="95"/>
        <v>&lt;note time="194.5700" string="1" fret="4" /&gt;</v>
      </c>
      <c r="J845" t="str">
        <f t="shared" si="91"/>
        <v>147.25</v>
      </c>
      <c r="K845" t="s">
        <v>1812</v>
      </c>
    </row>
    <row r="846" spans="1:11" x14ac:dyDescent="0.45">
      <c r="A846" t="str">
        <f t="shared" si="89"/>
        <v>&lt;chord time="194.883" chordId="4" &gt;&lt;chordNote time="194.883" string="1" fret="2" leftHand="1" /&gt;&lt;chordNote time="194.883" string="2" fret="4" leftHand="3" /&gt;&lt;chordNote time="194.883" string="3" fret="4" leftHand="4" /&gt;&lt;/chord&gt;</v>
      </c>
      <c r="D846" s="3">
        <f t="shared" si="93"/>
        <v>194.88300000000001</v>
      </c>
      <c r="E846" s="3">
        <f t="shared" si="94"/>
        <v>155.69999999999999</v>
      </c>
      <c r="F846" t="str">
        <f t="shared" si="92"/>
        <v>155.500</v>
      </c>
      <c r="G846" t="s">
        <v>952</v>
      </c>
      <c r="I846" t="str">
        <f t="shared" si="95"/>
        <v>&lt;note time="194.8830" string="1" fret="2" /&gt;</v>
      </c>
      <c r="J846" t="str">
        <f t="shared" si="91"/>
        <v>147.50</v>
      </c>
      <c r="K846" t="s">
        <v>1813</v>
      </c>
    </row>
    <row r="847" spans="1:11" x14ac:dyDescent="0.45">
      <c r="A847" t="str">
        <f t="shared" si="89"/>
        <v>&lt;chord time="195.196" chordId="4" highDensity="1" &gt;&lt;chordNote time="195.196" string="1" fret="2" leftHand="1" /&gt;&lt;chordNote time="195.196" string="2" fret="4" leftHand="3" /&gt;&lt;chordNote time="195.196" string="3" fret="4" leftHand="4" /&gt;&lt;/chord&gt;</v>
      </c>
      <c r="D847" s="3">
        <f t="shared" si="93"/>
        <v>195.196</v>
      </c>
      <c r="E847" s="3">
        <f t="shared" si="94"/>
        <v>155.94999999999999</v>
      </c>
      <c r="F847" t="str">
        <f t="shared" si="92"/>
        <v>155.750</v>
      </c>
      <c r="G847" t="s">
        <v>953</v>
      </c>
      <c r="I847" t="str">
        <f t="shared" si="95"/>
        <v>&lt;note time="195.1960" string="1" fret="2" /&gt;</v>
      </c>
      <c r="J847" t="str">
        <f t="shared" si="91"/>
        <v>147.75</v>
      </c>
      <c r="K847" t="s">
        <v>1814</v>
      </c>
    </row>
    <row r="848" spans="1:11" x14ac:dyDescent="0.45">
      <c r="A848" t="str">
        <f t="shared" si="89"/>
        <v>&lt;chord time="195.509" chordId="5" &gt;&lt;chordNote time="195.509" string="0" fret="0" /&gt;&lt;chordNote time="195.509" string="1" fret="2" leftHand="2" /&gt;&lt;chordNote time="195.509" string="2" fret="2" leftHand="3" /&gt;&lt;/chord&gt;</v>
      </c>
      <c r="D848" s="3">
        <f t="shared" si="93"/>
        <v>195.50899999999999</v>
      </c>
      <c r="E848" s="3">
        <f t="shared" si="94"/>
        <v>156.19999999999999</v>
      </c>
      <c r="F848" t="str">
        <f t="shared" si="92"/>
        <v>156.000</v>
      </c>
      <c r="G848" t="s">
        <v>954</v>
      </c>
      <c r="I848" t="str">
        <f t="shared" si="95"/>
        <v>&lt;note time="195.5090" string="0" fret="0" sustain="0.500" /&gt;</v>
      </c>
      <c r="J848" t="str">
        <f t="shared" si="91"/>
        <v>148.00</v>
      </c>
      <c r="K848" t="s">
        <v>1815</v>
      </c>
    </row>
    <row r="849" spans="1:11" x14ac:dyDescent="0.45">
      <c r="A849" t="str">
        <f t="shared" si="89"/>
        <v>&lt;chord time="196.761" chordId="5" highDensity="1" &gt;&lt;chordNote time="196.761" string="0" fret="0" /&gt;&lt;chordNote time="196.761" string="1" fret="2" leftHand="2" /&gt;&lt;chordNote time="196.761" string="2" fret="2" leftHand="3" /&gt;&lt;/chord&gt;</v>
      </c>
      <c r="D849" s="3">
        <f t="shared" si="93"/>
        <v>196.761</v>
      </c>
      <c r="E849" s="3">
        <f t="shared" si="94"/>
        <v>157.19999999999999</v>
      </c>
      <c r="F849" t="str">
        <f t="shared" si="92"/>
        <v>157.000</v>
      </c>
      <c r="G849" t="s">
        <v>955</v>
      </c>
      <c r="I849" t="str">
        <f t="shared" si="95"/>
        <v>&lt;note time="196.7610" string="0" fret="0" /&gt;</v>
      </c>
      <c r="J849" t="str">
        <f t="shared" si="91"/>
        <v>149.00</v>
      </c>
      <c r="K849" t="s">
        <v>1816</v>
      </c>
    </row>
    <row r="850" spans="1:11" x14ac:dyDescent="0.45">
      <c r="A850" t="str">
        <f t="shared" ref="A850:A913" si="96">SUBSTITUTE(G850,F850,TEXT(D850,"0.000"))</f>
        <v>&lt;chord time="197.074" chordId="5" highDensity="1" &gt;&lt;chordNote time="197.074" string="0" fret="0" /&gt;&lt;chordNote time="197.074" string="1" fret="2" leftHand="2" /&gt;&lt;chordNote time="197.074" string="2" fret="2" leftHand="3" /&gt;&lt;/chord&gt;</v>
      </c>
      <c r="D850" s="3">
        <f t="shared" si="93"/>
        <v>197.07400000000001</v>
      </c>
      <c r="E850" s="3">
        <f t="shared" si="94"/>
        <v>157.44999999999999</v>
      </c>
      <c r="F850" t="str">
        <f t="shared" si="92"/>
        <v>157.250</v>
      </c>
      <c r="G850" t="s">
        <v>956</v>
      </c>
      <c r="I850" t="str">
        <f t="shared" si="95"/>
        <v>&lt;note time="197.0740" string="0" fret="0" /&gt;</v>
      </c>
      <c r="J850" t="str">
        <f t="shared" si="91"/>
        <v>149.25</v>
      </c>
      <c r="K850" t="s">
        <v>1817</v>
      </c>
    </row>
    <row r="851" spans="1:11" x14ac:dyDescent="0.45">
      <c r="A851" t="str">
        <f t="shared" si="96"/>
        <v>&lt;chord time="197.387" chordId="2" &gt;&lt;chordNote time="197.387" string="0" fret="2" leftHand="1" /&gt;&lt;chordNote time="197.387" string="1" fret="4" leftHand="3" /&gt;&lt;chordNote time="197.387" string="2" fret="4" leftHand="4" /&gt;&lt;/chord&gt;</v>
      </c>
      <c r="D851" s="3">
        <f t="shared" si="93"/>
        <v>197.387</v>
      </c>
      <c r="E851" s="3">
        <f t="shared" si="94"/>
        <v>157.69999999999999</v>
      </c>
      <c r="F851" t="str">
        <f t="shared" si="92"/>
        <v>157.500</v>
      </c>
      <c r="G851" t="s">
        <v>957</v>
      </c>
      <c r="I851" t="str">
        <f t="shared" si="95"/>
        <v>&lt;note time="197.3870" string="0" fret="2" /&gt;</v>
      </c>
      <c r="J851" t="str">
        <f t="shared" si="91"/>
        <v>149.50</v>
      </c>
      <c r="K851" t="s">
        <v>1818</v>
      </c>
    </row>
    <row r="852" spans="1:11" x14ac:dyDescent="0.45">
      <c r="A852" t="str">
        <f t="shared" si="96"/>
        <v>&lt;chord time="197.700" chordId="2" highDensity="1" &gt;&lt;chordNote time="197.700" string="0" fret="2" leftHand="1" /&gt;&lt;chordNote time="197.700" string="1" fret="4" leftHand="3" /&gt;&lt;chordNote time="197.700" string="2" fret="4" leftHand="4" /&gt;&lt;/chord&gt;</v>
      </c>
      <c r="D852" s="3">
        <f t="shared" si="93"/>
        <v>197.7</v>
      </c>
      <c r="E852" s="3">
        <f t="shared" si="94"/>
        <v>157.94999999999999</v>
      </c>
      <c r="F852" t="str">
        <f t="shared" si="92"/>
        <v>157.750</v>
      </c>
      <c r="G852" t="s">
        <v>958</v>
      </c>
      <c r="I852" t="str">
        <f t="shared" si="95"/>
        <v>&lt;note time="197.7000" string="0" fret="2" /&gt;</v>
      </c>
      <c r="J852" t="str">
        <f t="shared" si="91"/>
        <v>149.75</v>
      </c>
      <c r="K852" t="s">
        <v>1819</v>
      </c>
    </row>
    <row r="853" spans="1:11" x14ac:dyDescent="0.45">
      <c r="A853" t="str">
        <f t="shared" si="96"/>
        <v>&lt;chord time="198.013" chordId="3" &gt;&lt;chordNote time="198.013" string="1" fret="4" leftHand="1" /&gt;&lt;chordNote time="198.013" string="2" fret="6" leftHand="3" /&gt;&lt;chordNote time="198.013" string="3" fret="6" leftHand="4" /&gt;&lt;/chord&gt;</v>
      </c>
      <c r="D853" s="3">
        <f t="shared" si="93"/>
        <v>198.01300000000001</v>
      </c>
      <c r="E853" s="3">
        <f t="shared" si="94"/>
        <v>158.19999999999999</v>
      </c>
      <c r="F853" t="str">
        <f t="shared" si="92"/>
        <v>158.000</v>
      </c>
      <c r="G853" t="s">
        <v>959</v>
      </c>
      <c r="I853" t="str">
        <f t="shared" si="95"/>
        <v>&lt;note time="198.0130" string="1" fret="4" sustain="0.500" /&gt;</v>
      </c>
      <c r="J853" t="str">
        <f t="shared" si="91"/>
        <v>150.00</v>
      </c>
      <c r="K853" t="s">
        <v>1820</v>
      </c>
    </row>
    <row r="854" spans="1:11" x14ac:dyDescent="0.45">
      <c r="A854" t="str">
        <f t="shared" si="96"/>
        <v>&lt;note time="199.265" string="3" fret="6" /&gt;</v>
      </c>
      <c r="D854" s="3">
        <f t="shared" si="93"/>
        <v>199.26499999999999</v>
      </c>
      <c r="E854" s="3">
        <f t="shared" si="94"/>
        <v>159.19999999999999</v>
      </c>
      <c r="F854" t="str">
        <f t="shared" ref="F854:F885" si="97">RIGHT(LEFT(G854,19),7)</f>
        <v>159.000</v>
      </c>
      <c r="G854" t="s">
        <v>225</v>
      </c>
      <c r="I854" t="str">
        <f t="shared" si="95"/>
        <v>&lt;note time="199.2650" string="1" fret="4" /&gt;</v>
      </c>
      <c r="J854" t="str">
        <f t="shared" si="91"/>
        <v>151.00</v>
      </c>
      <c r="K854" t="s">
        <v>1821</v>
      </c>
    </row>
    <row r="855" spans="1:11" x14ac:dyDescent="0.45">
      <c r="A855" t="str">
        <f t="shared" si="96"/>
        <v>&lt;note time="199.422" string="3" fret="4" /&gt;</v>
      </c>
      <c r="D855" s="3">
        <f t="shared" si="93"/>
        <v>199.422</v>
      </c>
      <c r="E855" s="3">
        <f t="shared" si="94"/>
        <v>159.32499999999999</v>
      </c>
      <c r="F855" t="str">
        <f t="shared" si="97"/>
        <v>159.125</v>
      </c>
      <c r="G855" t="s">
        <v>226</v>
      </c>
      <c r="I855" t="str">
        <f t="shared" si="95"/>
        <v>&lt;note time="199.4220" string="1" fret="4" /&gt;</v>
      </c>
      <c r="J855" t="str">
        <f t="shared" si="91"/>
        <v>151.25</v>
      </c>
      <c r="K855" t="s">
        <v>1822</v>
      </c>
    </row>
    <row r="856" spans="1:11" x14ac:dyDescent="0.45">
      <c r="A856" t="str">
        <f t="shared" si="96"/>
        <v>&lt;note time="199.578" string="2" fret="6" /&gt;</v>
      </c>
      <c r="D856" s="3">
        <f t="shared" si="93"/>
        <v>199.578</v>
      </c>
      <c r="E856" s="3">
        <f t="shared" si="94"/>
        <v>159.44999999999999</v>
      </c>
      <c r="F856" t="str">
        <f t="shared" si="97"/>
        <v>159.250</v>
      </c>
      <c r="G856" t="s">
        <v>227</v>
      </c>
      <c r="I856" t="str">
        <f t="shared" si="95"/>
        <v>&lt;note time="199.5780" string="1" fret="2" /&gt;</v>
      </c>
      <c r="J856" t="str">
        <f t="shared" si="91"/>
        <v>151.50</v>
      </c>
      <c r="K856" t="s">
        <v>1823</v>
      </c>
    </row>
    <row r="857" spans="1:11" x14ac:dyDescent="0.45">
      <c r="A857" t="str">
        <f t="shared" si="96"/>
        <v>&lt;note time="199.735" string="2" fret="4" /&gt;</v>
      </c>
      <c r="D857" s="3">
        <f t="shared" si="93"/>
        <v>199.73500000000001</v>
      </c>
      <c r="E857" s="3">
        <f t="shared" si="94"/>
        <v>159.57499999999999</v>
      </c>
      <c r="F857" t="str">
        <f t="shared" si="97"/>
        <v>159.375</v>
      </c>
      <c r="G857" t="s">
        <v>228</v>
      </c>
      <c r="I857" t="str">
        <f t="shared" si="95"/>
        <v>&lt;note time="199.7350" string="1" fret="2" /&gt;</v>
      </c>
      <c r="J857" t="str">
        <f t="shared" si="91"/>
        <v>151.75</v>
      </c>
      <c r="K857" t="s">
        <v>1824</v>
      </c>
    </row>
    <row r="858" spans="1:11" x14ac:dyDescent="0.45">
      <c r="A858" t="str">
        <f t="shared" si="96"/>
        <v>&lt;note time="199.891" string="1" fret="6" palmMute="1" /&gt;</v>
      </c>
      <c r="D858" s="3">
        <f t="shared" si="93"/>
        <v>199.89099999999999</v>
      </c>
      <c r="E858" s="3">
        <f t="shared" si="94"/>
        <v>159.69999999999999</v>
      </c>
      <c r="F858" t="str">
        <f t="shared" si="97"/>
        <v>159.500</v>
      </c>
      <c r="G858" t="s">
        <v>229</v>
      </c>
      <c r="I858" t="str">
        <f t="shared" si="95"/>
        <v>&lt;note time="199.8910" string="0" fret="0" sustain="0.500" /&gt;</v>
      </c>
      <c r="J858" t="str">
        <f t="shared" si="91"/>
        <v>152.00</v>
      </c>
      <c r="K858" t="s">
        <v>1825</v>
      </c>
    </row>
    <row r="859" spans="1:11" x14ac:dyDescent="0.45">
      <c r="A859" t="str">
        <f t="shared" si="96"/>
        <v>&lt;note time="200.048" string="1" fret="7" palmMute="1" /&gt;</v>
      </c>
      <c r="D859" s="3">
        <f t="shared" si="93"/>
        <v>200.048</v>
      </c>
      <c r="E859" s="3">
        <f t="shared" si="94"/>
        <v>159.82499999999999</v>
      </c>
      <c r="F859" t="str">
        <f t="shared" si="97"/>
        <v>159.625</v>
      </c>
      <c r="G859" t="s">
        <v>230</v>
      </c>
      <c r="I859" t="str">
        <f t="shared" si="95"/>
        <v>&lt;note time="200.0480" string="0" fret="0" /&gt;</v>
      </c>
      <c r="J859" t="str">
        <f t="shared" si="91"/>
        <v>153.00</v>
      </c>
      <c r="K859" t="s">
        <v>1826</v>
      </c>
    </row>
    <row r="860" spans="1:11" x14ac:dyDescent="0.45">
      <c r="A860" t="str">
        <f t="shared" si="96"/>
        <v>&lt;note time="200.204" string="1" fret="6" palmMute="1" /&gt;</v>
      </c>
      <c r="D860" s="3">
        <f t="shared" si="93"/>
        <v>200.20400000000001</v>
      </c>
      <c r="E860" s="3">
        <f t="shared" si="94"/>
        <v>159.94999999999999</v>
      </c>
      <c r="F860" t="str">
        <f t="shared" si="97"/>
        <v>159.750</v>
      </c>
      <c r="G860" t="s">
        <v>231</v>
      </c>
      <c r="I860" t="str">
        <f t="shared" si="95"/>
        <v>&lt;note time="200.2040" string="0" fret="0" /&gt;</v>
      </c>
      <c r="J860" t="str">
        <f t="shared" si="91"/>
        <v>153.25</v>
      </c>
      <c r="K860" t="s">
        <v>1827</v>
      </c>
    </row>
    <row r="861" spans="1:11" x14ac:dyDescent="0.45">
      <c r="A861" t="str">
        <f t="shared" si="96"/>
        <v>&lt;note time="200.361" string="0" fret="7" palmMute="1" /&gt;</v>
      </c>
      <c r="D861" s="3">
        <f t="shared" si="93"/>
        <v>200.36099999999999</v>
      </c>
      <c r="E861" s="3">
        <f t="shared" si="94"/>
        <v>160.07499999999999</v>
      </c>
      <c r="F861" t="str">
        <f t="shared" si="97"/>
        <v>159.875</v>
      </c>
      <c r="G861" t="s">
        <v>232</v>
      </c>
      <c r="I861" t="str">
        <f t="shared" si="95"/>
        <v>&lt;note time="200.3610" string="0" fret="2" /&gt;</v>
      </c>
      <c r="J861" t="str">
        <f t="shared" si="91"/>
        <v>153.50</v>
      </c>
      <c r="K861" t="s">
        <v>1828</v>
      </c>
    </row>
    <row r="862" spans="1:11" x14ac:dyDescent="0.45">
      <c r="A862" t="str">
        <f t="shared" si="96"/>
        <v>&lt;note time="200.517" string="1" fret="4" palmMute="1" /&gt;</v>
      </c>
      <c r="D862" s="3">
        <f t="shared" si="93"/>
        <v>200.517</v>
      </c>
      <c r="E862" s="3">
        <f t="shared" si="94"/>
        <v>160.19999999999999</v>
      </c>
      <c r="F862" t="str">
        <f t="shared" si="97"/>
        <v>160.000</v>
      </c>
      <c r="G862" t="s">
        <v>233</v>
      </c>
      <c r="I862" t="str">
        <f t="shared" si="95"/>
        <v>&lt;note time="200.5170" string="0" fret="2" /&gt;</v>
      </c>
      <c r="J862" t="str">
        <f t="shared" si="91"/>
        <v>153.75</v>
      </c>
      <c r="K862" t="s">
        <v>1829</v>
      </c>
    </row>
    <row r="863" spans="1:11" x14ac:dyDescent="0.45">
      <c r="A863" t="str">
        <f t="shared" si="96"/>
        <v>&lt;note time="200.674" string="1" fret="7" palmMute="1" /&gt;</v>
      </c>
      <c r="D863" s="3">
        <f t="shared" si="93"/>
        <v>200.67400000000001</v>
      </c>
      <c r="E863" s="3">
        <f t="shared" si="94"/>
        <v>160.32499999999999</v>
      </c>
      <c r="F863" t="str">
        <f t="shared" si="97"/>
        <v>160.125</v>
      </c>
      <c r="G863" t="s">
        <v>234</v>
      </c>
      <c r="I863" t="str">
        <f t="shared" si="95"/>
        <v>&lt;note time="200.6740" string="1" fret="4" sustain="0.500" /&gt;</v>
      </c>
      <c r="J863" t="str">
        <f t="shared" si="91"/>
        <v>154.00</v>
      </c>
      <c r="K863" t="s">
        <v>1830</v>
      </c>
    </row>
    <row r="864" spans="1:11" x14ac:dyDescent="0.45">
      <c r="A864" t="str">
        <f t="shared" si="96"/>
        <v>&lt;note time="200.830" string="1" fret="4" palmMute="1" /&gt;</v>
      </c>
      <c r="D864" s="3">
        <f t="shared" si="93"/>
        <v>200.83</v>
      </c>
      <c r="E864" s="3">
        <f t="shared" si="94"/>
        <v>160.44999999999999</v>
      </c>
      <c r="F864" t="str">
        <f t="shared" si="97"/>
        <v>160.250</v>
      </c>
      <c r="G864" t="s">
        <v>235</v>
      </c>
      <c r="I864" t="str">
        <f t="shared" si="95"/>
        <v>&lt;note time="200.8300" string="1" fret="4" /&gt;</v>
      </c>
      <c r="J864" t="str">
        <f t="shared" si="91"/>
        <v>155.00</v>
      </c>
      <c r="K864" t="s">
        <v>1831</v>
      </c>
    </row>
    <row r="865" spans="1:11" x14ac:dyDescent="0.45">
      <c r="A865" t="str">
        <f t="shared" si="96"/>
        <v>&lt;note time="200.987" string="0" fret="7" palmMute="1" /&gt;</v>
      </c>
      <c r="D865" s="3">
        <f t="shared" si="93"/>
        <v>200.98699999999999</v>
      </c>
      <c r="E865" s="3">
        <f t="shared" si="94"/>
        <v>160.57499999999999</v>
      </c>
      <c r="F865" t="str">
        <f t="shared" si="97"/>
        <v>160.375</v>
      </c>
      <c r="G865" t="s">
        <v>236</v>
      </c>
      <c r="I865" t="str">
        <f t="shared" si="95"/>
        <v>&lt;note time="200.9870" string="1" fret="4" /&gt;</v>
      </c>
      <c r="J865" t="str">
        <f t="shared" si="91"/>
        <v>155.25</v>
      </c>
      <c r="K865" t="s">
        <v>1832</v>
      </c>
    </row>
    <row r="866" spans="1:11" x14ac:dyDescent="0.45">
      <c r="A866" t="str">
        <f t="shared" si="96"/>
        <v>&lt;note time="201.143" string="1" fret="4" sustain="0.497" vibrato="80" /&gt;</v>
      </c>
      <c r="D866" s="3">
        <f t="shared" si="93"/>
        <v>201.143</v>
      </c>
      <c r="E866" s="3">
        <f t="shared" si="94"/>
        <v>160.69999999999999</v>
      </c>
      <c r="F866" t="str">
        <f t="shared" si="97"/>
        <v>160.500</v>
      </c>
      <c r="G866" t="s">
        <v>237</v>
      </c>
      <c r="I866" t="str">
        <f t="shared" si="95"/>
        <v>&lt;note time="201.1430" string="1" fret="2" /&gt;</v>
      </c>
      <c r="J866" t="str">
        <f t="shared" si="91"/>
        <v>155.50</v>
      </c>
      <c r="K866" t="s">
        <v>1833</v>
      </c>
    </row>
    <row r="867" spans="1:11" x14ac:dyDescent="0.45">
      <c r="A867" t="str">
        <f t="shared" si="96"/>
        <v>&lt;note time="201.769" string="3" fret="6" /&gt;</v>
      </c>
      <c r="D867" s="3">
        <f t="shared" si="93"/>
        <v>201.76900000000001</v>
      </c>
      <c r="E867" s="3">
        <f t="shared" si="94"/>
        <v>161.19999999999999</v>
      </c>
      <c r="F867" t="str">
        <f t="shared" si="97"/>
        <v>161.000</v>
      </c>
      <c r="G867" t="s">
        <v>238</v>
      </c>
      <c r="I867" t="str">
        <f t="shared" si="95"/>
        <v>&lt;note time="201.7690" string="1" fret="2" /&gt;</v>
      </c>
      <c r="J867" t="str">
        <f t="shared" si="91"/>
        <v>155.75</v>
      </c>
      <c r="K867" t="s">
        <v>1834</v>
      </c>
    </row>
    <row r="868" spans="1:11" x14ac:dyDescent="0.45">
      <c r="A868" t="str">
        <f t="shared" si="96"/>
        <v>&lt;note time="201.926" string="3" fret="4" /&gt;</v>
      </c>
      <c r="D868" s="3">
        <f t="shared" si="93"/>
        <v>201.92599999999999</v>
      </c>
      <c r="E868" s="3">
        <f t="shared" si="94"/>
        <v>161.32499999999999</v>
      </c>
      <c r="F868" t="str">
        <f t="shared" si="97"/>
        <v>161.125</v>
      </c>
      <c r="G868" t="s">
        <v>239</v>
      </c>
      <c r="I868" t="str">
        <f t="shared" si="95"/>
        <v>&lt;note time="201.9260" string="0" fret="0" sustain="0.500" /&gt;</v>
      </c>
      <c r="J868" t="str">
        <f t="shared" ref="J868:J931" si="98">RIGHT(LEFT(K868,18),6)</f>
        <v>156.00</v>
      </c>
      <c r="K868" t="s">
        <v>1835</v>
      </c>
    </row>
    <row r="869" spans="1:11" x14ac:dyDescent="0.45">
      <c r="A869" t="str">
        <f t="shared" si="96"/>
        <v>&lt;note time="202.082" string="2" fret="6" /&gt;</v>
      </c>
      <c r="D869" s="3">
        <f t="shared" si="93"/>
        <v>202.08199999999999</v>
      </c>
      <c r="E869" s="3">
        <f t="shared" si="94"/>
        <v>161.44999999999999</v>
      </c>
      <c r="F869" t="str">
        <f t="shared" si="97"/>
        <v>161.250</v>
      </c>
      <c r="G869" t="s">
        <v>240</v>
      </c>
      <c r="I869" t="str">
        <f t="shared" si="95"/>
        <v>&lt;note time="202.0820" string="0" fret="0" /&gt;</v>
      </c>
      <c r="J869" t="str">
        <f t="shared" si="98"/>
        <v>157.00</v>
      </c>
      <c r="K869" t="s">
        <v>1836</v>
      </c>
    </row>
    <row r="870" spans="1:11" x14ac:dyDescent="0.45">
      <c r="A870" t="str">
        <f t="shared" si="96"/>
        <v>&lt;note time="202.239" string="2" fret="4" /&gt;</v>
      </c>
      <c r="D870" s="3">
        <f t="shared" si="93"/>
        <v>202.239</v>
      </c>
      <c r="E870" s="3">
        <f t="shared" si="94"/>
        <v>161.57499999999999</v>
      </c>
      <c r="F870" t="str">
        <f t="shared" si="97"/>
        <v>161.375</v>
      </c>
      <c r="G870" t="s">
        <v>241</v>
      </c>
      <c r="I870" t="str">
        <f t="shared" si="95"/>
        <v>&lt;note time="202.2390" string="0" fret="0" /&gt;</v>
      </c>
      <c r="J870" t="str">
        <f t="shared" si="98"/>
        <v>157.25</v>
      </c>
      <c r="K870" t="s">
        <v>1837</v>
      </c>
    </row>
    <row r="871" spans="1:11" x14ac:dyDescent="0.45">
      <c r="A871" t="str">
        <f t="shared" si="96"/>
        <v>&lt;note time="202.395" string="1" fret="6" palmMute="1" /&gt;</v>
      </c>
      <c r="D871" s="3">
        <f t="shared" si="93"/>
        <v>202.39500000000001</v>
      </c>
      <c r="E871" s="3">
        <f t="shared" si="94"/>
        <v>161.69999999999999</v>
      </c>
      <c r="F871" t="str">
        <f t="shared" si="97"/>
        <v>161.500</v>
      </c>
      <c r="G871" t="s">
        <v>242</v>
      </c>
      <c r="I871" t="str">
        <f t="shared" si="95"/>
        <v>&lt;note time="202.3950" string="0" fret="2" /&gt;</v>
      </c>
      <c r="J871" t="str">
        <f t="shared" si="98"/>
        <v>157.50</v>
      </c>
      <c r="K871" t="s">
        <v>1838</v>
      </c>
    </row>
    <row r="872" spans="1:11" x14ac:dyDescent="0.45">
      <c r="A872" t="str">
        <f t="shared" si="96"/>
        <v>&lt;note time="202.552" string="1" fret="7" palmMute="1" /&gt;</v>
      </c>
      <c r="D872" s="3">
        <f t="shared" si="93"/>
        <v>202.55199999999999</v>
      </c>
      <c r="E872" s="3">
        <f t="shared" si="94"/>
        <v>161.82499999999999</v>
      </c>
      <c r="F872" t="str">
        <f t="shared" si="97"/>
        <v>161.625</v>
      </c>
      <c r="G872" t="s">
        <v>243</v>
      </c>
      <c r="I872" t="str">
        <f t="shared" si="95"/>
        <v>&lt;note time="202.5520" string="0" fret="2" /&gt;</v>
      </c>
      <c r="J872" t="str">
        <f t="shared" si="98"/>
        <v>157.75</v>
      </c>
      <c r="K872" t="s">
        <v>1839</v>
      </c>
    </row>
    <row r="873" spans="1:11" x14ac:dyDescent="0.45">
      <c r="A873" t="str">
        <f t="shared" si="96"/>
        <v>&lt;note time="202.708" string="1" fret="6" palmMute="1" /&gt;</v>
      </c>
      <c r="D873" s="3">
        <f t="shared" si="93"/>
        <v>202.708</v>
      </c>
      <c r="E873" s="3">
        <f t="shared" si="94"/>
        <v>161.94999999999999</v>
      </c>
      <c r="F873" t="str">
        <f t="shared" si="97"/>
        <v>161.750</v>
      </c>
      <c r="G873" t="s">
        <v>244</v>
      </c>
      <c r="I873" t="str">
        <f t="shared" si="95"/>
        <v>&lt;note time="202.7080" string="1" fret="4" sustain="0.497" /&gt;</v>
      </c>
      <c r="J873" t="str">
        <f t="shared" si="98"/>
        <v>158.00</v>
      </c>
      <c r="K873" t="s">
        <v>1840</v>
      </c>
    </row>
    <row r="874" spans="1:11" x14ac:dyDescent="0.45">
      <c r="A874" t="str">
        <f t="shared" si="96"/>
        <v>&lt;note time="202.865" string="0" fret="7" palmMute="1" /&gt;</v>
      </c>
      <c r="D874" s="3">
        <f t="shared" si="93"/>
        <v>202.86500000000001</v>
      </c>
      <c r="E874" s="3">
        <f t="shared" si="94"/>
        <v>162.07499999999999</v>
      </c>
      <c r="F874" t="str">
        <f t="shared" si="97"/>
        <v>161.875</v>
      </c>
      <c r="G874" t="s">
        <v>245</v>
      </c>
      <c r="I874" t="str">
        <f t="shared" si="95"/>
        <v>&lt;note time="202.8650" string="1" fret="16" sustain="0.497" slideUnpitchTo="15" /&gt;</v>
      </c>
      <c r="J874" t="str">
        <f t="shared" si="98"/>
        <v>158.50</v>
      </c>
      <c r="K874" t="s">
        <v>1841</v>
      </c>
    </row>
    <row r="875" spans="1:11" x14ac:dyDescent="0.45">
      <c r="A875" t="str">
        <f t="shared" si="96"/>
        <v>&lt;note time="203.021" string="1" fret="4" palmMute="1" /&gt;</v>
      </c>
      <c r="D875" s="3">
        <f t="shared" si="93"/>
        <v>203.02099999999999</v>
      </c>
      <c r="E875" s="3">
        <f t="shared" si="94"/>
        <v>162.19999999999999</v>
      </c>
      <c r="F875" t="str">
        <f t="shared" si="97"/>
        <v>162.000</v>
      </c>
      <c r="G875" t="s">
        <v>246</v>
      </c>
      <c r="I875" t="str">
        <f t="shared" si="95"/>
        <v>&lt;note time="203.0210" string="1" fret="4" /&gt;</v>
      </c>
      <c r="J875" t="str">
        <f t="shared" si="98"/>
        <v>159.00</v>
      </c>
      <c r="K875" t="s">
        <v>1842</v>
      </c>
    </row>
    <row r="876" spans="1:11" x14ac:dyDescent="0.45">
      <c r="A876" t="str">
        <f t="shared" si="96"/>
        <v>&lt;note time="203.178" string="1" fret="7" palmMute="1" /&gt;</v>
      </c>
      <c r="D876" s="3">
        <f t="shared" si="93"/>
        <v>203.178</v>
      </c>
      <c r="E876" s="3">
        <f t="shared" si="94"/>
        <v>162.32499999999999</v>
      </c>
      <c r="F876" t="str">
        <f t="shared" si="97"/>
        <v>162.125</v>
      </c>
      <c r="G876" t="s">
        <v>247</v>
      </c>
      <c r="I876" t="str">
        <f t="shared" si="95"/>
        <v>&lt;note time="203.1780" string="1" fret="4" /&gt;</v>
      </c>
      <c r="J876" t="str">
        <f t="shared" si="98"/>
        <v>159.25</v>
      </c>
      <c r="K876" t="s">
        <v>1843</v>
      </c>
    </row>
    <row r="877" spans="1:11" x14ac:dyDescent="0.45">
      <c r="A877" t="str">
        <f t="shared" si="96"/>
        <v>&lt;note time="203.334" string="1" fret="4" palmMute="1" /&gt;</v>
      </c>
      <c r="D877" s="3">
        <f t="shared" si="93"/>
        <v>203.334</v>
      </c>
      <c r="E877" s="3">
        <f t="shared" si="94"/>
        <v>162.44999999999999</v>
      </c>
      <c r="F877" t="str">
        <f t="shared" si="97"/>
        <v>162.250</v>
      </c>
      <c r="G877" t="s">
        <v>248</v>
      </c>
      <c r="I877" t="str">
        <f t="shared" si="95"/>
        <v>&lt;note time="203.3340" string="1" fret="4" /&gt;</v>
      </c>
      <c r="J877" t="str">
        <f t="shared" si="98"/>
        <v>159.50</v>
      </c>
      <c r="K877" t="s">
        <v>1844</v>
      </c>
    </row>
    <row r="878" spans="1:11" x14ac:dyDescent="0.45">
      <c r="A878" t="str">
        <f t="shared" si="96"/>
        <v>&lt;note time="203.491" string="0" fret="7" palmMute="1" /&gt;</v>
      </c>
      <c r="D878" s="3">
        <f t="shared" si="93"/>
        <v>203.49100000000001</v>
      </c>
      <c r="E878" s="3">
        <f t="shared" si="94"/>
        <v>162.57499999999999</v>
      </c>
      <c r="F878" t="str">
        <f t="shared" si="97"/>
        <v>162.375</v>
      </c>
      <c r="G878" t="s">
        <v>249</v>
      </c>
      <c r="I878" t="str">
        <f t="shared" si="95"/>
        <v>&lt;note time="203.4910" string="1" fret="4" /&gt;</v>
      </c>
      <c r="J878" t="str">
        <f t="shared" si="98"/>
        <v>159.75</v>
      </c>
      <c r="K878" t="s">
        <v>1845</v>
      </c>
    </row>
    <row r="879" spans="1:11" x14ac:dyDescent="0.45">
      <c r="A879" t="str">
        <f t="shared" si="96"/>
        <v>&lt;note time="203.647" string="1" fret="4" sustain="0.497" vibrato="80" /&gt;</v>
      </c>
      <c r="D879" s="3">
        <f t="shared" si="93"/>
        <v>203.64699999999999</v>
      </c>
      <c r="E879" s="3">
        <f t="shared" si="94"/>
        <v>162.69999999999999</v>
      </c>
      <c r="F879" t="str">
        <f t="shared" si="97"/>
        <v>162.500</v>
      </c>
      <c r="G879" t="s">
        <v>250</v>
      </c>
      <c r="I879" t="str">
        <f t="shared" si="95"/>
        <v>&lt;note time="203.6470" string="1" fret="4" /&gt;</v>
      </c>
      <c r="J879" t="str">
        <f t="shared" si="98"/>
        <v>160.00</v>
      </c>
      <c r="K879" t="s">
        <v>1846</v>
      </c>
    </row>
    <row r="880" spans="1:11" x14ac:dyDescent="0.45">
      <c r="A880" t="str">
        <f t="shared" si="96"/>
        <v>&lt;note time="204.273" string="3" fret="6" /&gt;</v>
      </c>
      <c r="D880" s="3">
        <f t="shared" si="93"/>
        <v>204.273</v>
      </c>
      <c r="E880" s="3">
        <f t="shared" si="94"/>
        <v>163.19999999999999</v>
      </c>
      <c r="F880" t="str">
        <f t="shared" si="97"/>
        <v>163.000</v>
      </c>
      <c r="G880" t="s">
        <v>251</v>
      </c>
      <c r="I880" t="str">
        <f t="shared" si="95"/>
        <v>&lt;note time="204.2730" string="1" fret="4" /&gt;</v>
      </c>
      <c r="J880" t="str">
        <f t="shared" si="98"/>
        <v>160.25</v>
      </c>
      <c r="K880" t="s">
        <v>1847</v>
      </c>
    </row>
    <row r="881" spans="1:11" x14ac:dyDescent="0.45">
      <c r="A881" t="str">
        <f t="shared" si="96"/>
        <v>&lt;note time="204.430" string="3" fret="4" /&gt;</v>
      </c>
      <c r="D881" s="3">
        <f t="shared" si="93"/>
        <v>204.43</v>
      </c>
      <c r="E881" s="3">
        <f t="shared" si="94"/>
        <v>163.32499999999999</v>
      </c>
      <c r="F881" t="str">
        <f t="shared" si="97"/>
        <v>163.125</v>
      </c>
      <c r="G881" t="s">
        <v>252</v>
      </c>
      <c r="I881" t="str">
        <f t="shared" si="95"/>
        <v>&lt;note time="204.4300" string="1" fret="4" /&gt;</v>
      </c>
      <c r="J881" t="str">
        <f t="shared" si="98"/>
        <v>160.50</v>
      </c>
      <c r="K881" t="s">
        <v>1848</v>
      </c>
    </row>
    <row r="882" spans="1:11" x14ac:dyDescent="0.45">
      <c r="A882" t="str">
        <f t="shared" si="96"/>
        <v>&lt;note time="204.586" string="2" fret="6" /&gt;</v>
      </c>
      <c r="D882" s="3">
        <f t="shared" si="93"/>
        <v>204.58600000000001</v>
      </c>
      <c r="E882" s="3">
        <f t="shared" si="94"/>
        <v>163.44999999999999</v>
      </c>
      <c r="F882" t="str">
        <f t="shared" si="97"/>
        <v>163.250</v>
      </c>
      <c r="G882" t="s">
        <v>253</v>
      </c>
      <c r="I882" t="str">
        <f t="shared" si="95"/>
        <v>&lt;note time="204.5860" string="1" fret="4" /&gt;</v>
      </c>
      <c r="J882" t="str">
        <f t="shared" si="98"/>
        <v>160.75</v>
      </c>
      <c r="K882" t="s">
        <v>1849</v>
      </c>
    </row>
    <row r="883" spans="1:11" x14ac:dyDescent="0.45">
      <c r="A883" t="str">
        <f t="shared" si="96"/>
        <v>&lt;note time="204.743" string="2" fret="4" /&gt;</v>
      </c>
      <c r="D883" s="3">
        <f t="shared" si="93"/>
        <v>204.74299999999999</v>
      </c>
      <c r="E883" s="3">
        <f t="shared" si="94"/>
        <v>163.57499999999999</v>
      </c>
      <c r="F883" t="str">
        <f t="shared" si="97"/>
        <v>163.375</v>
      </c>
      <c r="G883" t="s">
        <v>254</v>
      </c>
      <c r="I883" t="str">
        <f t="shared" si="95"/>
        <v>&lt;note time="204.7430" string="1" fret="2" /&gt;</v>
      </c>
      <c r="J883" t="str">
        <f t="shared" si="98"/>
        <v>161.00</v>
      </c>
      <c r="K883" t="s">
        <v>1850</v>
      </c>
    </row>
    <row r="884" spans="1:11" x14ac:dyDescent="0.45">
      <c r="A884" t="str">
        <f t="shared" si="96"/>
        <v>&lt;note time="204.899" string="1" fret="6" palmMute="1" /&gt;</v>
      </c>
      <c r="D884" s="3">
        <f t="shared" si="93"/>
        <v>204.899</v>
      </c>
      <c r="E884" s="3">
        <f t="shared" si="94"/>
        <v>163.69999999999999</v>
      </c>
      <c r="F884" t="str">
        <f t="shared" si="97"/>
        <v>163.500</v>
      </c>
      <c r="G884" t="s">
        <v>255</v>
      </c>
      <c r="I884" t="str">
        <f t="shared" si="95"/>
        <v>&lt;note time="204.8990" string="1" fret="2" /&gt;</v>
      </c>
      <c r="J884" t="str">
        <f t="shared" si="98"/>
        <v>161.25</v>
      </c>
      <c r="K884" t="s">
        <v>1851</v>
      </c>
    </row>
    <row r="885" spans="1:11" x14ac:dyDescent="0.45">
      <c r="A885" t="str">
        <f t="shared" si="96"/>
        <v>&lt;note time="205.056" string="1" fret="7" palmMute="1" /&gt;</v>
      </c>
      <c r="D885" s="3">
        <f t="shared" si="93"/>
        <v>205.05600000000001</v>
      </c>
      <c r="E885" s="3">
        <f t="shared" si="94"/>
        <v>163.82499999999999</v>
      </c>
      <c r="F885" t="str">
        <f t="shared" si="97"/>
        <v>163.625</v>
      </c>
      <c r="G885" t="s">
        <v>256</v>
      </c>
      <c r="I885" t="str">
        <f t="shared" si="95"/>
        <v>&lt;note time="205.0560" string="1" fret="2" /&gt;</v>
      </c>
      <c r="J885" t="str">
        <f t="shared" si="98"/>
        <v>161.50</v>
      </c>
      <c r="K885" t="s">
        <v>1852</v>
      </c>
    </row>
    <row r="886" spans="1:11" x14ac:dyDescent="0.45">
      <c r="A886" t="str">
        <f t="shared" si="96"/>
        <v>&lt;note time="205.212" string="1" fret="6" palmMute="1" /&gt;</v>
      </c>
      <c r="D886" s="3">
        <f t="shared" si="93"/>
        <v>205.21199999999999</v>
      </c>
      <c r="E886" s="3">
        <f t="shared" si="94"/>
        <v>163.95</v>
      </c>
      <c r="F886" t="str">
        <f t="shared" ref="F886:F917" si="99">RIGHT(LEFT(G886,19),7)</f>
        <v>163.750</v>
      </c>
      <c r="G886" t="s">
        <v>257</v>
      </c>
      <c r="I886" t="str">
        <f t="shared" si="95"/>
        <v>&lt;note time="205.2120" string="1" fret="2" /&gt;</v>
      </c>
      <c r="J886" t="str">
        <f t="shared" si="98"/>
        <v>161.75</v>
      </c>
      <c r="K886" t="s">
        <v>1853</v>
      </c>
    </row>
    <row r="887" spans="1:11" x14ac:dyDescent="0.45">
      <c r="A887" t="str">
        <f t="shared" si="96"/>
        <v>&lt;note time="205.369" string="0" fret="7" palmMute="1" /&gt;</v>
      </c>
      <c r="D887" s="3">
        <f t="shared" si="93"/>
        <v>205.369</v>
      </c>
      <c r="E887" s="3">
        <f t="shared" si="94"/>
        <v>164.07499999999999</v>
      </c>
      <c r="F887" t="str">
        <f t="shared" si="99"/>
        <v>163.875</v>
      </c>
      <c r="G887" t="s">
        <v>258</v>
      </c>
      <c r="I887" t="str">
        <f t="shared" si="95"/>
        <v>&lt;note time="205.3690" string="1" fret="2" /&gt;</v>
      </c>
      <c r="J887" t="str">
        <f t="shared" si="98"/>
        <v>162.00</v>
      </c>
      <c r="K887" t="s">
        <v>1854</v>
      </c>
    </row>
    <row r="888" spans="1:11" x14ac:dyDescent="0.45">
      <c r="A888" t="str">
        <f t="shared" si="96"/>
        <v>&lt;note time="205.525" string="1" fret="4" palmMute="1" /&gt;</v>
      </c>
      <c r="D888" s="3">
        <f t="shared" si="93"/>
        <v>205.52500000000001</v>
      </c>
      <c r="E888" s="3">
        <f t="shared" si="94"/>
        <v>164.2</v>
      </c>
      <c r="F888" t="str">
        <f t="shared" si="99"/>
        <v>164.000</v>
      </c>
      <c r="G888" t="s">
        <v>259</v>
      </c>
      <c r="I888" t="str">
        <f t="shared" si="95"/>
        <v>&lt;note time="205.5250" string="1" fret="2" /&gt;</v>
      </c>
      <c r="J888" t="str">
        <f t="shared" si="98"/>
        <v>162.25</v>
      </c>
      <c r="K888" t="s">
        <v>1855</v>
      </c>
    </row>
    <row r="889" spans="1:11" x14ac:dyDescent="0.45">
      <c r="A889" t="str">
        <f t="shared" si="96"/>
        <v>&lt;note time="205.682" string="1" fret="7" palmMute="1" /&gt;</v>
      </c>
      <c r="D889" s="3">
        <f t="shared" si="93"/>
        <v>205.68199999999999</v>
      </c>
      <c r="E889" s="3">
        <f t="shared" si="94"/>
        <v>164.32499999999999</v>
      </c>
      <c r="F889" t="str">
        <f t="shared" si="99"/>
        <v>164.125</v>
      </c>
      <c r="G889" t="s">
        <v>260</v>
      </c>
      <c r="I889" t="str">
        <f t="shared" si="95"/>
        <v>&lt;note time="205.6820" string="1" fret="2" /&gt;</v>
      </c>
      <c r="J889" t="str">
        <f t="shared" si="98"/>
        <v>162.50</v>
      </c>
      <c r="K889" t="s">
        <v>1856</v>
      </c>
    </row>
    <row r="890" spans="1:11" x14ac:dyDescent="0.45">
      <c r="A890" t="str">
        <f t="shared" si="96"/>
        <v>&lt;note time="205.838" string="1" fret="4" palmMute="1" /&gt;</v>
      </c>
      <c r="D890" s="3">
        <f t="shared" si="93"/>
        <v>205.83799999999999</v>
      </c>
      <c r="E890" s="3">
        <f t="shared" si="94"/>
        <v>164.45</v>
      </c>
      <c r="F890" t="str">
        <f t="shared" si="99"/>
        <v>164.250</v>
      </c>
      <c r="G890" t="s">
        <v>261</v>
      </c>
      <c r="I890" t="str">
        <f t="shared" si="95"/>
        <v>&lt;note time="205.8380" string="1" fret="2" /&gt;</v>
      </c>
      <c r="J890" t="str">
        <f t="shared" si="98"/>
        <v>162.75</v>
      </c>
      <c r="K890" t="s">
        <v>1857</v>
      </c>
    </row>
    <row r="891" spans="1:11" x14ac:dyDescent="0.45">
      <c r="A891" t="str">
        <f t="shared" si="96"/>
        <v>&lt;note time="205.995" string="0" fret="7" palmMute="1" /&gt;</v>
      </c>
      <c r="D891" s="3">
        <f t="shared" si="93"/>
        <v>205.995</v>
      </c>
      <c r="E891" s="3">
        <f t="shared" si="94"/>
        <v>164.57499999999999</v>
      </c>
      <c r="F891" t="str">
        <f t="shared" si="99"/>
        <v>164.375</v>
      </c>
      <c r="G891" t="s">
        <v>262</v>
      </c>
      <c r="I891" t="str">
        <f t="shared" si="95"/>
        <v>&lt;note time="205.9950" string="1" fret="7" /&gt;</v>
      </c>
      <c r="J891" t="str">
        <f t="shared" si="98"/>
        <v>163.00</v>
      </c>
      <c r="K891" t="s">
        <v>1858</v>
      </c>
    </row>
    <row r="892" spans="1:11" x14ac:dyDescent="0.45">
      <c r="A892" t="str">
        <f t="shared" si="96"/>
        <v>&lt;note time="206.151" string="1" fret="4" sustain="0.497" vibrato="80" /&gt;</v>
      </c>
      <c r="D892" s="3">
        <f t="shared" si="93"/>
        <v>206.15100000000001</v>
      </c>
      <c r="E892" s="3">
        <f t="shared" si="94"/>
        <v>164.7</v>
      </c>
      <c r="F892" t="str">
        <f t="shared" si="99"/>
        <v>164.500</v>
      </c>
      <c r="G892" t="s">
        <v>263</v>
      </c>
      <c r="I892" t="str">
        <f t="shared" si="95"/>
        <v>&lt;note time="206.1510" string="1" fret="7" /&gt;</v>
      </c>
      <c r="J892" t="str">
        <f t="shared" si="98"/>
        <v>163.25</v>
      </c>
      <c r="K892" t="s">
        <v>1859</v>
      </c>
    </row>
    <row r="893" spans="1:11" x14ac:dyDescent="0.45">
      <c r="A893" t="str">
        <f t="shared" si="96"/>
        <v>&lt;note time="206.777" string="3" fret="6" /&gt;</v>
      </c>
      <c r="D893" s="3">
        <f t="shared" si="93"/>
        <v>206.77699999999999</v>
      </c>
      <c r="E893" s="3">
        <f t="shared" si="94"/>
        <v>165.2</v>
      </c>
      <c r="F893" t="str">
        <f t="shared" si="99"/>
        <v>165.000</v>
      </c>
      <c r="G893" t="s">
        <v>264</v>
      </c>
      <c r="I893" t="str">
        <f t="shared" si="95"/>
        <v>&lt;note time="206.7770" string="1" fret="7" /&gt;</v>
      </c>
      <c r="J893" t="str">
        <f t="shared" si="98"/>
        <v>163.50</v>
      </c>
      <c r="K893" t="s">
        <v>1860</v>
      </c>
    </row>
    <row r="894" spans="1:11" x14ac:dyDescent="0.45">
      <c r="A894" t="str">
        <f t="shared" si="96"/>
        <v>&lt;note time="206.934" string="3" fret="4" /&gt;</v>
      </c>
      <c r="D894" s="3">
        <f t="shared" si="93"/>
        <v>206.934</v>
      </c>
      <c r="E894" s="3">
        <f t="shared" si="94"/>
        <v>165.32499999999999</v>
      </c>
      <c r="F894" t="str">
        <f t="shared" si="99"/>
        <v>165.125</v>
      </c>
      <c r="G894" t="s">
        <v>265</v>
      </c>
      <c r="I894" t="str">
        <f t="shared" si="95"/>
        <v>&lt;note time="206.9340" string="1" fret="7" /&gt;</v>
      </c>
      <c r="J894" t="str">
        <f t="shared" si="98"/>
        <v>163.75</v>
      </c>
      <c r="K894" t="s">
        <v>1861</v>
      </c>
    </row>
    <row r="895" spans="1:11" x14ac:dyDescent="0.45">
      <c r="A895" t="str">
        <f t="shared" si="96"/>
        <v>&lt;note time="207.090" string="2" fret="6" /&gt;</v>
      </c>
      <c r="D895" s="3">
        <f t="shared" si="93"/>
        <v>207.09</v>
      </c>
      <c r="E895" s="3">
        <f t="shared" si="94"/>
        <v>165.45</v>
      </c>
      <c r="F895" t="str">
        <f t="shared" si="99"/>
        <v>165.250</v>
      </c>
      <c r="G895" t="s">
        <v>266</v>
      </c>
      <c r="I895" t="str">
        <f t="shared" si="95"/>
        <v>&lt;note time="207.0900" string="1" fret="7" /&gt;</v>
      </c>
      <c r="J895" t="str">
        <f t="shared" si="98"/>
        <v>164.00</v>
      </c>
      <c r="K895" t="s">
        <v>1862</v>
      </c>
    </row>
    <row r="896" spans="1:11" x14ac:dyDescent="0.45">
      <c r="A896" t="str">
        <f t="shared" si="96"/>
        <v>&lt;note time="207.247" string="2" fret="4" /&gt;</v>
      </c>
      <c r="D896" s="3">
        <f t="shared" si="93"/>
        <v>207.24700000000001</v>
      </c>
      <c r="E896" s="3">
        <f t="shared" si="94"/>
        <v>165.57499999999999</v>
      </c>
      <c r="F896" t="str">
        <f t="shared" si="99"/>
        <v>165.375</v>
      </c>
      <c r="G896" t="s">
        <v>267</v>
      </c>
      <c r="I896" t="str">
        <f t="shared" si="95"/>
        <v>&lt;note time="207.2470" string="1" fret="7" /&gt;</v>
      </c>
      <c r="J896" t="str">
        <f t="shared" si="98"/>
        <v>164.25</v>
      </c>
      <c r="K896" t="s">
        <v>1863</v>
      </c>
    </row>
    <row r="897" spans="1:11" x14ac:dyDescent="0.45">
      <c r="A897" t="str">
        <f t="shared" si="96"/>
        <v>&lt;note time="207.403" string="1" fret="6" palmMute="1" /&gt;</v>
      </c>
      <c r="D897" s="3">
        <f t="shared" si="93"/>
        <v>207.40299999999999</v>
      </c>
      <c r="E897" s="3">
        <f t="shared" si="94"/>
        <v>165.7</v>
      </c>
      <c r="F897" t="str">
        <f t="shared" si="99"/>
        <v>165.500</v>
      </c>
      <c r="G897" t="s">
        <v>268</v>
      </c>
      <c r="I897" t="str">
        <f t="shared" si="95"/>
        <v>&lt;note time="207.4030" string="1" fret="7" /&gt;</v>
      </c>
      <c r="J897" t="str">
        <f t="shared" si="98"/>
        <v>164.50</v>
      </c>
      <c r="K897" t="s">
        <v>1864</v>
      </c>
    </row>
    <row r="898" spans="1:11" x14ac:dyDescent="0.45">
      <c r="A898" t="str">
        <f t="shared" si="96"/>
        <v>&lt;note time="207.560" string="1" fret="7" palmMute="1" /&gt;</v>
      </c>
      <c r="D898" s="3">
        <f t="shared" ref="D898:D961" si="100">ROUNDDOWN(E898-($C$3*(E898-$E$1)/100),3)</f>
        <v>207.56</v>
      </c>
      <c r="E898" s="3">
        <f t="shared" ref="E898:E961" si="101">0.2+F898</f>
        <v>165.82499999999999</v>
      </c>
      <c r="F898" t="str">
        <f t="shared" si="99"/>
        <v>165.625</v>
      </c>
      <c r="G898" t="s">
        <v>269</v>
      </c>
      <c r="I898" t="str">
        <f t="shared" ref="I898:I943" si="102">SUBSTITUTE(K898,J898,TEXT(D898,"0.000"))</f>
        <v>&lt;note time="207.5600" string="1" fret="7" /&gt;</v>
      </c>
      <c r="J898" t="str">
        <f t="shared" si="98"/>
        <v>164.75</v>
      </c>
      <c r="K898" t="s">
        <v>1865</v>
      </c>
    </row>
    <row r="899" spans="1:11" x14ac:dyDescent="0.45">
      <c r="A899" t="str">
        <f t="shared" si="96"/>
        <v>&lt;note time="207.716" string="1" fret="6" palmMute="1" /&gt;</v>
      </c>
      <c r="D899" s="3">
        <f t="shared" si="100"/>
        <v>207.71600000000001</v>
      </c>
      <c r="E899" s="3">
        <f t="shared" si="101"/>
        <v>165.95</v>
      </c>
      <c r="F899" t="str">
        <f t="shared" si="99"/>
        <v>165.750</v>
      </c>
      <c r="G899" t="s">
        <v>270</v>
      </c>
      <c r="I899" t="str">
        <f t="shared" si="102"/>
        <v>&lt;note time="207.7160" string="1" fret="9" /&gt;</v>
      </c>
      <c r="J899" t="str">
        <f t="shared" si="98"/>
        <v>165.00</v>
      </c>
      <c r="K899" t="s">
        <v>1866</v>
      </c>
    </row>
    <row r="900" spans="1:11" x14ac:dyDescent="0.45">
      <c r="A900" t="str">
        <f t="shared" si="96"/>
        <v>&lt;note time="207.873" string="0" fret="7" palmMute="1" /&gt;</v>
      </c>
      <c r="D900" s="3">
        <f t="shared" si="100"/>
        <v>207.87299999999999</v>
      </c>
      <c r="E900" s="3">
        <f t="shared" si="101"/>
        <v>166.07499999999999</v>
      </c>
      <c r="F900" t="str">
        <f t="shared" si="99"/>
        <v>165.875</v>
      </c>
      <c r="G900" t="s">
        <v>271</v>
      </c>
      <c r="I900" t="str">
        <f t="shared" si="102"/>
        <v>&lt;note time="207.8730" string="1" fret="9" /&gt;</v>
      </c>
      <c r="J900" t="str">
        <f t="shared" si="98"/>
        <v>165.25</v>
      </c>
      <c r="K900" t="s">
        <v>1867</v>
      </c>
    </row>
    <row r="901" spans="1:11" x14ac:dyDescent="0.45">
      <c r="A901" t="str">
        <f t="shared" si="96"/>
        <v>&lt;note time="208.029" string="1" fret="4" palmMute="1" /&gt;</v>
      </c>
      <c r="D901" s="3">
        <f t="shared" si="100"/>
        <v>208.029</v>
      </c>
      <c r="E901" s="3">
        <f t="shared" si="101"/>
        <v>166.2</v>
      </c>
      <c r="F901" t="str">
        <f t="shared" si="99"/>
        <v>166.000</v>
      </c>
      <c r="G901" t="s">
        <v>272</v>
      </c>
      <c r="I901" t="str">
        <f t="shared" si="102"/>
        <v>&lt;note time="208.0290" string="1" fret="9" /&gt;</v>
      </c>
      <c r="J901" t="str">
        <f t="shared" si="98"/>
        <v>165.50</v>
      </c>
      <c r="K901" t="s">
        <v>1868</v>
      </c>
    </row>
    <row r="902" spans="1:11" x14ac:dyDescent="0.45">
      <c r="A902" t="str">
        <f t="shared" si="96"/>
        <v>&lt;note time="208.186" string="1" fret="7" palmMute="1" /&gt;</v>
      </c>
      <c r="D902" s="3">
        <f t="shared" si="100"/>
        <v>208.18600000000001</v>
      </c>
      <c r="E902" s="3">
        <f t="shared" si="101"/>
        <v>166.32499999999999</v>
      </c>
      <c r="F902" t="str">
        <f t="shared" si="99"/>
        <v>166.125</v>
      </c>
      <c r="G902" t="s">
        <v>273</v>
      </c>
      <c r="I902" t="str">
        <f t="shared" si="102"/>
        <v>&lt;note time="208.1860" string="1" fret="9" /&gt;</v>
      </c>
      <c r="J902" t="str">
        <f t="shared" si="98"/>
        <v>165.75</v>
      </c>
      <c r="K902" t="s">
        <v>1869</v>
      </c>
    </row>
    <row r="903" spans="1:11" x14ac:dyDescent="0.45">
      <c r="A903" t="str">
        <f t="shared" si="96"/>
        <v>&lt;note time="208.342" string="1" fret="4" palmMute="1" /&gt;</v>
      </c>
      <c r="D903" s="3">
        <f t="shared" si="100"/>
        <v>208.34200000000001</v>
      </c>
      <c r="E903" s="3">
        <f t="shared" si="101"/>
        <v>166.45</v>
      </c>
      <c r="F903" t="str">
        <f t="shared" si="99"/>
        <v>166.250</v>
      </c>
      <c r="G903" t="s">
        <v>274</v>
      </c>
      <c r="I903" t="str">
        <f t="shared" si="102"/>
        <v>&lt;note time="208.3420" string="1" fret="9" /&gt;</v>
      </c>
      <c r="J903" t="str">
        <f t="shared" si="98"/>
        <v>166.00</v>
      </c>
      <c r="K903" t="s">
        <v>1870</v>
      </c>
    </row>
    <row r="904" spans="1:11" x14ac:dyDescent="0.45">
      <c r="A904" t="str">
        <f t="shared" si="96"/>
        <v>&lt;note time="208.499" string="0" fret="7" palmMute="1" /&gt;</v>
      </c>
      <c r="D904" s="3">
        <f t="shared" si="100"/>
        <v>208.499</v>
      </c>
      <c r="E904" s="3">
        <f t="shared" si="101"/>
        <v>166.57499999999999</v>
      </c>
      <c r="F904" t="str">
        <f t="shared" si="99"/>
        <v>166.375</v>
      </c>
      <c r="G904" t="s">
        <v>275</v>
      </c>
      <c r="I904" t="str">
        <f t="shared" si="102"/>
        <v>&lt;note time="208.4990" string="1" fret="9" /&gt;</v>
      </c>
      <c r="J904" t="str">
        <f t="shared" si="98"/>
        <v>166.25</v>
      </c>
      <c r="K904" t="s">
        <v>1871</v>
      </c>
    </row>
    <row r="905" spans="1:11" x14ac:dyDescent="0.45">
      <c r="A905" t="str">
        <f t="shared" si="96"/>
        <v>&lt;note time="208.655" string="1" fret="4" sustain="0.497" vibrato="80" /&gt;</v>
      </c>
      <c r="D905" s="3">
        <f t="shared" si="100"/>
        <v>208.655</v>
      </c>
      <c r="E905" s="3">
        <f t="shared" si="101"/>
        <v>166.7</v>
      </c>
      <c r="F905" t="str">
        <f t="shared" si="99"/>
        <v>166.500</v>
      </c>
      <c r="G905" t="s">
        <v>276</v>
      </c>
      <c r="I905" t="str">
        <f t="shared" si="102"/>
        <v>&lt;note time="208.6550" string="1" fret="9" /&gt;</v>
      </c>
      <c r="J905" t="str">
        <f t="shared" si="98"/>
        <v>166.50</v>
      </c>
      <c r="K905" t="s">
        <v>1872</v>
      </c>
    </row>
    <row r="906" spans="1:11" x14ac:dyDescent="0.45">
      <c r="A906" t="str">
        <f t="shared" si="96"/>
        <v>&lt;note time="209.281" string="3" fret="6" /&gt;</v>
      </c>
      <c r="D906" s="3">
        <f t="shared" si="100"/>
        <v>209.28100000000001</v>
      </c>
      <c r="E906" s="3">
        <f t="shared" si="101"/>
        <v>167.2</v>
      </c>
      <c r="F906" t="str">
        <f t="shared" si="99"/>
        <v>167.000</v>
      </c>
      <c r="G906" t="s">
        <v>277</v>
      </c>
      <c r="I906" t="str">
        <f t="shared" si="102"/>
        <v>&lt;note time="209.2810" string="1" fret="9" /&gt;</v>
      </c>
      <c r="J906" t="str">
        <f t="shared" si="98"/>
        <v>166.75</v>
      </c>
      <c r="K906" t="s">
        <v>1873</v>
      </c>
    </row>
    <row r="907" spans="1:11" x14ac:dyDescent="0.45">
      <c r="A907" t="str">
        <f t="shared" si="96"/>
        <v>&lt;note time="209.438" string="3" fret="4" /&gt;</v>
      </c>
      <c r="D907" s="3">
        <f t="shared" si="100"/>
        <v>209.43799999999999</v>
      </c>
      <c r="E907" s="3">
        <f t="shared" si="101"/>
        <v>167.32499999999999</v>
      </c>
      <c r="F907" t="str">
        <f t="shared" si="99"/>
        <v>167.125</v>
      </c>
      <c r="G907" t="s">
        <v>278</v>
      </c>
      <c r="I907" t="str">
        <f t="shared" si="102"/>
        <v>&lt;note time="209.4380" string="1" fret="4" /&gt;</v>
      </c>
      <c r="J907" t="str">
        <f t="shared" si="98"/>
        <v>167.00</v>
      </c>
      <c r="K907" t="s">
        <v>1874</v>
      </c>
    </row>
    <row r="908" spans="1:11" x14ac:dyDescent="0.45">
      <c r="A908" t="str">
        <f t="shared" si="96"/>
        <v>&lt;note time="209.594" string="2" fret="6" /&gt;</v>
      </c>
      <c r="D908" s="3">
        <f t="shared" si="100"/>
        <v>209.59399999999999</v>
      </c>
      <c r="E908" s="3">
        <f t="shared" si="101"/>
        <v>167.45</v>
      </c>
      <c r="F908" t="str">
        <f t="shared" si="99"/>
        <v>167.250</v>
      </c>
      <c r="G908" t="s">
        <v>279</v>
      </c>
      <c r="I908" t="str">
        <f t="shared" si="102"/>
        <v>&lt;note time="209.5940" string="1" fret="4" /&gt;</v>
      </c>
      <c r="J908" t="str">
        <f t="shared" si="98"/>
        <v>167.25</v>
      </c>
      <c r="K908" t="s">
        <v>1875</v>
      </c>
    </row>
    <row r="909" spans="1:11" x14ac:dyDescent="0.45">
      <c r="A909" t="str">
        <f t="shared" si="96"/>
        <v>&lt;note time="209.751" string="2" fret="4" /&gt;</v>
      </c>
      <c r="D909" s="3">
        <f t="shared" si="100"/>
        <v>209.751</v>
      </c>
      <c r="E909" s="3">
        <f t="shared" si="101"/>
        <v>167.57499999999999</v>
      </c>
      <c r="F909" t="str">
        <f t="shared" si="99"/>
        <v>167.375</v>
      </c>
      <c r="G909" t="s">
        <v>280</v>
      </c>
      <c r="I909" t="str">
        <f t="shared" si="102"/>
        <v>&lt;note time="209.7510" string="1" fret="4" /&gt;</v>
      </c>
      <c r="J909" t="str">
        <f t="shared" si="98"/>
        <v>167.50</v>
      </c>
      <c r="K909" t="s">
        <v>1876</v>
      </c>
    </row>
    <row r="910" spans="1:11" x14ac:dyDescent="0.45">
      <c r="A910" t="str">
        <f t="shared" si="96"/>
        <v>&lt;note time="209.907" string="1" fret="6" palmMute="1" /&gt;</v>
      </c>
      <c r="D910" s="3">
        <f t="shared" si="100"/>
        <v>209.90700000000001</v>
      </c>
      <c r="E910" s="3">
        <f t="shared" si="101"/>
        <v>167.7</v>
      </c>
      <c r="F910" t="str">
        <f t="shared" si="99"/>
        <v>167.500</v>
      </c>
      <c r="G910" t="s">
        <v>281</v>
      </c>
      <c r="I910" t="str">
        <f t="shared" si="102"/>
        <v>&lt;note time="209.9070" string="1" fret="4" /&gt;</v>
      </c>
      <c r="J910" t="str">
        <f t="shared" si="98"/>
        <v>167.75</v>
      </c>
      <c r="K910" t="s">
        <v>1877</v>
      </c>
    </row>
    <row r="911" spans="1:11" x14ac:dyDescent="0.45">
      <c r="A911" t="str">
        <f t="shared" si="96"/>
        <v>&lt;note time="210.064" string="1" fret="7" palmMute="1" /&gt;</v>
      </c>
      <c r="D911" s="3">
        <f t="shared" si="100"/>
        <v>210.06399999999999</v>
      </c>
      <c r="E911" s="3">
        <f t="shared" si="101"/>
        <v>167.82499999999999</v>
      </c>
      <c r="F911" t="str">
        <f t="shared" si="99"/>
        <v>167.625</v>
      </c>
      <c r="G911" t="s">
        <v>282</v>
      </c>
      <c r="I911" t="str">
        <f t="shared" si="102"/>
        <v>&lt;note time="210.0640" string="1" fret="4" /&gt;</v>
      </c>
      <c r="J911" t="str">
        <f t="shared" si="98"/>
        <v>168.00</v>
      </c>
      <c r="K911" t="s">
        <v>1878</v>
      </c>
    </row>
    <row r="912" spans="1:11" x14ac:dyDescent="0.45">
      <c r="A912" t="str">
        <f t="shared" si="96"/>
        <v>&lt;note time="210.220" string="1" fret="6" palmMute="1" /&gt;</v>
      </c>
      <c r="D912" s="3">
        <f t="shared" si="100"/>
        <v>210.22</v>
      </c>
      <c r="E912" s="3">
        <f t="shared" si="101"/>
        <v>167.95</v>
      </c>
      <c r="F912" t="str">
        <f t="shared" si="99"/>
        <v>167.750</v>
      </c>
      <c r="G912" t="s">
        <v>283</v>
      </c>
      <c r="I912" t="str">
        <f t="shared" si="102"/>
        <v>&lt;note time="210.2200" string="1" fret="4" /&gt;</v>
      </c>
      <c r="J912" t="str">
        <f t="shared" si="98"/>
        <v>168.25</v>
      </c>
      <c r="K912" t="s">
        <v>1879</v>
      </c>
    </row>
    <row r="913" spans="1:11" x14ac:dyDescent="0.45">
      <c r="A913" t="str">
        <f t="shared" si="96"/>
        <v>&lt;note time="210.377" string="0" fret="7" palmMute="1" /&gt;</v>
      </c>
      <c r="D913" s="3">
        <f t="shared" si="100"/>
        <v>210.37700000000001</v>
      </c>
      <c r="E913" s="3">
        <f t="shared" si="101"/>
        <v>168.07499999999999</v>
      </c>
      <c r="F913" t="str">
        <f t="shared" si="99"/>
        <v>167.875</v>
      </c>
      <c r="G913" t="s">
        <v>284</v>
      </c>
      <c r="I913" t="str">
        <f t="shared" si="102"/>
        <v>&lt;note time="210.3770" string="1" fret="4" /&gt;</v>
      </c>
      <c r="J913" t="str">
        <f t="shared" si="98"/>
        <v>168.50</v>
      </c>
      <c r="K913" t="s">
        <v>1880</v>
      </c>
    </row>
    <row r="914" spans="1:11" x14ac:dyDescent="0.45">
      <c r="A914" t="str">
        <f t="shared" ref="A914:A962" si="103">SUBSTITUTE(G914,F914,TEXT(D914,"0.000"))</f>
        <v>&lt;note time="210.533" string="1" fret="4" palmMute="1" /&gt;</v>
      </c>
      <c r="D914" s="3">
        <f t="shared" si="100"/>
        <v>210.53299999999999</v>
      </c>
      <c r="E914" s="3">
        <f t="shared" si="101"/>
        <v>168.2</v>
      </c>
      <c r="F914" t="str">
        <f t="shared" si="99"/>
        <v>168.000</v>
      </c>
      <c r="G914" t="s">
        <v>285</v>
      </c>
      <c r="I914" t="str">
        <f t="shared" si="102"/>
        <v>&lt;note time="210.5330" string="1" fret="4" /&gt;</v>
      </c>
      <c r="J914" t="str">
        <f t="shared" si="98"/>
        <v>168.75</v>
      </c>
      <c r="K914" t="s">
        <v>1881</v>
      </c>
    </row>
    <row r="915" spans="1:11" x14ac:dyDescent="0.45">
      <c r="A915" t="str">
        <f t="shared" si="103"/>
        <v>&lt;note time="210.690" string="1" fret="7" palmMute="1" /&gt;</v>
      </c>
      <c r="D915" s="3">
        <f t="shared" si="100"/>
        <v>210.69</v>
      </c>
      <c r="E915" s="3">
        <f t="shared" si="101"/>
        <v>168.32499999999999</v>
      </c>
      <c r="F915" t="str">
        <f t="shared" si="99"/>
        <v>168.125</v>
      </c>
      <c r="G915" t="s">
        <v>286</v>
      </c>
      <c r="I915" t="str">
        <f t="shared" si="102"/>
        <v>&lt;note time="210.6900" string="1" fret="2" /&gt;</v>
      </c>
      <c r="J915" t="str">
        <f t="shared" si="98"/>
        <v>169.00</v>
      </c>
      <c r="K915" t="s">
        <v>1882</v>
      </c>
    </row>
    <row r="916" spans="1:11" x14ac:dyDescent="0.45">
      <c r="A916" t="str">
        <f t="shared" si="103"/>
        <v>&lt;note time="210.846" string="1" fret="4" palmMute="1" /&gt;</v>
      </c>
      <c r="D916" s="3">
        <f t="shared" si="100"/>
        <v>210.846</v>
      </c>
      <c r="E916" s="3">
        <f t="shared" si="101"/>
        <v>168.45</v>
      </c>
      <c r="F916" t="str">
        <f t="shared" si="99"/>
        <v>168.250</v>
      </c>
      <c r="G916" t="s">
        <v>287</v>
      </c>
      <c r="I916" t="str">
        <f t="shared" si="102"/>
        <v>&lt;note time="210.8460" string="1" fret="2" /&gt;</v>
      </c>
      <c r="J916" t="str">
        <f t="shared" si="98"/>
        <v>169.25</v>
      </c>
      <c r="K916" t="s">
        <v>1883</v>
      </c>
    </row>
    <row r="917" spans="1:11" x14ac:dyDescent="0.45">
      <c r="A917" t="str">
        <f t="shared" si="103"/>
        <v>&lt;note time="211.003" string="0" fret="7" palmMute="1" /&gt;</v>
      </c>
      <c r="D917" s="3">
        <f t="shared" si="100"/>
        <v>211.00299999999999</v>
      </c>
      <c r="E917" s="3">
        <f t="shared" si="101"/>
        <v>168.57499999999999</v>
      </c>
      <c r="F917" t="str">
        <f t="shared" si="99"/>
        <v>168.375</v>
      </c>
      <c r="G917" t="s">
        <v>288</v>
      </c>
      <c r="I917" t="str">
        <f t="shared" si="102"/>
        <v>&lt;note time="211.0030" string="1" fret="2" /&gt;</v>
      </c>
      <c r="J917" t="str">
        <f t="shared" si="98"/>
        <v>169.50</v>
      </c>
      <c r="K917" t="s">
        <v>1884</v>
      </c>
    </row>
    <row r="918" spans="1:11" x14ac:dyDescent="0.45">
      <c r="A918" t="str">
        <f t="shared" si="103"/>
        <v>&lt;note time="211.159" string="1" fret="4" sustain="0.497" vibrato="80" /&gt;</v>
      </c>
      <c r="D918" s="3">
        <f t="shared" si="100"/>
        <v>211.15899999999999</v>
      </c>
      <c r="E918" s="3">
        <f t="shared" si="101"/>
        <v>168.7</v>
      </c>
      <c r="F918" t="str">
        <f t="shared" ref="F918:F949" si="104">RIGHT(LEFT(G918,19),7)</f>
        <v>168.500</v>
      </c>
      <c r="G918" t="s">
        <v>289</v>
      </c>
      <c r="I918" t="str">
        <f t="shared" si="102"/>
        <v>&lt;note time="211.1590" string="1" fret="2" /&gt;</v>
      </c>
      <c r="J918" t="str">
        <f t="shared" si="98"/>
        <v>169.75</v>
      </c>
      <c r="K918" t="s">
        <v>1885</v>
      </c>
    </row>
    <row r="919" spans="1:11" x14ac:dyDescent="0.45">
      <c r="A919" t="str">
        <f t="shared" si="103"/>
        <v>&lt;note time="211.785" string="3" fret="6" /&gt;</v>
      </c>
      <c r="D919" s="3">
        <f t="shared" si="100"/>
        <v>211.785</v>
      </c>
      <c r="E919" s="3">
        <f t="shared" si="101"/>
        <v>169.2</v>
      </c>
      <c r="F919" t="str">
        <f t="shared" si="104"/>
        <v>169.000</v>
      </c>
      <c r="G919" t="s">
        <v>290</v>
      </c>
      <c r="I919" t="str">
        <f t="shared" si="102"/>
        <v>&lt;note time="211.7850" string="1" fret="2" /&gt;</v>
      </c>
      <c r="J919" t="str">
        <f t="shared" si="98"/>
        <v>170.00</v>
      </c>
      <c r="K919" t="s">
        <v>1886</v>
      </c>
    </row>
    <row r="920" spans="1:11" x14ac:dyDescent="0.45">
      <c r="A920" t="str">
        <f t="shared" si="103"/>
        <v>&lt;note time="211.942" string="3" fret="4" /&gt;</v>
      </c>
      <c r="D920" s="3">
        <f t="shared" si="100"/>
        <v>211.94200000000001</v>
      </c>
      <c r="E920" s="3">
        <f t="shared" si="101"/>
        <v>169.32499999999999</v>
      </c>
      <c r="F920" t="str">
        <f t="shared" si="104"/>
        <v>169.125</v>
      </c>
      <c r="G920" t="s">
        <v>291</v>
      </c>
      <c r="I920" t="str">
        <f t="shared" si="102"/>
        <v>&lt;note time="211.9420" string="1" fret="2" /&gt;</v>
      </c>
      <c r="J920" t="str">
        <f t="shared" si="98"/>
        <v>170.25</v>
      </c>
      <c r="K920" t="s">
        <v>1887</v>
      </c>
    </row>
    <row r="921" spans="1:11" x14ac:dyDescent="0.45">
      <c r="A921" t="str">
        <f t="shared" si="103"/>
        <v>&lt;note time="212.098" string="2" fret="6" /&gt;</v>
      </c>
      <c r="D921" s="3">
        <f t="shared" si="100"/>
        <v>212.09800000000001</v>
      </c>
      <c r="E921" s="3">
        <f t="shared" si="101"/>
        <v>169.45</v>
      </c>
      <c r="F921" t="str">
        <f t="shared" si="104"/>
        <v>169.250</v>
      </c>
      <c r="G921" t="s">
        <v>292</v>
      </c>
      <c r="I921" t="str">
        <f t="shared" si="102"/>
        <v>&lt;note time="212.0980" string="1" fret="2" /&gt;</v>
      </c>
      <c r="J921" t="str">
        <f t="shared" si="98"/>
        <v>170.50</v>
      </c>
      <c r="K921" t="s">
        <v>1888</v>
      </c>
    </row>
    <row r="922" spans="1:11" x14ac:dyDescent="0.45">
      <c r="A922" t="str">
        <f t="shared" si="103"/>
        <v>&lt;note time="212.255" string="2" fret="4" /&gt;</v>
      </c>
      <c r="D922" s="3">
        <f t="shared" si="100"/>
        <v>212.255</v>
      </c>
      <c r="E922" s="3">
        <f t="shared" si="101"/>
        <v>169.57499999999999</v>
      </c>
      <c r="F922" t="str">
        <f t="shared" si="104"/>
        <v>169.375</v>
      </c>
      <c r="G922" t="s">
        <v>293</v>
      </c>
      <c r="I922" t="str">
        <f t="shared" si="102"/>
        <v>&lt;note time="212.2550" string="1" fret="2" /&gt;</v>
      </c>
      <c r="J922" t="str">
        <f t="shared" si="98"/>
        <v>170.75</v>
      </c>
      <c r="K922" t="s">
        <v>1889</v>
      </c>
    </row>
    <row r="923" spans="1:11" x14ac:dyDescent="0.45">
      <c r="A923" t="str">
        <f t="shared" si="103"/>
        <v>&lt;note time="212.411" string="1" fret="6" palmMute="1" /&gt;</v>
      </c>
      <c r="D923" s="3">
        <f t="shared" si="100"/>
        <v>212.411</v>
      </c>
      <c r="E923" s="3">
        <f t="shared" si="101"/>
        <v>169.7</v>
      </c>
      <c r="F923" t="str">
        <f t="shared" si="104"/>
        <v>169.500</v>
      </c>
      <c r="G923" t="s">
        <v>294</v>
      </c>
      <c r="I923" t="str">
        <f t="shared" si="102"/>
        <v>&lt;note time="212.4110" string="1" fret="7" /&gt;</v>
      </c>
      <c r="J923" t="str">
        <f t="shared" si="98"/>
        <v>171.00</v>
      </c>
      <c r="K923" t="s">
        <v>1890</v>
      </c>
    </row>
    <row r="924" spans="1:11" x14ac:dyDescent="0.45">
      <c r="A924" t="str">
        <f t="shared" si="103"/>
        <v>&lt;note time="212.568" string="1" fret="7" palmMute="1" /&gt;</v>
      </c>
      <c r="D924" s="3">
        <f t="shared" si="100"/>
        <v>212.56800000000001</v>
      </c>
      <c r="E924" s="3">
        <f t="shared" si="101"/>
        <v>169.82499999999999</v>
      </c>
      <c r="F924" t="str">
        <f t="shared" si="104"/>
        <v>169.625</v>
      </c>
      <c r="G924" t="s">
        <v>295</v>
      </c>
      <c r="I924" t="str">
        <f t="shared" si="102"/>
        <v>&lt;note time="212.5680" string="1" fret="7" /&gt;</v>
      </c>
      <c r="J924" t="str">
        <f t="shared" si="98"/>
        <v>171.25</v>
      </c>
      <c r="K924" t="s">
        <v>1891</v>
      </c>
    </row>
    <row r="925" spans="1:11" x14ac:dyDescent="0.45">
      <c r="A925" t="str">
        <f t="shared" si="103"/>
        <v>&lt;note time="212.724" string="1" fret="6" palmMute="1" /&gt;</v>
      </c>
      <c r="D925" s="3">
        <f t="shared" si="100"/>
        <v>212.72399999999999</v>
      </c>
      <c r="E925" s="3">
        <f t="shared" si="101"/>
        <v>169.95</v>
      </c>
      <c r="F925" t="str">
        <f t="shared" si="104"/>
        <v>169.750</v>
      </c>
      <c r="G925" t="s">
        <v>296</v>
      </c>
      <c r="I925" t="str">
        <f t="shared" si="102"/>
        <v>&lt;note time="212.7240" string="1" fret="7" /&gt;</v>
      </c>
      <c r="J925" t="str">
        <f t="shared" si="98"/>
        <v>171.50</v>
      </c>
      <c r="K925" t="s">
        <v>1892</v>
      </c>
    </row>
    <row r="926" spans="1:11" x14ac:dyDescent="0.45">
      <c r="A926" t="str">
        <f t="shared" si="103"/>
        <v>&lt;note time="212.881" string="0" fret="7" palmMute="1" /&gt;</v>
      </c>
      <c r="D926" s="3">
        <f t="shared" si="100"/>
        <v>212.881</v>
      </c>
      <c r="E926" s="3">
        <f t="shared" si="101"/>
        <v>170.07499999999999</v>
      </c>
      <c r="F926" t="str">
        <f t="shared" si="104"/>
        <v>169.875</v>
      </c>
      <c r="G926" t="s">
        <v>297</v>
      </c>
      <c r="I926" t="str">
        <f t="shared" si="102"/>
        <v>&lt;note time="212.8810" string="1" fret="7" /&gt;</v>
      </c>
      <c r="J926" t="str">
        <f t="shared" si="98"/>
        <v>171.75</v>
      </c>
      <c r="K926" t="s">
        <v>1893</v>
      </c>
    </row>
    <row r="927" spans="1:11" x14ac:dyDescent="0.45">
      <c r="A927" t="str">
        <f t="shared" si="103"/>
        <v>&lt;note time="213.037" string="1" fret="4" palmMute="1" /&gt;</v>
      </c>
      <c r="D927" s="3">
        <f t="shared" si="100"/>
        <v>213.03700000000001</v>
      </c>
      <c r="E927" s="3">
        <f t="shared" si="101"/>
        <v>170.2</v>
      </c>
      <c r="F927" t="str">
        <f t="shared" si="104"/>
        <v>170.000</v>
      </c>
      <c r="G927" t="s">
        <v>298</v>
      </c>
      <c r="I927" t="str">
        <f t="shared" si="102"/>
        <v>&lt;note time="213.0370" string="1" fret="7" /&gt;</v>
      </c>
      <c r="J927" t="str">
        <f t="shared" si="98"/>
        <v>172.00</v>
      </c>
      <c r="K927" t="s">
        <v>1894</v>
      </c>
    </row>
    <row r="928" spans="1:11" x14ac:dyDescent="0.45">
      <c r="A928" t="str">
        <f t="shared" si="103"/>
        <v>&lt;note time="213.194" string="1" fret="7" palmMute="1" /&gt;</v>
      </c>
      <c r="D928" s="3">
        <f t="shared" si="100"/>
        <v>213.19399999999999</v>
      </c>
      <c r="E928" s="3">
        <f t="shared" si="101"/>
        <v>170.32499999999999</v>
      </c>
      <c r="F928" t="str">
        <f t="shared" si="104"/>
        <v>170.125</v>
      </c>
      <c r="G928" t="s">
        <v>299</v>
      </c>
      <c r="I928" t="str">
        <f t="shared" si="102"/>
        <v>&lt;note time="213.1940" string="1" fret="7" /&gt;</v>
      </c>
      <c r="J928" t="str">
        <f t="shared" si="98"/>
        <v>172.25</v>
      </c>
      <c r="K928" t="s">
        <v>1895</v>
      </c>
    </row>
    <row r="929" spans="1:11" x14ac:dyDescent="0.45">
      <c r="A929" t="str">
        <f t="shared" si="103"/>
        <v>&lt;note time="213.350" string="1" fret="4" palmMute="1" /&gt;</v>
      </c>
      <c r="D929" s="3">
        <f t="shared" si="100"/>
        <v>213.35</v>
      </c>
      <c r="E929" s="3">
        <f t="shared" si="101"/>
        <v>170.45</v>
      </c>
      <c r="F929" t="str">
        <f t="shared" si="104"/>
        <v>170.250</v>
      </c>
      <c r="G929" t="s">
        <v>300</v>
      </c>
      <c r="I929" t="str">
        <f t="shared" si="102"/>
        <v>&lt;note time="213.3500" string="1" fret="7" /&gt;</v>
      </c>
      <c r="J929" t="str">
        <f t="shared" si="98"/>
        <v>172.50</v>
      </c>
      <c r="K929" t="s">
        <v>1896</v>
      </c>
    </row>
    <row r="930" spans="1:11" x14ac:dyDescent="0.45">
      <c r="A930" t="str">
        <f t="shared" si="103"/>
        <v>&lt;note time="213.507" string="0" fret="7" palmMute="1" /&gt;</v>
      </c>
      <c r="D930" s="3">
        <f t="shared" si="100"/>
        <v>213.50700000000001</v>
      </c>
      <c r="E930" s="3">
        <f t="shared" si="101"/>
        <v>170.57499999999999</v>
      </c>
      <c r="F930" t="str">
        <f t="shared" si="104"/>
        <v>170.375</v>
      </c>
      <c r="G930" t="s">
        <v>301</v>
      </c>
      <c r="I930" t="str">
        <f t="shared" si="102"/>
        <v>&lt;note time="213.5070" string="1" fret="7" /&gt;</v>
      </c>
      <c r="J930" t="str">
        <f t="shared" si="98"/>
        <v>172.75</v>
      </c>
      <c r="K930" t="s">
        <v>1897</v>
      </c>
    </row>
    <row r="931" spans="1:11" x14ac:dyDescent="0.45">
      <c r="A931" t="str">
        <f t="shared" si="103"/>
        <v>&lt;note time="213.663" string="1" fret="4" sustain="0.497" vibrato="80" /&gt;</v>
      </c>
      <c r="D931" s="3">
        <f t="shared" si="100"/>
        <v>213.66300000000001</v>
      </c>
      <c r="E931" s="3">
        <f t="shared" si="101"/>
        <v>170.7</v>
      </c>
      <c r="F931" t="str">
        <f t="shared" si="104"/>
        <v>170.500</v>
      </c>
      <c r="G931" t="s">
        <v>302</v>
      </c>
      <c r="I931" t="str">
        <f t="shared" si="102"/>
        <v>&lt;note time="213.6630" string="1" fret="9" /&gt;</v>
      </c>
      <c r="J931" t="str">
        <f t="shared" si="98"/>
        <v>173.00</v>
      </c>
      <c r="K931" t="s">
        <v>1898</v>
      </c>
    </row>
    <row r="932" spans="1:11" x14ac:dyDescent="0.45">
      <c r="A932" t="str">
        <f t="shared" si="103"/>
        <v>&lt;note time="214.289" string="3" fret="6" /&gt;</v>
      </c>
      <c r="D932" s="3">
        <f t="shared" si="100"/>
        <v>214.28899999999999</v>
      </c>
      <c r="E932" s="3">
        <f t="shared" si="101"/>
        <v>171.2</v>
      </c>
      <c r="F932" t="str">
        <f t="shared" si="104"/>
        <v>171.000</v>
      </c>
      <c r="G932" t="s">
        <v>303</v>
      </c>
      <c r="I932" t="str">
        <f t="shared" si="102"/>
        <v>&lt;note time="214.2890" string="1" fret="9" /&gt;</v>
      </c>
      <c r="J932" t="str">
        <f t="shared" ref="J932:J943" si="105">RIGHT(LEFT(K932,18),6)</f>
        <v>173.25</v>
      </c>
      <c r="K932" t="s">
        <v>1899</v>
      </c>
    </row>
    <row r="933" spans="1:11" x14ac:dyDescent="0.45">
      <c r="A933" t="str">
        <f t="shared" si="103"/>
        <v>&lt;note time="214.446" string="3" fret="4" /&gt;</v>
      </c>
      <c r="D933" s="3">
        <f t="shared" si="100"/>
        <v>214.446</v>
      </c>
      <c r="E933" s="3">
        <f t="shared" si="101"/>
        <v>171.32499999999999</v>
      </c>
      <c r="F933" t="str">
        <f t="shared" si="104"/>
        <v>171.125</v>
      </c>
      <c r="G933" t="s">
        <v>304</v>
      </c>
      <c r="I933" t="str">
        <f t="shared" si="102"/>
        <v>&lt;note time="214.4460" string="1" fret="9" /&gt;</v>
      </c>
      <c r="J933" t="str">
        <f t="shared" si="105"/>
        <v>173.50</v>
      </c>
      <c r="K933" t="s">
        <v>1900</v>
      </c>
    </row>
    <row r="934" spans="1:11" x14ac:dyDescent="0.45">
      <c r="A934" t="str">
        <f t="shared" si="103"/>
        <v>&lt;note time="214.602" string="2" fret="6" /&gt;</v>
      </c>
      <c r="D934" s="3">
        <f t="shared" si="100"/>
        <v>214.602</v>
      </c>
      <c r="E934" s="3">
        <f t="shared" si="101"/>
        <v>171.45</v>
      </c>
      <c r="F934" t="str">
        <f t="shared" si="104"/>
        <v>171.250</v>
      </c>
      <c r="G934" t="s">
        <v>305</v>
      </c>
      <c r="I934" t="str">
        <f t="shared" si="102"/>
        <v>&lt;note time="214.6020" string="1" fret="9" /&gt;</v>
      </c>
      <c r="J934" t="str">
        <f t="shared" si="105"/>
        <v>173.75</v>
      </c>
      <c r="K934" t="s">
        <v>1901</v>
      </c>
    </row>
    <row r="935" spans="1:11" x14ac:dyDescent="0.45">
      <c r="A935" t="str">
        <f t="shared" si="103"/>
        <v>&lt;note time="214.759" string="2" fret="4" /&gt;</v>
      </c>
      <c r="D935" s="3">
        <f t="shared" si="100"/>
        <v>214.75899999999999</v>
      </c>
      <c r="E935" s="3">
        <f t="shared" si="101"/>
        <v>171.57499999999999</v>
      </c>
      <c r="F935" t="str">
        <f t="shared" si="104"/>
        <v>171.375</v>
      </c>
      <c r="G935" t="s">
        <v>306</v>
      </c>
      <c r="I935" t="str">
        <f t="shared" si="102"/>
        <v>&lt;note time="214.7590" string="1" fret="9" /&gt;</v>
      </c>
      <c r="J935" t="str">
        <f t="shared" si="105"/>
        <v>174.00</v>
      </c>
      <c r="K935" t="s">
        <v>1902</v>
      </c>
    </row>
    <row r="936" spans="1:11" x14ac:dyDescent="0.45">
      <c r="A936" t="str">
        <f t="shared" si="103"/>
        <v>&lt;note time="214.915" string="1" fret="6" palmMute="1" /&gt;</v>
      </c>
      <c r="D936" s="3">
        <f t="shared" si="100"/>
        <v>214.91499999999999</v>
      </c>
      <c r="E936" s="3">
        <f t="shared" si="101"/>
        <v>171.7</v>
      </c>
      <c r="F936" t="str">
        <f t="shared" si="104"/>
        <v>171.500</v>
      </c>
      <c r="G936" t="s">
        <v>307</v>
      </c>
      <c r="I936" t="str">
        <f t="shared" si="102"/>
        <v>&lt;note time="214.9150" string="1" fret="9" /&gt;</v>
      </c>
      <c r="J936" t="str">
        <f t="shared" si="105"/>
        <v>174.25</v>
      </c>
      <c r="K936" t="s">
        <v>1903</v>
      </c>
    </row>
    <row r="937" spans="1:11" x14ac:dyDescent="0.45">
      <c r="A937" t="str">
        <f t="shared" si="103"/>
        <v>&lt;note time="215.072" string="1" fret="7" palmMute="1" /&gt;</v>
      </c>
      <c r="D937" s="3">
        <f t="shared" si="100"/>
        <v>215.072</v>
      </c>
      <c r="E937" s="3">
        <f t="shared" si="101"/>
        <v>171.82499999999999</v>
      </c>
      <c r="F937" t="str">
        <f t="shared" si="104"/>
        <v>171.625</v>
      </c>
      <c r="G937" t="s">
        <v>308</v>
      </c>
      <c r="I937" t="str">
        <f t="shared" si="102"/>
        <v>&lt;note time="215.0720" string="1" fret="9" /&gt;</v>
      </c>
      <c r="J937" t="str">
        <f t="shared" si="105"/>
        <v>174.50</v>
      </c>
      <c r="K937" t="s">
        <v>1904</v>
      </c>
    </row>
    <row r="938" spans="1:11" x14ac:dyDescent="0.45">
      <c r="A938" t="str">
        <f t="shared" si="103"/>
        <v>&lt;note time="215.228" string="1" fret="6" palmMute="1" /&gt;</v>
      </c>
      <c r="D938" s="3">
        <f t="shared" si="100"/>
        <v>215.22800000000001</v>
      </c>
      <c r="E938" s="3">
        <f t="shared" si="101"/>
        <v>171.95</v>
      </c>
      <c r="F938" t="str">
        <f t="shared" si="104"/>
        <v>171.750</v>
      </c>
      <c r="G938" t="s">
        <v>309</v>
      </c>
      <c r="I938" t="str">
        <f t="shared" si="102"/>
        <v>&lt;note time="215.2280" string="1" fret="9" /&gt;</v>
      </c>
      <c r="J938" t="str">
        <f t="shared" si="105"/>
        <v>174.75</v>
      </c>
      <c r="K938" t="s">
        <v>1905</v>
      </c>
    </row>
    <row r="939" spans="1:11" x14ac:dyDescent="0.45">
      <c r="A939" t="str">
        <f t="shared" si="103"/>
        <v>&lt;note time="215.385" string="0" fret="7" palmMute="1" /&gt;</v>
      </c>
      <c r="D939" s="3">
        <f t="shared" si="100"/>
        <v>215.38499999999999</v>
      </c>
      <c r="E939" s="3">
        <f t="shared" si="101"/>
        <v>172.07499999999999</v>
      </c>
      <c r="F939" t="str">
        <f t="shared" si="104"/>
        <v>171.875</v>
      </c>
      <c r="G939" t="s">
        <v>310</v>
      </c>
      <c r="I939" t="str">
        <f t="shared" si="102"/>
        <v>&lt;note time="215.3850" string="1" fret="4" /&gt;</v>
      </c>
      <c r="J939" t="str">
        <f t="shared" si="105"/>
        <v>175.00</v>
      </c>
      <c r="K939" t="s">
        <v>1906</v>
      </c>
    </row>
    <row r="940" spans="1:11" x14ac:dyDescent="0.45">
      <c r="A940" t="str">
        <f t="shared" si="103"/>
        <v>&lt;note time="215.541" string="1" fret="4" palmMute="1" /&gt;</v>
      </c>
      <c r="D940" s="3">
        <f t="shared" si="100"/>
        <v>215.541</v>
      </c>
      <c r="E940" s="3">
        <f t="shared" si="101"/>
        <v>172.2</v>
      </c>
      <c r="F940" t="str">
        <f t="shared" si="104"/>
        <v>172.000</v>
      </c>
      <c r="G940" t="s">
        <v>311</v>
      </c>
      <c r="I940" t="str">
        <f t="shared" si="102"/>
        <v>&lt;note time="215.5410" string="1" fret="4" /&gt;</v>
      </c>
      <c r="J940" t="str">
        <f t="shared" si="105"/>
        <v>175.25</v>
      </c>
      <c r="K940" t="s">
        <v>1907</v>
      </c>
    </row>
    <row r="941" spans="1:11" x14ac:dyDescent="0.45">
      <c r="A941" t="str">
        <f t="shared" si="103"/>
        <v>&lt;note time="215.698" string="1" fret="7" palmMute="1" /&gt;</v>
      </c>
      <c r="D941" s="3">
        <f t="shared" si="100"/>
        <v>215.69800000000001</v>
      </c>
      <c r="E941" s="3">
        <f t="shared" si="101"/>
        <v>172.32499999999999</v>
      </c>
      <c r="F941" t="str">
        <f t="shared" si="104"/>
        <v>172.125</v>
      </c>
      <c r="G941" t="s">
        <v>312</v>
      </c>
      <c r="I941" t="str">
        <f t="shared" si="102"/>
        <v>&lt;note time="215.6980" string="1" fret="2" /&gt;</v>
      </c>
      <c r="J941" t="str">
        <f t="shared" si="105"/>
        <v>175.50</v>
      </c>
      <c r="K941" t="s">
        <v>1908</v>
      </c>
    </row>
    <row r="942" spans="1:11" x14ac:dyDescent="0.45">
      <c r="A942" t="str">
        <f t="shared" si="103"/>
        <v>&lt;note time="215.854" string="1" fret="4" palmMute="1" /&gt;</v>
      </c>
      <c r="D942" s="3">
        <f t="shared" si="100"/>
        <v>215.85400000000001</v>
      </c>
      <c r="E942" s="3">
        <f t="shared" si="101"/>
        <v>172.45</v>
      </c>
      <c r="F942" t="str">
        <f t="shared" si="104"/>
        <v>172.250</v>
      </c>
      <c r="G942" t="s">
        <v>313</v>
      </c>
      <c r="I942" t="str">
        <f t="shared" si="102"/>
        <v>&lt;note time="215.8540" string="1" fret="2" /&gt;</v>
      </c>
      <c r="J942" t="str">
        <f t="shared" si="105"/>
        <v>175.75</v>
      </c>
      <c r="K942" t="s">
        <v>1909</v>
      </c>
    </row>
    <row r="943" spans="1:11" x14ac:dyDescent="0.45">
      <c r="A943" t="str">
        <f t="shared" si="103"/>
        <v>&lt;note time="216.011" string="0" fret="7" palmMute="1" /&gt;</v>
      </c>
      <c r="D943" s="3">
        <f t="shared" si="100"/>
        <v>216.011</v>
      </c>
      <c r="E943" s="3">
        <f t="shared" si="101"/>
        <v>172.57499999999999</v>
      </c>
      <c r="F943" t="str">
        <f t="shared" si="104"/>
        <v>172.375</v>
      </c>
      <c r="G943" t="s">
        <v>314</v>
      </c>
      <c r="I943" t="str">
        <f t="shared" si="102"/>
        <v>&lt;note time="216.0110" string="0" fret="0" sustain="3.000" /&gt;</v>
      </c>
      <c r="J943" t="str">
        <f t="shared" si="105"/>
        <v>176.00</v>
      </c>
      <c r="K943" t="s">
        <v>1910</v>
      </c>
    </row>
    <row r="944" spans="1:11" x14ac:dyDescent="0.45">
      <c r="A944" t="str">
        <f t="shared" si="103"/>
        <v>&lt;note time="216.167" string="1" fret="4" sustain="0.497" vibrato="80" /&gt;</v>
      </c>
      <c r="D944" s="3">
        <f t="shared" si="100"/>
        <v>216.167</v>
      </c>
      <c r="E944" s="3">
        <f t="shared" si="101"/>
        <v>172.7</v>
      </c>
      <c r="F944" t="str">
        <f t="shared" si="104"/>
        <v>172.500</v>
      </c>
      <c r="G944" t="s">
        <v>315</v>
      </c>
    </row>
    <row r="945" spans="1:7" x14ac:dyDescent="0.45">
      <c r="A945" t="str">
        <f t="shared" si="103"/>
        <v>&lt;note time="216.793" string="3" fret="6" /&gt;</v>
      </c>
      <c r="D945" s="3">
        <f t="shared" si="100"/>
        <v>216.79300000000001</v>
      </c>
      <c r="E945" s="3">
        <f t="shared" si="101"/>
        <v>173.2</v>
      </c>
      <c r="F945" t="str">
        <f t="shared" si="104"/>
        <v>173.000</v>
      </c>
      <c r="G945" t="s">
        <v>316</v>
      </c>
    </row>
    <row r="946" spans="1:7" x14ac:dyDescent="0.45">
      <c r="A946" t="str">
        <f t="shared" si="103"/>
        <v>&lt;note time="216.950" string="3" fret="4" /&gt;</v>
      </c>
      <c r="D946" s="3">
        <f t="shared" si="100"/>
        <v>216.95</v>
      </c>
      <c r="E946" s="3">
        <f t="shared" si="101"/>
        <v>173.32499999999999</v>
      </c>
      <c r="F946" t="str">
        <f t="shared" si="104"/>
        <v>173.125</v>
      </c>
      <c r="G946" t="s">
        <v>317</v>
      </c>
    </row>
    <row r="947" spans="1:7" x14ac:dyDescent="0.45">
      <c r="A947" t="str">
        <f t="shared" si="103"/>
        <v>&lt;note time="217.106" string="2" fret="6" /&gt;</v>
      </c>
      <c r="D947" s="3">
        <f t="shared" si="100"/>
        <v>217.10599999999999</v>
      </c>
      <c r="E947" s="3">
        <f t="shared" si="101"/>
        <v>173.45</v>
      </c>
      <c r="F947" t="str">
        <f t="shared" si="104"/>
        <v>173.250</v>
      </c>
      <c r="G947" t="s">
        <v>318</v>
      </c>
    </row>
    <row r="948" spans="1:7" x14ac:dyDescent="0.45">
      <c r="A948" t="str">
        <f t="shared" si="103"/>
        <v>&lt;note time="217.263" string="2" fret="4" /&gt;</v>
      </c>
      <c r="D948" s="3">
        <f t="shared" si="100"/>
        <v>217.26300000000001</v>
      </c>
      <c r="E948" s="3">
        <f t="shared" si="101"/>
        <v>173.57499999999999</v>
      </c>
      <c r="F948" t="str">
        <f t="shared" si="104"/>
        <v>173.375</v>
      </c>
      <c r="G948" t="s">
        <v>319</v>
      </c>
    </row>
    <row r="949" spans="1:7" x14ac:dyDescent="0.45">
      <c r="A949" t="str">
        <f t="shared" si="103"/>
        <v>&lt;note time="217.419" string="1" fret="6" palmMute="1" /&gt;</v>
      </c>
      <c r="D949" s="3">
        <f t="shared" si="100"/>
        <v>217.41900000000001</v>
      </c>
      <c r="E949" s="3">
        <f t="shared" si="101"/>
        <v>173.7</v>
      </c>
      <c r="F949" t="str">
        <f t="shared" si="104"/>
        <v>173.500</v>
      </c>
      <c r="G949" t="s">
        <v>320</v>
      </c>
    </row>
    <row r="950" spans="1:7" x14ac:dyDescent="0.45">
      <c r="A950" t="str">
        <f t="shared" si="103"/>
        <v>&lt;note time="217.576" string="1" fret="7" palmMute="1" /&gt;</v>
      </c>
      <c r="D950" s="3">
        <f t="shared" si="100"/>
        <v>217.57599999999999</v>
      </c>
      <c r="E950" s="3">
        <f t="shared" si="101"/>
        <v>173.82499999999999</v>
      </c>
      <c r="F950" t="str">
        <f t="shared" ref="F950:F981" si="106">RIGHT(LEFT(G950,19),7)</f>
        <v>173.625</v>
      </c>
      <c r="G950" t="s">
        <v>321</v>
      </c>
    </row>
    <row r="951" spans="1:7" x14ac:dyDescent="0.45">
      <c r="A951" t="str">
        <f t="shared" si="103"/>
        <v>&lt;note time="217.732" string="1" fret="6" palmMute="1" /&gt;</v>
      </c>
      <c r="D951" s="3">
        <f t="shared" si="100"/>
        <v>217.732</v>
      </c>
      <c r="E951" s="3">
        <f t="shared" si="101"/>
        <v>173.95</v>
      </c>
      <c r="F951" t="str">
        <f t="shared" si="106"/>
        <v>173.750</v>
      </c>
      <c r="G951" t="s">
        <v>322</v>
      </c>
    </row>
    <row r="952" spans="1:7" x14ac:dyDescent="0.45">
      <c r="A952" t="str">
        <f t="shared" si="103"/>
        <v>&lt;note time="217.889" string="0" fret="7" palmMute="1" /&gt;</v>
      </c>
      <c r="D952" s="3">
        <f t="shared" si="100"/>
        <v>217.88900000000001</v>
      </c>
      <c r="E952" s="3">
        <f t="shared" si="101"/>
        <v>174.07499999999999</v>
      </c>
      <c r="F952" t="str">
        <f t="shared" si="106"/>
        <v>173.875</v>
      </c>
      <c r="G952" t="s">
        <v>323</v>
      </c>
    </row>
    <row r="953" spans="1:7" x14ac:dyDescent="0.45">
      <c r="A953" t="str">
        <f t="shared" si="103"/>
        <v>&lt;note time="218.045" string="1" fret="4" palmMute="1" /&gt;</v>
      </c>
      <c r="D953" s="3">
        <f t="shared" si="100"/>
        <v>218.04499999999999</v>
      </c>
      <c r="E953" s="3">
        <f t="shared" si="101"/>
        <v>174.2</v>
      </c>
      <c r="F953" t="str">
        <f t="shared" si="106"/>
        <v>174.000</v>
      </c>
      <c r="G953" t="s">
        <v>324</v>
      </c>
    </row>
    <row r="954" spans="1:7" x14ac:dyDescent="0.45">
      <c r="A954" t="str">
        <f t="shared" si="103"/>
        <v>&lt;note time="218.202" string="1" fret="7" palmMute="1" /&gt;</v>
      </c>
      <c r="D954" s="3">
        <f t="shared" si="100"/>
        <v>218.202</v>
      </c>
      <c r="E954" s="3">
        <f t="shared" si="101"/>
        <v>174.32499999999999</v>
      </c>
      <c r="F954" t="str">
        <f t="shared" si="106"/>
        <v>174.125</v>
      </c>
      <c r="G954" t="s">
        <v>325</v>
      </c>
    </row>
    <row r="955" spans="1:7" x14ac:dyDescent="0.45">
      <c r="A955" t="str">
        <f t="shared" si="103"/>
        <v>&lt;note time="218.358" string="1" fret="4" palmMute="1" /&gt;</v>
      </c>
      <c r="D955" s="3">
        <f t="shared" si="100"/>
        <v>218.358</v>
      </c>
      <c r="E955" s="3">
        <f t="shared" si="101"/>
        <v>174.45</v>
      </c>
      <c r="F955" t="str">
        <f t="shared" si="106"/>
        <v>174.250</v>
      </c>
      <c r="G955" t="s">
        <v>326</v>
      </c>
    </row>
    <row r="956" spans="1:7" x14ac:dyDescent="0.45">
      <c r="A956" t="str">
        <f t="shared" si="103"/>
        <v>&lt;note time="218.515" string="0" fret="7" palmMute="1" /&gt;</v>
      </c>
      <c r="D956" s="3">
        <f t="shared" si="100"/>
        <v>218.51499999999999</v>
      </c>
      <c r="E956" s="3">
        <f t="shared" si="101"/>
        <v>174.57499999999999</v>
      </c>
      <c r="F956" t="str">
        <f t="shared" si="106"/>
        <v>174.375</v>
      </c>
      <c r="G956" t="s">
        <v>327</v>
      </c>
    </row>
    <row r="957" spans="1:7" x14ac:dyDescent="0.45">
      <c r="A957" t="str">
        <f t="shared" si="103"/>
        <v>&lt;note time="218.671" string="1" fret="4" sustain="0.497" vibrato="80" /&gt;</v>
      </c>
      <c r="D957" s="3">
        <f t="shared" si="100"/>
        <v>218.67099999999999</v>
      </c>
      <c r="E957" s="3">
        <f t="shared" si="101"/>
        <v>174.7</v>
      </c>
      <c r="F957" t="str">
        <f t="shared" si="106"/>
        <v>174.500</v>
      </c>
      <c r="G957" t="s">
        <v>328</v>
      </c>
    </row>
    <row r="958" spans="1:7" x14ac:dyDescent="0.45">
      <c r="A958" t="str">
        <f t="shared" si="103"/>
        <v>&lt;chord time="219.297" chordId="3" &gt;&lt;chordNote time="219.297" string="1" fret="4" leftHand="1" /&gt;&lt;chordNote time="219.297" string="2" fret="6" leftHand="3" /&gt;&lt;chordNote time="219.297" string="3" fret="6" leftHand="4" /&gt;&lt;/chord&gt;</v>
      </c>
      <c r="D958" s="3">
        <f t="shared" si="100"/>
        <v>219.297</v>
      </c>
      <c r="E958" s="3">
        <f t="shared" si="101"/>
        <v>175.2</v>
      </c>
      <c r="F958" t="str">
        <f>RIGHT(LEFT(G958,20),7)</f>
        <v>175.000</v>
      </c>
      <c r="G958" t="s">
        <v>960</v>
      </c>
    </row>
    <row r="959" spans="1:7" x14ac:dyDescent="0.45">
      <c r="A959" t="str">
        <f t="shared" si="103"/>
        <v>&lt;chord time="219.610" chordId="3" highDensity="1" &gt;&lt;chordNote time="219.610" string="1" fret="4" leftHand="1" /&gt;&lt;chordNote time="219.610" string="2" fret="6" leftHand="3" /&gt;&lt;chordNote time="219.610" string="3" fret="6" leftHand="4" /&gt;&lt;/chord&gt;</v>
      </c>
      <c r="D959" s="3">
        <f t="shared" si="100"/>
        <v>219.61</v>
      </c>
      <c r="E959" s="3">
        <f t="shared" si="101"/>
        <v>175.45</v>
      </c>
      <c r="F959" t="str">
        <f>RIGHT(LEFT(G959,20),7)</f>
        <v>175.250</v>
      </c>
      <c r="G959" t="s">
        <v>961</v>
      </c>
    </row>
    <row r="960" spans="1:7" x14ac:dyDescent="0.45">
      <c r="A960" t="str">
        <f t="shared" si="103"/>
        <v>&lt;chord time="219.923" chordId="4" &gt;&lt;chordNote time="219.923" string="1" fret="2" leftHand="1" /&gt;&lt;chordNote time="219.923" string="2" fret="4" leftHand="3" /&gt;&lt;chordNote time="219.923" string="3" fret="4" leftHand="4" /&gt;&lt;/chord&gt;</v>
      </c>
      <c r="D960" s="3">
        <f t="shared" si="100"/>
        <v>219.923</v>
      </c>
      <c r="E960" s="3">
        <f t="shared" si="101"/>
        <v>175.7</v>
      </c>
      <c r="F960" t="str">
        <f>RIGHT(LEFT(G960,20),7)</f>
        <v>175.500</v>
      </c>
      <c r="G960" t="s">
        <v>962</v>
      </c>
    </row>
    <row r="961" spans="1:7" x14ac:dyDescent="0.45">
      <c r="A961" t="str">
        <f t="shared" si="103"/>
        <v>&lt;chord time="220.236" chordId="4" highDensity="1" &gt;&lt;chordNote time="220.236" string="1" fret="2" leftHand="1" /&gt;&lt;chordNote time="220.236" string="2" fret="4" leftHand="3" /&gt;&lt;chordNote time="220.236" string="3" fret="4" leftHand="4" /&gt;&lt;/chord&gt;</v>
      </c>
      <c r="D961" s="3">
        <f t="shared" si="100"/>
        <v>220.23599999999999</v>
      </c>
      <c r="E961" s="3">
        <f t="shared" si="101"/>
        <v>175.95</v>
      </c>
      <c r="F961" t="str">
        <f>RIGHT(LEFT(G961,20),7)</f>
        <v>175.750</v>
      </c>
      <c r="G961" t="s">
        <v>963</v>
      </c>
    </row>
    <row r="962" spans="1:7" x14ac:dyDescent="0.45">
      <c r="A962" t="str">
        <f t="shared" si="103"/>
        <v>&lt;chord time="220.549" chordId="5" &gt;&lt;chordNote time="220.549" string="0" fret="0" /&gt;&lt;chordNote time="220.549" string="1" fret="2" leftHand="2" /&gt;&lt;chordNote time="220.549" string="2" fret="2" leftHand="3" /&gt;&lt;/chord&gt;</v>
      </c>
      <c r="D962" s="3">
        <f t="shared" ref="D962" si="107">ROUNDDOWN(E962-($C$3*(E962-$E$1)/100),3)</f>
        <v>220.54900000000001</v>
      </c>
      <c r="E962" s="3">
        <f t="shared" ref="E962" si="108">0.2+F962</f>
        <v>176.2</v>
      </c>
      <c r="F962" t="str">
        <f>RIGHT(LEFT(G962,20),7)</f>
        <v>176.000</v>
      </c>
      <c r="G962" t="s">
        <v>964</v>
      </c>
    </row>
  </sheetData>
  <sortState xmlns:xlrd2="http://schemas.microsoft.com/office/spreadsheetml/2017/richdata2" ref="A1:G962">
    <sortCondition ref="F1:F96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38B3F-58C4-491E-A771-D4F5F6059CA6}">
  <dimension ref="A1:B269"/>
  <sheetViews>
    <sheetView tabSelected="1" workbookViewId="0">
      <selection activeCell="B1" sqref="B1:B1048576"/>
    </sheetView>
  </sheetViews>
  <sheetFormatPr defaultRowHeight="14.25" x14ac:dyDescent="0.45"/>
  <sheetData>
    <row r="1" spans="1:2" x14ac:dyDescent="0.45">
      <c r="A1" t="str">
        <f>RIGHT(LEFT(B1,26),5)</f>
        <v>2.000</v>
      </c>
      <c r="B1" t="s">
        <v>1949</v>
      </c>
    </row>
    <row r="2" spans="1:2" x14ac:dyDescent="0.45">
      <c r="A2" t="str">
        <f>RIGHT(LEFT(B2,26),5)</f>
        <v>2.250</v>
      </c>
      <c r="B2" t="s">
        <v>1950</v>
      </c>
    </row>
    <row r="3" spans="1:2" x14ac:dyDescent="0.45">
      <c r="A3" t="str">
        <f>RIGHT(LEFT(B3,26),5)</f>
        <v>3.250</v>
      </c>
      <c r="B3" t="s">
        <v>1951</v>
      </c>
    </row>
    <row r="4" spans="1:2" x14ac:dyDescent="0.45">
      <c r="A4" t="str">
        <f>RIGHT(LEFT(B4,26),5)</f>
        <v>3.750</v>
      </c>
      <c r="B4" t="s">
        <v>1952</v>
      </c>
    </row>
    <row r="5" spans="1:2" x14ac:dyDescent="0.45">
      <c r="A5" t="str">
        <f>RIGHT(LEFT(B5,26),5)</f>
        <v>4.750</v>
      </c>
      <c r="B5" t="s">
        <v>1953</v>
      </c>
    </row>
    <row r="6" spans="1:2" x14ac:dyDescent="0.45">
      <c r="A6" t="str">
        <f>RIGHT(LEFT(B6,26),5)</f>
        <v>5.000</v>
      </c>
      <c r="B6" t="s">
        <v>1954</v>
      </c>
    </row>
    <row r="7" spans="1:2" x14ac:dyDescent="0.45">
      <c r="A7" t="str">
        <f>RIGHT(LEFT(B7,26),5)</f>
        <v>5.500</v>
      </c>
      <c r="B7" t="s">
        <v>1955</v>
      </c>
    </row>
    <row r="8" spans="1:2" x14ac:dyDescent="0.45">
      <c r="A8" t="str">
        <f>RIGHT(LEFT(B8,26),5)</f>
        <v>6.000</v>
      </c>
      <c r="B8" t="s">
        <v>1956</v>
      </c>
    </row>
    <row r="9" spans="1:2" x14ac:dyDescent="0.45">
      <c r="A9" t="str">
        <f>RIGHT(LEFT(B9,26),5)</f>
        <v>6.250</v>
      </c>
      <c r="B9" t="s">
        <v>1957</v>
      </c>
    </row>
    <row r="10" spans="1:2" x14ac:dyDescent="0.45">
      <c r="A10" t="str">
        <f>RIGHT(LEFT(B10,26),5)</f>
        <v>7.250</v>
      </c>
      <c r="B10" t="s">
        <v>1958</v>
      </c>
    </row>
    <row r="11" spans="1:2" x14ac:dyDescent="0.45">
      <c r="A11" t="str">
        <f>RIGHT(LEFT(B11,26),5)</f>
        <v>7.750</v>
      </c>
      <c r="B11" t="s">
        <v>1959</v>
      </c>
    </row>
    <row r="12" spans="1:2" x14ac:dyDescent="0.45">
      <c r="A12" t="str">
        <f>RIGHT(LEFT(B12,26),5)</f>
        <v>8.750</v>
      </c>
      <c r="B12" t="s">
        <v>1960</v>
      </c>
    </row>
    <row r="13" spans="1:2" x14ac:dyDescent="0.45">
      <c r="A13" t="str">
        <f>RIGHT(LEFT(B13,26),5)</f>
        <v>9.000</v>
      </c>
      <c r="B13" t="s">
        <v>1961</v>
      </c>
    </row>
    <row r="14" spans="1:2" x14ac:dyDescent="0.45">
      <c r="A14" t="str">
        <f>RIGHT(LEFT(B14,26),5)</f>
        <v>9.500</v>
      </c>
      <c r="B14" t="s">
        <v>1962</v>
      </c>
    </row>
    <row r="15" spans="1:2" x14ac:dyDescent="0.45">
      <c r="A15" t="str">
        <f>RIGHT(LEFT(B15,27),6)</f>
        <v>10.000</v>
      </c>
      <c r="B15" t="s">
        <v>1963</v>
      </c>
    </row>
    <row r="16" spans="1:2" x14ac:dyDescent="0.45">
      <c r="A16" t="str">
        <f>RIGHT(LEFT(B16,27),6)</f>
        <v>10.250</v>
      </c>
      <c r="B16" t="s">
        <v>1964</v>
      </c>
    </row>
    <row r="17" spans="1:2" x14ac:dyDescent="0.45">
      <c r="A17" t="str">
        <f>RIGHT(LEFT(B17,27),6)</f>
        <v>11.250</v>
      </c>
      <c r="B17" t="s">
        <v>1965</v>
      </c>
    </row>
    <row r="18" spans="1:2" x14ac:dyDescent="0.45">
      <c r="A18" t="str">
        <f>RIGHT(LEFT(B18,27),6)</f>
        <v>11.750</v>
      </c>
      <c r="B18" t="s">
        <v>1966</v>
      </c>
    </row>
    <row r="19" spans="1:2" x14ac:dyDescent="0.45">
      <c r="A19" t="str">
        <f>RIGHT(LEFT(B19,27),6)</f>
        <v>12.750</v>
      </c>
      <c r="B19" t="s">
        <v>1967</v>
      </c>
    </row>
    <row r="20" spans="1:2" x14ac:dyDescent="0.45">
      <c r="A20" t="str">
        <f>RIGHT(LEFT(B20,27),6)</f>
        <v>13.000</v>
      </c>
      <c r="B20" t="s">
        <v>1968</v>
      </c>
    </row>
    <row r="21" spans="1:2" x14ac:dyDescent="0.45">
      <c r="A21" t="str">
        <f>RIGHT(LEFT(B21,27),6)</f>
        <v>13.500</v>
      </c>
      <c r="B21" t="s">
        <v>1969</v>
      </c>
    </row>
    <row r="22" spans="1:2" x14ac:dyDescent="0.45">
      <c r="A22" t="str">
        <f>RIGHT(LEFT(B22,27),6)</f>
        <v>14.000</v>
      </c>
      <c r="B22" t="s">
        <v>1970</v>
      </c>
    </row>
    <row r="23" spans="1:2" x14ac:dyDescent="0.45">
      <c r="A23" t="str">
        <f>RIGHT(LEFT(B23,27),6)</f>
        <v>14.250</v>
      </c>
      <c r="B23" t="s">
        <v>1971</v>
      </c>
    </row>
    <row r="24" spans="1:2" x14ac:dyDescent="0.45">
      <c r="A24" t="str">
        <f>RIGHT(LEFT(B24,27),6)</f>
        <v>15.250</v>
      </c>
      <c r="B24" t="s">
        <v>1972</v>
      </c>
    </row>
    <row r="25" spans="1:2" x14ac:dyDescent="0.45">
      <c r="A25" t="str">
        <f>RIGHT(LEFT(B25,27),6)</f>
        <v>15.750</v>
      </c>
      <c r="B25" t="s">
        <v>1973</v>
      </c>
    </row>
    <row r="26" spans="1:2" x14ac:dyDescent="0.45">
      <c r="A26" t="str">
        <f>RIGHT(LEFT(B26,27),6)</f>
        <v>16.750</v>
      </c>
      <c r="B26" t="s">
        <v>1974</v>
      </c>
    </row>
    <row r="27" spans="1:2" x14ac:dyDescent="0.45">
      <c r="A27" t="str">
        <f>RIGHT(LEFT(B27,27),6)</f>
        <v>17.000</v>
      </c>
      <c r="B27" t="s">
        <v>1975</v>
      </c>
    </row>
    <row r="28" spans="1:2" x14ac:dyDescent="0.45">
      <c r="A28" t="str">
        <f>RIGHT(LEFT(B28,27),6)</f>
        <v>17.500</v>
      </c>
      <c r="B28" t="s">
        <v>1976</v>
      </c>
    </row>
    <row r="29" spans="1:2" x14ac:dyDescent="0.45">
      <c r="A29" t="str">
        <f>RIGHT(LEFT(B29,27),6)</f>
        <v>22.000</v>
      </c>
      <c r="B29" t="s">
        <v>1977</v>
      </c>
    </row>
    <row r="30" spans="1:2" x14ac:dyDescent="0.45">
      <c r="A30" t="str">
        <f>RIGHT(LEFT(B30,27),6)</f>
        <v>22.250</v>
      </c>
      <c r="B30" t="s">
        <v>1978</v>
      </c>
    </row>
    <row r="31" spans="1:2" x14ac:dyDescent="0.45">
      <c r="A31" t="str">
        <f>RIGHT(LEFT(B31,27),6)</f>
        <v>25.000</v>
      </c>
      <c r="B31" t="s">
        <v>1979</v>
      </c>
    </row>
    <row r="32" spans="1:2" x14ac:dyDescent="0.45">
      <c r="A32" t="str">
        <f>RIGHT(LEFT(B32,27),6)</f>
        <v>25.500</v>
      </c>
      <c r="B32" t="s">
        <v>1980</v>
      </c>
    </row>
    <row r="33" spans="1:2" x14ac:dyDescent="0.45">
      <c r="A33" t="str">
        <f>RIGHT(LEFT(B33,27),6)</f>
        <v>26.000</v>
      </c>
      <c r="B33" t="s">
        <v>1981</v>
      </c>
    </row>
    <row r="34" spans="1:2" x14ac:dyDescent="0.45">
      <c r="A34" t="str">
        <f>RIGHT(LEFT(B34,27),6)</f>
        <v>26.250</v>
      </c>
      <c r="B34" t="s">
        <v>1982</v>
      </c>
    </row>
    <row r="35" spans="1:2" x14ac:dyDescent="0.45">
      <c r="A35" t="str">
        <f>RIGHT(LEFT(B35,27),6)</f>
        <v>30.000</v>
      </c>
      <c r="B35" t="s">
        <v>1983</v>
      </c>
    </row>
    <row r="36" spans="1:2" x14ac:dyDescent="0.45">
      <c r="A36" t="str">
        <f>RIGHT(LEFT(B36,27),6)</f>
        <v>30.250</v>
      </c>
      <c r="B36" t="s">
        <v>1984</v>
      </c>
    </row>
    <row r="37" spans="1:2" x14ac:dyDescent="0.45">
      <c r="A37" t="str">
        <f>RIGHT(LEFT(B37,27),6)</f>
        <v>33.000</v>
      </c>
      <c r="B37" t="s">
        <v>1985</v>
      </c>
    </row>
    <row r="38" spans="1:2" x14ac:dyDescent="0.45">
      <c r="A38" t="str">
        <f>RIGHT(LEFT(B38,27),6)</f>
        <v>33.500</v>
      </c>
      <c r="B38" t="s">
        <v>1986</v>
      </c>
    </row>
    <row r="39" spans="1:2" x14ac:dyDescent="0.45">
      <c r="A39" t="str">
        <f>RIGHT(LEFT(B39,27),6)</f>
        <v>34.000</v>
      </c>
      <c r="B39" t="s">
        <v>1987</v>
      </c>
    </row>
    <row r="40" spans="1:2" x14ac:dyDescent="0.45">
      <c r="A40" t="str">
        <f>RIGHT(LEFT(B40,27),6)</f>
        <v>34.250</v>
      </c>
      <c r="B40" t="s">
        <v>1988</v>
      </c>
    </row>
    <row r="41" spans="1:2" x14ac:dyDescent="0.45">
      <c r="A41" t="str">
        <f>RIGHT(LEFT(B41,27),6)</f>
        <v>38.000</v>
      </c>
      <c r="B41" t="s">
        <v>1989</v>
      </c>
    </row>
    <row r="42" spans="1:2" x14ac:dyDescent="0.45">
      <c r="A42" t="str">
        <f>RIGHT(LEFT(B42,27),6)</f>
        <v>38.250</v>
      </c>
      <c r="B42" t="s">
        <v>1990</v>
      </c>
    </row>
    <row r="43" spans="1:2" x14ac:dyDescent="0.45">
      <c r="A43" t="str">
        <f>RIGHT(LEFT(B43,27),6)</f>
        <v>42.000</v>
      </c>
      <c r="B43" t="s">
        <v>1991</v>
      </c>
    </row>
    <row r="44" spans="1:2" x14ac:dyDescent="0.45">
      <c r="A44" t="str">
        <f>RIGHT(LEFT(B44,27),6)</f>
        <v>42.250</v>
      </c>
      <c r="B44" t="s">
        <v>1992</v>
      </c>
    </row>
    <row r="45" spans="1:2" x14ac:dyDescent="0.45">
      <c r="A45" t="str">
        <f>RIGHT(LEFT(B45,27),6)</f>
        <v>43.250</v>
      </c>
      <c r="B45" t="s">
        <v>1993</v>
      </c>
    </row>
    <row r="46" spans="1:2" x14ac:dyDescent="0.45">
      <c r="A46" t="str">
        <f>RIGHT(LEFT(B46,27),6)</f>
        <v>43.750</v>
      </c>
      <c r="B46" t="s">
        <v>1994</v>
      </c>
    </row>
    <row r="47" spans="1:2" x14ac:dyDescent="0.45">
      <c r="A47" t="str">
        <f>RIGHT(LEFT(B47,27),6)</f>
        <v>44.750</v>
      </c>
      <c r="B47" t="s">
        <v>1995</v>
      </c>
    </row>
    <row r="48" spans="1:2" x14ac:dyDescent="0.45">
      <c r="A48" t="str">
        <f>RIGHT(LEFT(B48,27),6)</f>
        <v>45.000</v>
      </c>
      <c r="B48" t="s">
        <v>1996</v>
      </c>
    </row>
    <row r="49" spans="1:2" x14ac:dyDescent="0.45">
      <c r="A49" t="str">
        <f>RIGHT(LEFT(B49,27),6)</f>
        <v>45.500</v>
      </c>
      <c r="B49" t="s">
        <v>1997</v>
      </c>
    </row>
    <row r="50" spans="1:2" x14ac:dyDescent="0.45">
      <c r="A50" t="str">
        <f>RIGHT(LEFT(B50,27),6)</f>
        <v>46.000</v>
      </c>
      <c r="B50" t="s">
        <v>1998</v>
      </c>
    </row>
    <row r="51" spans="1:2" x14ac:dyDescent="0.45">
      <c r="A51" t="str">
        <f>RIGHT(LEFT(B51,27),6)</f>
        <v>46.250</v>
      </c>
      <c r="B51" t="s">
        <v>1999</v>
      </c>
    </row>
    <row r="52" spans="1:2" x14ac:dyDescent="0.45">
      <c r="A52" t="str">
        <f>RIGHT(LEFT(B52,27),6)</f>
        <v>47.250</v>
      </c>
      <c r="B52" t="s">
        <v>2000</v>
      </c>
    </row>
    <row r="53" spans="1:2" x14ac:dyDescent="0.45">
      <c r="A53" t="str">
        <f>RIGHT(LEFT(B53,27),6)</f>
        <v>47.750</v>
      </c>
      <c r="B53" t="s">
        <v>2001</v>
      </c>
    </row>
    <row r="54" spans="1:2" x14ac:dyDescent="0.45">
      <c r="A54" t="str">
        <f>RIGHT(LEFT(B54,27),6)</f>
        <v>48.750</v>
      </c>
      <c r="B54" t="s">
        <v>2002</v>
      </c>
    </row>
    <row r="55" spans="1:2" x14ac:dyDescent="0.45">
      <c r="A55" t="str">
        <f>RIGHT(LEFT(B55,27),6)</f>
        <v>49.000</v>
      </c>
      <c r="B55" t="s">
        <v>2003</v>
      </c>
    </row>
    <row r="56" spans="1:2" x14ac:dyDescent="0.45">
      <c r="A56" t="str">
        <f>RIGHT(LEFT(B56,27),6)</f>
        <v>49.500</v>
      </c>
      <c r="B56" t="s">
        <v>2004</v>
      </c>
    </row>
    <row r="57" spans="1:2" x14ac:dyDescent="0.45">
      <c r="A57" t="str">
        <f>RIGHT(LEFT(B57,27),6)</f>
        <v>50.000</v>
      </c>
      <c r="B57" t="s">
        <v>2005</v>
      </c>
    </row>
    <row r="58" spans="1:2" x14ac:dyDescent="0.45">
      <c r="A58" t="str">
        <f>RIGHT(LEFT(B58,27),6)</f>
        <v>50.250</v>
      </c>
      <c r="B58" t="s">
        <v>2006</v>
      </c>
    </row>
    <row r="59" spans="1:2" x14ac:dyDescent="0.45">
      <c r="A59" t="str">
        <f>RIGHT(LEFT(B59,27),6)</f>
        <v>51.250</v>
      </c>
      <c r="B59" t="s">
        <v>2007</v>
      </c>
    </row>
    <row r="60" spans="1:2" x14ac:dyDescent="0.45">
      <c r="A60" t="str">
        <f>RIGHT(LEFT(B60,27),6)</f>
        <v>51.750</v>
      </c>
      <c r="B60" t="s">
        <v>2008</v>
      </c>
    </row>
    <row r="61" spans="1:2" x14ac:dyDescent="0.45">
      <c r="A61" t="str">
        <f>RIGHT(LEFT(B61,27),6)</f>
        <v>52.750</v>
      </c>
      <c r="B61" t="s">
        <v>2009</v>
      </c>
    </row>
    <row r="62" spans="1:2" x14ac:dyDescent="0.45">
      <c r="A62" t="str">
        <f>RIGHT(LEFT(B62,27),6)</f>
        <v>53.000</v>
      </c>
      <c r="B62" t="s">
        <v>2010</v>
      </c>
    </row>
    <row r="63" spans="1:2" x14ac:dyDescent="0.45">
      <c r="A63" t="str">
        <f>RIGHT(LEFT(B63,27),6)</f>
        <v>53.500</v>
      </c>
      <c r="B63" t="s">
        <v>2011</v>
      </c>
    </row>
    <row r="64" spans="1:2" x14ac:dyDescent="0.45">
      <c r="A64" t="str">
        <f>RIGHT(LEFT(B64,27),6)</f>
        <v>58.000</v>
      </c>
      <c r="B64" t="s">
        <v>2012</v>
      </c>
    </row>
    <row r="65" spans="1:2" x14ac:dyDescent="0.45">
      <c r="A65" t="str">
        <f>RIGHT(LEFT(B65,27),6)</f>
        <v>58.250</v>
      </c>
      <c r="B65" t="s">
        <v>2013</v>
      </c>
    </row>
    <row r="66" spans="1:2" x14ac:dyDescent="0.45">
      <c r="A66" t="str">
        <f>RIGHT(LEFT(B66,27),6)</f>
        <v>61.000</v>
      </c>
      <c r="B66" t="s">
        <v>2014</v>
      </c>
    </row>
    <row r="67" spans="1:2" x14ac:dyDescent="0.45">
      <c r="A67" t="str">
        <f>RIGHT(LEFT(B67,27),6)</f>
        <v>61.500</v>
      </c>
      <c r="B67" t="s">
        <v>2015</v>
      </c>
    </row>
    <row r="68" spans="1:2" x14ac:dyDescent="0.45">
      <c r="A68" t="str">
        <f>RIGHT(LEFT(B68,27),6)</f>
        <v>62.000</v>
      </c>
      <c r="B68" t="s">
        <v>2016</v>
      </c>
    </row>
    <row r="69" spans="1:2" x14ac:dyDescent="0.45">
      <c r="A69" t="str">
        <f>RIGHT(LEFT(B69,27),6)</f>
        <v>62.250</v>
      </c>
      <c r="B69" t="s">
        <v>2017</v>
      </c>
    </row>
    <row r="70" spans="1:2" x14ac:dyDescent="0.45">
      <c r="A70" t="str">
        <f>RIGHT(LEFT(B70,27),6)</f>
        <v>66.000</v>
      </c>
      <c r="B70" t="s">
        <v>2018</v>
      </c>
    </row>
    <row r="71" spans="1:2" x14ac:dyDescent="0.45">
      <c r="A71" t="str">
        <f>RIGHT(LEFT(B71,27),6)</f>
        <v>66.250</v>
      </c>
      <c r="B71" t="s">
        <v>2019</v>
      </c>
    </row>
    <row r="72" spans="1:2" x14ac:dyDescent="0.45">
      <c r="A72" t="str">
        <f>RIGHT(LEFT(B72,27),6)</f>
        <v>70.000</v>
      </c>
      <c r="B72" t="s">
        <v>2020</v>
      </c>
    </row>
    <row r="73" spans="1:2" x14ac:dyDescent="0.45">
      <c r="A73" t="str">
        <f>RIGHT(LEFT(B73,27),6)</f>
        <v>70.250</v>
      </c>
      <c r="B73" t="s">
        <v>2021</v>
      </c>
    </row>
    <row r="74" spans="1:2" x14ac:dyDescent="0.45">
      <c r="A74" t="str">
        <f>RIGHT(LEFT(B74,27),6)</f>
        <v>74.000</v>
      </c>
      <c r="B74" t="s">
        <v>2022</v>
      </c>
    </row>
    <row r="75" spans="1:2" x14ac:dyDescent="0.45">
      <c r="A75" t="str">
        <f>RIGHT(LEFT(B75,27),6)</f>
        <v>74.250</v>
      </c>
      <c r="B75" t="s">
        <v>2023</v>
      </c>
    </row>
    <row r="76" spans="1:2" x14ac:dyDescent="0.45">
      <c r="A76" t="str">
        <f>RIGHT(LEFT(B76,27),6)</f>
        <v>75.250</v>
      </c>
      <c r="B76" t="s">
        <v>2024</v>
      </c>
    </row>
    <row r="77" spans="1:2" x14ac:dyDescent="0.45">
      <c r="A77" t="str">
        <f>RIGHT(LEFT(B77,27),6)</f>
        <v>75.750</v>
      </c>
      <c r="B77" t="s">
        <v>2025</v>
      </c>
    </row>
    <row r="78" spans="1:2" x14ac:dyDescent="0.45">
      <c r="A78" t="str">
        <f>RIGHT(LEFT(B78,27),6)</f>
        <v>76.750</v>
      </c>
      <c r="B78" t="s">
        <v>2026</v>
      </c>
    </row>
    <row r="79" spans="1:2" x14ac:dyDescent="0.45">
      <c r="A79" t="str">
        <f>RIGHT(LEFT(B79,27),6)</f>
        <v>77.000</v>
      </c>
      <c r="B79" t="s">
        <v>2027</v>
      </c>
    </row>
    <row r="80" spans="1:2" x14ac:dyDescent="0.45">
      <c r="A80" t="str">
        <f>RIGHT(LEFT(B80,27),6)</f>
        <v>77.500</v>
      </c>
      <c r="B80" t="s">
        <v>2028</v>
      </c>
    </row>
    <row r="81" spans="1:2" x14ac:dyDescent="0.45">
      <c r="A81" t="str">
        <f>RIGHT(LEFT(B81,27),6)</f>
        <v>78.000</v>
      </c>
      <c r="B81" t="s">
        <v>2029</v>
      </c>
    </row>
    <row r="82" spans="1:2" x14ac:dyDescent="0.45">
      <c r="A82" t="str">
        <f>RIGHT(LEFT(B82,27),6)</f>
        <v>78.250</v>
      </c>
      <c r="B82" t="s">
        <v>2030</v>
      </c>
    </row>
    <row r="83" spans="1:2" x14ac:dyDescent="0.45">
      <c r="A83" t="str">
        <f>RIGHT(LEFT(B83,27),6)</f>
        <v>79.250</v>
      </c>
      <c r="B83" t="s">
        <v>2031</v>
      </c>
    </row>
    <row r="84" spans="1:2" x14ac:dyDescent="0.45">
      <c r="A84" t="str">
        <f>RIGHT(LEFT(B84,27),6)</f>
        <v>79.750</v>
      </c>
      <c r="B84" t="s">
        <v>2032</v>
      </c>
    </row>
    <row r="85" spans="1:2" x14ac:dyDescent="0.45">
      <c r="A85" t="str">
        <f>RIGHT(LEFT(B85,27),6)</f>
        <v>80.750</v>
      </c>
      <c r="B85" t="s">
        <v>2033</v>
      </c>
    </row>
    <row r="86" spans="1:2" x14ac:dyDescent="0.45">
      <c r="A86" t="str">
        <f>RIGHT(LEFT(B86,27),6)</f>
        <v>81.000</v>
      </c>
      <c r="B86" t="s">
        <v>2034</v>
      </c>
    </row>
    <row r="87" spans="1:2" x14ac:dyDescent="0.45">
      <c r="A87" t="str">
        <f>RIGHT(LEFT(B87,27),6)</f>
        <v>81.500</v>
      </c>
      <c r="B87" t="s">
        <v>2035</v>
      </c>
    </row>
    <row r="88" spans="1:2" x14ac:dyDescent="0.45">
      <c r="A88" t="str">
        <f>RIGHT(LEFT(B88,27),6)</f>
        <v>82.500</v>
      </c>
      <c r="B88" t="s">
        <v>2036</v>
      </c>
    </row>
    <row r="89" spans="1:2" x14ac:dyDescent="0.45">
      <c r="A89" t="str">
        <f>RIGHT(LEFT(B89,27),6)</f>
        <v>83.500</v>
      </c>
      <c r="B89" t="s">
        <v>2037</v>
      </c>
    </row>
    <row r="90" spans="1:2" x14ac:dyDescent="0.45">
      <c r="A90" t="str">
        <f>RIGHT(LEFT(B90,27),6)</f>
        <v>84.500</v>
      </c>
      <c r="B90" t="s">
        <v>2038</v>
      </c>
    </row>
    <row r="91" spans="1:2" x14ac:dyDescent="0.45">
      <c r="A91" t="str">
        <f>RIGHT(LEFT(B91,27),6)</f>
        <v>85.000</v>
      </c>
      <c r="B91" t="s">
        <v>2039</v>
      </c>
    </row>
    <row r="92" spans="1:2" x14ac:dyDescent="0.45">
      <c r="A92" t="str">
        <f>RIGHT(LEFT(B92,27),6)</f>
        <v>85.500</v>
      </c>
      <c r="B92" t="s">
        <v>2040</v>
      </c>
    </row>
    <row r="93" spans="1:2" x14ac:dyDescent="0.45">
      <c r="A93" t="str">
        <f>RIGHT(LEFT(B93,27),6)</f>
        <v>86.500</v>
      </c>
      <c r="B93" t="s">
        <v>2041</v>
      </c>
    </row>
    <row r="94" spans="1:2" x14ac:dyDescent="0.45">
      <c r="A94" t="str">
        <f>RIGHT(LEFT(B94,27),6)</f>
        <v>87.500</v>
      </c>
      <c r="B94" t="s">
        <v>2042</v>
      </c>
    </row>
    <row r="95" spans="1:2" x14ac:dyDescent="0.45">
      <c r="A95" t="str">
        <f>RIGHT(LEFT(B95,27),6)</f>
        <v>88.500</v>
      </c>
      <c r="B95" t="s">
        <v>2043</v>
      </c>
    </row>
    <row r="96" spans="1:2" x14ac:dyDescent="0.45">
      <c r="A96" t="str">
        <f>RIGHT(LEFT(B96,27),6)</f>
        <v>89.000</v>
      </c>
      <c r="B96" t="s">
        <v>2044</v>
      </c>
    </row>
    <row r="97" spans="1:2" x14ac:dyDescent="0.45">
      <c r="A97" t="str">
        <f>RIGHT(LEFT(B97,27),6)</f>
        <v>89.500</v>
      </c>
      <c r="B97" t="s">
        <v>2045</v>
      </c>
    </row>
    <row r="98" spans="1:2" x14ac:dyDescent="0.45">
      <c r="A98" t="str">
        <f>RIGHT(LEFT(B98,27),6)</f>
        <v>90.000</v>
      </c>
      <c r="B98" t="s">
        <v>2046</v>
      </c>
    </row>
    <row r="99" spans="1:2" x14ac:dyDescent="0.45">
      <c r="A99" t="str">
        <f>RIGHT(LEFT(B99,27),6)</f>
        <v>94.000</v>
      </c>
      <c r="B99" t="s">
        <v>2047</v>
      </c>
    </row>
    <row r="100" spans="1:2" x14ac:dyDescent="0.45">
      <c r="A100" t="str">
        <f>RIGHT(LEFT(B100,27),6)</f>
        <v>94.250</v>
      </c>
      <c r="B100" t="s">
        <v>2048</v>
      </c>
    </row>
    <row r="101" spans="1:2" x14ac:dyDescent="0.45">
      <c r="A101" t="str">
        <f>RIGHT(LEFT(B101,28),7)</f>
        <v>102.000</v>
      </c>
      <c r="B101" t="s">
        <v>2049</v>
      </c>
    </row>
    <row r="102" spans="1:2" x14ac:dyDescent="0.45">
      <c r="A102" t="str">
        <f>RIGHT(LEFT(B102,28),7)</f>
        <v>102.250</v>
      </c>
      <c r="B102" t="s">
        <v>2050</v>
      </c>
    </row>
    <row r="103" spans="1:2" x14ac:dyDescent="0.45">
      <c r="A103" t="str">
        <f>RIGHT(LEFT(B103,28),7)</f>
        <v>106.000</v>
      </c>
      <c r="B103" t="s">
        <v>2051</v>
      </c>
    </row>
    <row r="104" spans="1:2" x14ac:dyDescent="0.45">
      <c r="A104" t="str">
        <f>RIGHT(LEFT(B104,28),7)</f>
        <v>106.250</v>
      </c>
      <c r="B104" t="s">
        <v>2052</v>
      </c>
    </row>
    <row r="105" spans="1:2" x14ac:dyDescent="0.45">
      <c r="A105" t="str">
        <f>RIGHT(LEFT(B105,28),7)</f>
        <v>110.000</v>
      </c>
      <c r="B105" t="s">
        <v>2053</v>
      </c>
    </row>
    <row r="106" spans="1:2" x14ac:dyDescent="0.45">
      <c r="A106" t="str">
        <f>RIGHT(LEFT(B106,28),7)</f>
        <v>110.250</v>
      </c>
      <c r="B106" t="s">
        <v>2054</v>
      </c>
    </row>
    <row r="107" spans="1:2" x14ac:dyDescent="0.45">
      <c r="A107" t="str">
        <f>RIGHT(LEFT(B107,28),7)</f>
        <v>114.000</v>
      </c>
      <c r="B107" t="s">
        <v>2055</v>
      </c>
    </row>
    <row r="108" spans="1:2" x14ac:dyDescent="0.45">
      <c r="A108" t="str">
        <f>RIGHT(LEFT(B108,28),7)</f>
        <v>114.250</v>
      </c>
      <c r="B108" t="s">
        <v>2056</v>
      </c>
    </row>
    <row r="109" spans="1:2" x14ac:dyDescent="0.45">
      <c r="A109" t="str">
        <f>RIGHT(LEFT(B109,28),7)</f>
        <v>115.250</v>
      </c>
      <c r="B109" t="s">
        <v>2057</v>
      </c>
    </row>
    <row r="110" spans="1:2" x14ac:dyDescent="0.45">
      <c r="A110" t="str">
        <f>RIGHT(LEFT(B110,28),7)</f>
        <v>115.750</v>
      </c>
      <c r="B110" t="s">
        <v>2058</v>
      </c>
    </row>
    <row r="111" spans="1:2" x14ac:dyDescent="0.45">
      <c r="A111" t="str">
        <f>RIGHT(LEFT(B111,28),7)</f>
        <v>116.750</v>
      </c>
      <c r="B111" t="s">
        <v>2059</v>
      </c>
    </row>
    <row r="112" spans="1:2" x14ac:dyDescent="0.45">
      <c r="A112" t="str">
        <f>RIGHT(LEFT(B112,28),7)</f>
        <v>117.000</v>
      </c>
      <c r="B112" t="s">
        <v>2060</v>
      </c>
    </row>
    <row r="113" spans="1:2" x14ac:dyDescent="0.45">
      <c r="A113" t="str">
        <f>RIGHT(LEFT(B113,28),7)</f>
        <v>117.500</v>
      </c>
      <c r="B113" t="s">
        <v>2061</v>
      </c>
    </row>
    <row r="114" spans="1:2" x14ac:dyDescent="0.45">
      <c r="A114" t="str">
        <f>RIGHT(LEFT(B114,28),7)</f>
        <v>118.000</v>
      </c>
      <c r="B114" t="s">
        <v>2062</v>
      </c>
    </row>
    <row r="115" spans="1:2" x14ac:dyDescent="0.45">
      <c r="A115" t="str">
        <f>RIGHT(LEFT(B115,28),7)</f>
        <v>118.250</v>
      </c>
      <c r="B115" t="s">
        <v>2063</v>
      </c>
    </row>
    <row r="116" spans="1:2" x14ac:dyDescent="0.45">
      <c r="A116" t="str">
        <f>RIGHT(LEFT(B116,28),7)</f>
        <v>119.250</v>
      </c>
      <c r="B116" t="s">
        <v>2064</v>
      </c>
    </row>
    <row r="117" spans="1:2" x14ac:dyDescent="0.45">
      <c r="A117" t="str">
        <f>RIGHT(LEFT(B117,28),7)</f>
        <v>119.750</v>
      </c>
      <c r="B117" t="s">
        <v>2065</v>
      </c>
    </row>
    <row r="118" spans="1:2" x14ac:dyDescent="0.45">
      <c r="A118" t="str">
        <f>RIGHT(LEFT(B118,28),7)</f>
        <v>120.750</v>
      </c>
      <c r="B118" t="s">
        <v>2066</v>
      </c>
    </row>
    <row r="119" spans="1:2" x14ac:dyDescent="0.45">
      <c r="A119" t="str">
        <f>RIGHT(LEFT(B119,28),7)</f>
        <v>121.000</v>
      </c>
      <c r="B119" t="s">
        <v>2067</v>
      </c>
    </row>
    <row r="120" spans="1:2" x14ac:dyDescent="0.45">
      <c r="A120" t="str">
        <f>RIGHT(LEFT(B120,28),7)</f>
        <v>121.500</v>
      </c>
      <c r="B120" t="s">
        <v>2068</v>
      </c>
    </row>
    <row r="121" spans="1:2" x14ac:dyDescent="0.45">
      <c r="A121" t="str">
        <f>RIGHT(LEFT(B121,28),7)</f>
        <v>122.500</v>
      </c>
      <c r="B121" t="s">
        <v>2069</v>
      </c>
    </row>
    <row r="122" spans="1:2" x14ac:dyDescent="0.45">
      <c r="A122" t="str">
        <f>RIGHT(LEFT(B122,28),7)</f>
        <v>123.500</v>
      </c>
      <c r="B122" t="s">
        <v>2070</v>
      </c>
    </row>
    <row r="123" spans="1:2" x14ac:dyDescent="0.45">
      <c r="A123" t="str">
        <f>RIGHT(LEFT(B123,28),7)</f>
        <v>124.500</v>
      </c>
      <c r="B123" t="s">
        <v>2071</v>
      </c>
    </row>
    <row r="124" spans="1:2" x14ac:dyDescent="0.45">
      <c r="A124" t="str">
        <f>RIGHT(LEFT(B124,28),7)</f>
        <v>125.000</v>
      </c>
      <c r="B124" t="s">
        <v>2072</v>
      </c>
    </row>
    <row r="125" spans="1:2" x14ac:dyDescent="0.45">
      <c r="A125" t="str">
        <f>RIGHT(LEFT(B125,28),7)</f>
        <v>125.500</v>
      </c>
      <c r="B125" t="s">
        <v>2073</v>
      </c>
    </row>
    <row r="126" spans="1:2" x14ac:dyDescent="0.45">
      <c r="A126" t="str">
        <f>RIGHT(LEFT(B126,28),7)</f>
        <v>126.500</v>
      </c>
      <c r="B126" t="s">
        <v>2074</v>
      </c>
    </row>
    <row r="127" spans="1:2" x14ac:dyDescent="0.45">
      <c r="A127" t="str">
        <f>RIGHT(LEFT(B127,28),7)</f>
        <v>127.500</v>
      </c>
      <c r="B127" t="s">
        <v>2075</v>
      </c>
    </row>
    <row r="128" spans="1:2" x14ac:dyDescent="0.45">
      <c r="A128" t="str">
        <f>RIGHT(LEFT(B128,28),7)</f>
        <v>128.500</v>
      </c>
      <c r="B128" t="s">
        <v>2076</v>
      </c>
    </row>
    <row r="129" spans="1:2" x14ac:dyDescent="0.45">
      <c r="A129" t="str">
        <f>RIGHT(LEFT(B129,28),7)</f>
        <v>129.000</v>
      </c>
      <c r="B129" t="s">
        <v>2077</v>
      </c>
    </row>
    <row r="130" spans="1:2" x14ac:dyDescent="0.45">
      <c r="A130" t="str">
        <f>RIGHT(LEFT(B130,28),7)</f>
        <v>129.500</v>
      </c>
      <c r="B130" t="s">
        <v>2078</v>
      </c>
    </row>
    <row r="131" spans="1:2" x14ac:dyDescent="0.45">
      <c r="A131" t="str">
        <f>RIGHT(LEFT(B131,28),7)</f>
        <v>130.500</v>
      </c>
      <c r="B131" t="s">
        <v>2079</v>
      </c>
    </row>
    <row r="132" spans="1:2" x14ac:dyDescent="0.45">
      <c r="A132" t="str">
        <f>RIGHT(LEFT(B132,28),7)</f>
        <v>131.500</v>
      </c>
      <c r="B132" t="s">
        <v>2080</v>
      </c>
    </row>
    <row r="133" spans="1:2" x14ac:dyDescent="0.45">
      <c r="A133" t="str">
        <f>RIGHT(LEFT(B133,28),7)</f>
        <v>132.500</v>
      </c>
      <c r="B133" t="s">
        <v>2081</v>
      </c>
    </row>
    <row r="134" spans="1:2" x14ac:dyDescent="0.45">
      <c r="A134" t="str">
        <f>RIGHT(LEFT(B134,28),7)</f>
        <v>133.000</v>
      </c>
      <c r="B134" t="s">
        <v>2082</v>
      </c>
    </row>
    <row r="135" spans="1:2" x14ac:dyDescent="0.45">
      <c r="A135" t="str">
        <f>RIGHT(LEFT(B135,28),7)</f>
        <v>133.500</v>
      </c>
      <c r="B135" t="s">
        <v>2083</v>
      </c>
    </row>
    <row r="136" spans="1:2" x14ac:dyDescent="0.45">
      <c r="A136" t="str">
        <f>RIGHT(LEFT(B136,28),7)</f>
        <v>134.500</v>
      </c>
      <c r="B136" t="s">
        <v>2084</v>
      </c>
    </row>
    <row r="137" spans="1:2" x14ac:dyDescent="0.45">
      <c r="A137" t="str">
        <f>RIGHT(LEFT(B137,28),7)</f>
        <v>135.500</v>
      </c>
      <c r="B137" t="s">
        <v>2085</v>
      </c>
    </row>
    <row r="138" spans="1:2" x14ac:dyDescent="0.45">
      <c r="A138" t="str">
        <f>RIGHT(LEFT(B138,28),7)</f>
        <v>136.500</v>
      </c>
      <c r="B138" t="s">
        <v>2086</v>
      </c>
    </row>
    <row r="139" spans="1:2" x14ac:dyDescent="0.45">
      <c r="A139" t="str">
        <f>RIGHT(LEFT(B139,28),7)</f>
        <v>137.000</v>
      </c>
      <c r="B139" t="s">
        <v>2087</v>
      </c>
    </row>
    <row r="140" spans="1:2" x14ac:dyDescent="0.45">
      <c r="A140" t="str">
        <f>RIGHT(LEFT(B140,28),7)</f>
        <v>137.500</v>
      </c>
      <c r="B140" t="s">
        <v>2088</v>
      </c>
    </row>
    <row r="141" spans="1:2" x14ac:dyDescent="0.45">
      <c r="A141" t="str">
        <f>RIGHT(LEFT(B141,28),7)</f>
        <v>138.000</v>
      </c>
      <c r="B141" t="s">
        <v>2089</v>
      </c>
    </row>
    <row r="142" spans="1:2" x14ac:dyDescent="0.45">
      <c r="A142" t="str">
        <f>RIGHT(LEFT(B142,28),7)</f>
        <v>138.250</v>
      </c>
      <c r="B142" t="s">
        <v>2090</v>
      </c>
    </row>
    <row r="143" spans="1:2" x14ac:dyDescent="0.45">
      <c r="A143" t="str">
        <f>RIGHT(LEFT(B143,28),7)</f>
        <v>139.250</v>
      </c>
      <c r="B143" t="s">
        <v>2091</v>
      </c>
    </row>
    <row r="144" spans="1:2" x14ac:dyDescent="0.45">
      <c r="A144" t="str">
        <f>RIGHT(LEFT(B144,27),7)</f>
        <v>139.500</v>
      </c>
      <c r="B144" t="s">
        <v>1911</v>
      </c>
    </row>
    <row r="145" spans="1:2" x14ac:dyDescent="0.45">
      <c r="A145" t="str">
        <f>RIGHT(LEFT(B145,27),7)</f>
        <v>139.500</v>
      </c>
      <c r="B145" t="s">
        <v>1912</v>
      </c>
    </row>
    <row r="146" spans="1:2" x14ac:dyDescent="0.45">
      <c r="A146" t="str">
        <f>RIGHT(LEFT(B146,28),7)</f>
        <v>139.750</v>
      </c>
      <c r="B146" t="s">
        <v>2092</v>
      </c>
    </row>
    <row r="147" spans="1:2" x14ac:dyDescent="0.45">
      <c r="A147" t="str">
        <f>RIGHT(LEFT(B147,28),7)</f>
        <v>140.750</v>
      </c>
      <c r="B147" t="s">
        <v>2093</v>
      </c>
    </row>
    <row r="148" spans="1:2" x14ac:dyDescent="0.45">
      <c r="A148" t="str">
        <f>RIGHT(LEFT(B148,28),7)</f>
        <v>141.000</v>
      </c>
      <c r="B148" t="s">
        <v>2094</v>
      </c>
    </row>
    <row r="149" spans="1:2" x14ac:dyDescent="0.45">
      <c r="A149" t="str">
        <f>RIGHT(LEFT(B149,28),7)</f>
        <v>141.500</v>
      </c>
      <c r="B149" t="s">
        <v>2095</v>
      </c>
    </row>
    <row r="150" spans="1:2" x14ac:dyDescent="0.45">
      <c r="A150" t="str">
        <f>RIGHT(LEFT(B150,28),7)</f>
        <v>142.000</v>
      </c>
      <c r="B150" t="s">
        <v>2096</v>
      </c>
    </row>
    <row r="151" spans="1:2" x14ac:dyDescent="0.45">
      <c r="A151" t="str">
        <f>RIGHT(LEFT(B151,28),7)</f>
        <v>142.250</v>
      </c>
      <c r="B151" t="s">
        <v>2097</v>
      </c>
    </row>
    <row r="152" spans="1:2" x14ac:dyDescent="0.45">
      <c r="A152" t="str">
        <f>RIGHT(LEFT(B152,28),7)</f>
        <v>143.250</v>
      </c>
      <c r="B152" t="s">
        <v>2098</v>
      </c>
    </row>
    <row r="153" spans="1:2" x14ac:dyDescent="0.45">
      <c r="A153" t="str">
        <f>RIGHT(LEFT(B153,27),7)</f>
        <v>143.500</v>
      </c>
      <c r="B153" t="s">
        <v>1913</v>
      </c>
    </row>
    <row r="154" spans="1:2" x14ac:dyDescent="0.45">
      <c r="A154" t="str">
        <f>RIGHT(LEFT(B154,27),7)</f>
        <v>143.500</v>
      </c>
      <c r="B154" t="s">
        <v>1914</v>
      </c>
    </row>
    <row r="155" spans="1:2" x14ac:dyDescent="0.45">
      <c r="A155" t="str">
        <f>RIGHT(LEFT(B155,27),7)</f>
        <v>143.500</v>
      </c>
      <c r="B155" t="s">
        <v>1915</v>
      </c>
    </row>
    <row r="156" spans="1:2" x14ac:dyDescent="0.45">
      <c r="A156" t="str">
        <f>RIGHT(LEFT(B156,28),7)</f>
        <v>143.750</v>
      </c>
      <c r="B156" t="s">
        <v>2099</v>
      </c>
    </row>
    <row r="157" spans="1:2" x14ac:dyDescent="0.45">
      <c r="A157" t="str">
        <f>RIGHT(LEFT(B157,28),7)</f>
        <v>144.750</v>
      </c>
      <c r="B157" t="s">
        <v>2100</v>
      </c>
    </row>
    <row r="158" spans="1:2" x14ac:dyDescent="0.45">
      <c r="A158" t="str">
        <f>RIGHT(LEFT(B158,28),7)</f>
        <v>145.000</v>
      </c>
      <c r="B158" t="s">
        <v>2101</v>
      </c>
    </row>
    <row r="159" spans="1:2" x14ac:dyDescent="0.45">
      <c r="A159" t="str">
        <f>RIGHT(LEFT(B159,28),7)</f>
        <v>145.500</v>
      </c>
      <c r="B159" t="s">
        <v>2102</v>
      </c>
    </row>
    <row r="160" spans="1:2" x14ac:dyDescent="0.45">
      <c r="A160" t="str">
        <f>RIGHT(LEFT(B160,28),7)</f>
        <v>146.000</v>
      </c>
      <c r="B160" t="s">
        <v>2103</v>
      </c>
    </row>
    <row r="161" spans="1:2" x14ac:dyDescent="0.45">
      <c r="A161" t="str">
        <f>RIGHT(LEFT(B161,28),7)</f>
        <v>146.250</v>
      </c>
      <c r="B161" t="s">
        <v>2104</v>
      </c>
    </row>
    <row r="162" spans="1:2" x14ac:dyDescent="0.45">
      <c r="A162" t="str">
        <f>RIGHT(LEFT(B162,28),7)</f>
        <v>147.250</v>
      </c>
      <c r="B162" t="s">
        <v>2105</v>
      </c>
    </row>
    <row r="163" spans="1:2" x14ac:dyDescent="0.45">
      <c r="A163" t="str">
        <f>RIGHT(LEFT(B163,27),7)</f>
        <v>147.500</v>
      </c>
      <c r="B163" t="s">
        <v>1916</v>
      </c>
    </row>
    <row r="164" spans="1:2" x14ac:dyDescent="0.45">
      <c r="A164" t="str">
        <f>RIGHT(LEFT(B164,27),7)</f>
        <v>147.500</v>
      </c>
      <c r="B164" t="s">
        <v>1917</v>
      </c>
    </row>
    <row r="165" spans="1:2" x14ac:dyDescent="0.45">
      <c r="A165" t="str">
        <f>RIGHT(LEFT(B165,27),7)</f>
        <v>147.500</v>
      </c>
      <c r="B165" t="s">
        <v>1918</v>
      </c>
    </row>
    <row r="166" spans="1:2" x14ac:dyDescent="0.45">
      <c r="A166" t="str">
        <f>RIGHT(LEFT(B166,28),7)</f>
        <v>147.750</v>
      </c>
      <c r="B166" t="s">
        <v>2106</v>
      </c>
    </row>
    <row r="167" spans="1:2" x14ac:dyDescent="0.45">
      <c r="A167" t="str">
        <f>RIGHT(LEFT(B167,28),7)</f>
        <v>148.750</v>
      </c>
      <c r="B167" t="s">
        <v>2107</v>
      </c>
    </row>
    <row r="168" spans="1:2" x14ac:dyDescent="0.45">
      <c r="A168" t="str">
        <f>RIGHT(LEFT(B168,28),7)</f>
        <v>149.000</v>
      </c>
      <c r="B168" t="s">
        <v>2108</v>
      </c>
    </row>
    <row r="169" spans="1:2" x14ac:dyDescent="0.45">
      <c r="A169" t="str">
        <f>RIGHT(LEFT(B169,28),7)</f>
        <v>149.500</v>
      </c>
      <c r="B169" t="s">
        <v>2109</v>
      </c>
    </row>
    <row r="170" spans="1:2" x14ac:dyDescent="0.45">
      <c r="A170" t="str">
        <f>RIGHT(LEFT(B170,28),7)</f>
        <v>150.000</v>
      </c>
      <c r="B170" t="s">
        <v>2110</v>
      </c>
    </row>
    <row r="171" spans="1:2" x14ac:dyDescent="0.45">
      <c r="A171" t="str">
        <f>RIGHT(LEFT(B171,28),7)</f>
        <v>150.250</v>
      </c>
      <c r="B171" t="s">
        <v>2111</v>
      </c>
    </row>
    <row r="172" spans="1:2" x14ac:dyDescent="0.45">
      <c r="A172" t="str">
        <f>RIGHT(LEFT(B172,28),7)</f>
        <v>151.250</v>
      </c>
      <c r="B172" t="s">
        <v>2112</v>
      </c>
    </row>
    <row r="173" spans="1:2" x14ac:dyDescent="0.45">
      <c r="A173" t="str">
        <f>RIGHT(LEFT(B173,27),7)</f>
        <v>151.500</v>
      </c>
      <c r="B173" t="s">
        <v>1919</v>
      </c>
    </row>
    <row r="174" spans="1:2" x14ac:dyDescent="0.45">
      <c r="A174" t="str">
        <f>RIGHT(LEFT(B174,27),7)</f>
        <v>151.500</v>
      </c>
      <c r="B174" t="s">
        <v>1920</v>
      </c>
    </row>
    <row r="175" spans="1:2" x14ac:dyDescent="0.45">
      <c r="A175" t="str">
        <f>RIGHT(LEFT(B175,27),7)</f>
        <v>151.500</v>
      </c>
      <c r="B175" t="s">
        <v>1921</v>
      </c>
    </row>
    <row r="176" spans="1:2" x14ac:dyDescent="0.45">
      <c r="A176" t="str">
        <f>RIGHT(LEFT(B176,28),7)</f>
        <v>151.750</v>
      </c>
      <c r="B176" t="s">
        <v>2113</v>
      </c>
    </row>
    <row r="177" spans="1:2" x14ac:dyDescent="0.45">
      <c r="A177" t="str">
        <f>RIGHT(LEFT(B177,28),7)</f>
        <v>152.750</v>
      </c>
      <c r="B177" t="s">
        <v>2114</v>
      </c>
    </row>
    <row r="178" spans="1:2" x14ac:dyDescent="0.45">
      <c r="A178" t="str">
        <f>RIGHT(LEFT(B178,28),7)</f>
        <v>153.000</v>
      </c>
      <c r="B178" t="s">
        <v>2115</v>
      </c>
    </row>
    <row r="179" spans="1:2" x14ac:dyDescent="0.45">
      <c r="A179" t="str">
        <f>RIGHT(LEFT(B179,28),7)</f>
        <v>153.500</v>
      </c>
      <c r="B179" t="s">
        <v>2116</v>
      </c>
    </row>
    <row r="180" spans="1:2" x14ac:dyDescent="0.45">
      <c r="A180" t="str">
        <f>RIGHT(LEFT(B180,28),7)</f>
        <v>154.000</v>
      </c>
      <c r="B180" t="s">
        <v>2117</v>
      </c>
    </row>
    <row r="181" spans="1:2" x14ac:dyDescent="0.45">
      <c r="A181" t="str">
        <f>RIGHT(LEFT(B181,28),7)</f>
        <v>154.250</v>
      </c>
      <c r="B181" t="s">
        <v>2118</v>
      </c>
    </row>
    <row r="182" spans="1:2" x14ac:dyDescent="0.45">
      <c r="A182" t="str">
        <f>RIGHT(LEFT(B182,28),7)</f>
        <v>155.250</v>
      </c>
      <c r="B182" t="s">
        <v>2119</v>
      </c>
    </row>
    <row r="183" spans="1:2" x14ac:dyDescent="0.45">
      <c r="A183" t="str">
        <f>RIGHT(LEFT(B183,27),7)</f>
        <v>155.500</v>
      </c>
      <c r="B183" t="s">
        <v>1922</v>
      </c>
    </row>
    <row r="184" spans="1:2" x14ac:dyDescent="0.45">
      <c r="A184" t="str">
        <f>RIGHT(LEFT(B184,27),7)</f>
        <v>155.500</v>
      </c>
      <c r="B184" t="s">
        <v>1923</v>
      </c>
    </row>
    <row r="185" spans="1:2" x14ac:dyDescent="0.45">
      <c r="A185" t="str">
        <f>RIGHT(LEFT(B185,27),7)</f>
        <v>155.500</v>
      </c>
      <c r="B185" t="s">
        <v>1924</v>
      </c>
    </row>
    <row r="186" spans="1:2" x14ac:dyDescent="0.45">
      <c r="A186" t="str">
        <f>RIGHT(LEFT(B186,28),7)</f>
        <v>155.750</v>
      </c>
      <c r="B186" t="s">
        <v>2120</v>
      </c>
    </row>
    <row r="187" spans="1:2" x14ac:dyDescent="0.45">
      <c r="A187" t="str">
        <f>RIGHT(LEFT(B187,28),7)</f>
        <v>156.750</v>
      </c>
      <c r="B187" t="s">
        <v>2121</v>
      </c>
    </row>
    <row r="188" spans="1:2" x14ac:dyDescent="0.45">
      <c r="A188" t="str">
        <f>RIGHT(LEFT(B188,28),7)</f>
        <v>157.000</v>
      </c>
      <c r="B188" t="s">
        <v>2122</v>
      </c>
    </row>
    <row r="189" spans="1:2" x14ac:dyDescent="0.45">
      <c r="A189" t="str">
        <f>RIGHT(LEFT(B189,28),7)</f>
        <v>157.500</v>
      </c>
      <c r="B189" t="s">
        <v>2123</v>
      </c>
    </row>
    <row r="190" spans="1:2" x14ac:dyDescent="0.45">
      <c r="A190" t="str">
        <f>RIGHT(LEFT(B190,28),7)</f>
        <v>158.000</v>
      </c>
      <c r="B190" t="s">
        <v>2124</v>
      </c>
    </row>
    <row r="191" spans="1:2" x14ac:dyDescent="0.45">
      <c r="A191" t="str">
        <f>RIGHT(LEFT(B191,28),7)</f>
        <v>158.250</v>
      </c>
      <c r="B191" t="s">
        <v>2125</v>
      </c>
    </row>
    <row r="192" spans="1:2" x14ac:dyDescent="0.45">
      <c r="A192" t="str">
        <f>RIGHT(LEFT(B192,28),7)</f>
        <v>159.250</v>
      </c>
      <c r="B192" t="s">
        <v>2126</v>
      </c>
    </row>
    <row r="193" spans="1:2" x14ac:dyDescent="0.45">
      <c r="A193" t="str">
        <f>RIGHT(LEFT(B193,27),7)</f>
        <v>159.500</v>
      </c>
      <c r="B193" t="s">
        <v>1925</v>
      </c>
    </row>
    <row r="194" spans="1:2" x14ac:dyDescent="0.45">
      <c r="A194" t="str">
        <f>RIGHT(LEFT(B194,27),7)</f>
        <v>159.500</v>
      </c>
      <c r="B194" t="s">
        <v>1926</v>
      </c>
    </row>
    <row r="195" spans="1:2" x14ac:dyDescent="0.45">
      <c r="A195" t="str">
        <f>RIGHT(LEFT(B195,27),7)</f>
        <v>159.500</v>
      </c>
      <c r="B195" t="s">
        <v>1927</v>
      </c>
    </row>
    <row r="196" spans="1:2" x14ac:dyDescent="0.45">
      <c r="A196" t="str">
        <f>RIGHT(LEFT(B196,28),7)</f>
        <v>159.750</v>
      </c>
      <c r="B196" t="s">
        <v>2127</v>
      </c>
    </row>
    <row r="197" spans="1:2" x14ac:dyDescent="0.45">
      <c r="A197" t="str">
        <f>RIGHT(LEFT(B197,28),7)</f>
        <v>160.750</v>
      </c>
      <c r="B197" t="s">
        <v>2128</v>
      </c>
    </row>
    <row r="198" spans="1:2" x14ac:dyDescent="0.45">
      <c r="A198" t="str">
        <f>RIGHT(LEFT(B198,28),7)</f>
        <v>161.000</v>
      </c>
      <c r="B198" t="s">
        <v>2129</v>
      </c>
    </row>
    <row r="199" spans="1:2" x14ac:dyDescent="0.45">
      <c r="A199" t="str">
        <f>RIGHT(LEFT(B199,28),7)</f>
        <v>161.500</v>
      </c>
      <c r="B199" t="s">
        <v>2130</v>
      </c>
    </row>
    <row r="200" spans="1:2" x14ac:dyDescent="0.45">
      <c r="A200" t="str">
        <f>RIGHT(LEFT(B200,28),7)</f>
        <v>162.000</v>
      </c>
      <c r="B200" t="s">
        <v>2131</v>
      </c>
    </row>
    <row r="201" spans="1:2" x14ac:dyDescent="0.45">
      <c r="A201" t="str">
        <f>RIGHT(LEFT(B201,28),7)</f>
        <v>162.250</v>
      </c>
      <c r="B201" t="s">
        <v>2132</v>
      </c>
    </row>
    <row r="202" spans="1:2" x14ac:dyDescent="0.45">
      <c r="A202" t="str">
        <f>RIGHT(LEFT(B202,28),7)</f>
        <v>163.250</v>
      </c>
      <c r="B202" t="s">
        <v>2133</v>
      </c>
    </row>
    <row r="203" spans="1:2" x14ac:dyDescent="0.45">
      <c r="A203" t="str">
        <f>RIGHT(LEFT(B203,27),7)</f>
        <v>163.500</v>
      </c>
      <c r="B203" t="s">
        <v>1928</v>
      </c>
    </row>
    <row r="204" spans="1:2" x14ac:dyDescent="0.45">
      <c r="A204" t="str">
        <f>RIGHT(LEFT(B204,27),7)</f>
        <v>163.500</v>
      </c>
      <c r="B204" t="s">
        <v>1929</v>
      </c>
    </row>
    <row r="205" spans="1:2" x14ac:dyDescent="0.45">
      <c r="A205" t="str">
        <f>RIGHT(LEFT(B205,27),7)</f>
        <v>163.500</v>
      </c>
      <c r="B205" t="s">
        <v>1930</v>
      </c>
    </row>
    <row r="206" spans="1:2" x14ac:dyDescent="0.45">
      <c r="A206" t="str">
        <f>RIGHT(LEFT(B206,28),7)</f>
        <v>163.750</v>
      </c>
      <c r="B206" t="s">
        <v>2134</v>
      </c>
    </row>
    <row r="207" spans="1:2" x14ac:dyDescent="0.45">
      <c r="A207" t="str">
        <f>RIGHT(LEFT(B207,28),7)</f>
        <v>164.750</v>
      </c>
      <c r="B207" t="s">
        <v>2135</v>
      </c>
    </row>
    <row r="208" spans="1:2" x14ac:dyDescent="0.45">
      <c r="A208" t="str">
        <f>RIGHT(LEFT(B208,28),7)</f>
        <v>165.000</v>
      </c>
      <c r="B208" t="s">
        <v>2136</v>
      </c>
    </row>
    <row r="209" spans="1:2" x14ac:dyDescent="0.45">
      <c r="A209" t="str">
        <f>RIGHT(LEFT(B209,28),7)</f>
        <v>165.500</v>
      </c>
      <c r="B209" t="s">
        <v>2137</v>
      </c>
    </row>
    <row r="210" spans="1:2" x14ac:dyDescent="0.45">
      <c r="A210" t="str">
        <f>RIGHT(LEFT(B210,28),7)</f>
        <v>166.000</v>
      </c>
      <c r="B210" t="s">
        <v>2138</v>
      </c>
    </row>
    <row r="211" spans="1:2" x14ac:dyDescent="0.45">
      <c r="A211" t="str">
        <f>RIGHT(LEFT(B211,28),7)</f>
        <v>166.250</v>
      </c>
      <c r="B211" t="s">
        <v>2139</v>
      </c>
    </row>
    <row r="212" spans="1:2" x14ac:dyDescent="0.45">
      <c r="A212" t="str">
        <f>RIGHT(LEFT(B212,28),7)</f>
        <v>167.250</v>
      </c>
      <c r="B212" t="s">
        <v>2140</v>
      </c>
    </row>
    <row r="213" spans="1:2" x14ac:dyDescent="0.45">
      <c r="A213" t="str">
        <f>RIGHT(LEFT(B213,27),7)</f>
        <v>167.500</v>
      </c>
      <c r="B213" t="s">
        <v>1931</v>
      </c>
    </row>
    <row r="214" spans="1:2" x14ac:dyDescent="0.45">
      <c r="A214" t="str">
        <f>RIGHT(LEFT(B214,27),7)</f>
        <v>167.500</v>
      </c>
      <c r="B214" t="s">
        <v>1932</v>
      </c>
    </row>
    <row r="215" spans="1:2" x14ac:dyDescent="0.45">
      <c r="A215" t="str">
        <f>RIGHT(LEFT(B215,27),7)</f>
        <v>167.500</v>
      </c>
      <c r="B215" t="s">
        <v>1933</v>
      </c>
    </row>
    <row r="216" spans="1:2" x14ac:dyDescent="0.45">
      <c r="A216" t="str">
        <f>RIGHT(LEFT(B216,28),7)</f>
        <v>167.750</v>
      </c>
      <c r="B216" t="s">
        <v>2141</v>
      </c>
    </row>
    <row r="217" spans="1:2" x14ac:dyDescent="0.45">
      <c r="A217" t="str">
        <f>RIGHT(LEFT(B217,28),7)</f>
        <v>168.750</v>
      </c>
      <c r="B217" t="s">
        <v>2142</v>
      </c>
    </row>
    <row r="218" spans="1:2" x14ac:dyDescent="0.45">
      <c r="A218" t="str">
        <f>RIGHT(LEFT(B218,28),7)</f>
        <v>169.000</v>
      </c>
      <c r="B218" t="s">
        <v>2143</v>
      </c>
    </row>
    <row r="219" spans="1:2" x14ac:dyDescent="0.45">
      <c r="A219" t="str">
        <f>RIGHT(LEFT(B219,28),7)</f>
        <v>169.500</v>
      </c>
      <c r="B219" t="s">
        <v>2144</v>
      </c>
    </row>
    <row r="220" spans="1:2" x14ac:dyDescent="0.45">
      <c r="A220" t="str">
        <f>RIGHT(LEFT(B220,28),7)</f>
        <v>170.000</v>
      </c>
      <c r="B220" t="s">
        <v>2145</v>
      </c>
    </row>
    <row r="221" spans="1:2" x14ac:dyDescent="0.45">
      <c r="A221" t="str">
        <f>RIGHT(LEFT(B221,28),7)</f>
        <v>170.250</v>
      </c>
      <c r="B221" t="s">
        <v>2146</v>
      </c>
    </row>
    <row r="222" spans="1:2" x14ac:dyDescent="0.45">
      <c r="A222" t="str">
        <f>RIGHT(LEFT(B222,28),7)</f>
        <v>171.250</v>
      </c>
      <c r="B222" t="s">
        <v>2147</v>
      </c>
    </row>
    <row r="223" spans="1:2" x14ac:dyDescent="0.45">
      <c r="A223" t="str">
        <f>RIGHT(LEFT(B223,27),7)</f>
        <v>171.500</v>
      </c>
      <c r="B223" t="s">
        <v>1934</v>
      </c>
    </row>
    <row r="224" spans="1:2" x14ac:dyDescent="0.45">
      <c r="A224" t="str">
        <f>RIGHT(LEFT(B224,27),7)</f>
        <v>171.500</v>
      </c>
      <c r="B224" t="s">
        <v>1935</v>
      </c>
    </row>
    <row r="225" spans="1:2" x14ac:dyDescent="0.45">
      <c r="A225" t="str">
        <f>RIGHT(LEFT(B225,27),7)</f>
        <v>171.500</v>
      </c>
      <c r="B225" t="s">
        <v>1936</v>
      </c>
    </row>
    <row r="226" spans="1:2" x14ac:dyDescent="0.45">
      <c r="A226" t="str">
        <f>RIGHT(LEFT(B226,28),7)</f>
        <v>171.750</v>
      </c>
      <c r="B226" t="s">
        <v>2148</v>
      </c>
    </row>
    <row r="227" spans="1:2" x14ac:dyDescent="0.45">
      <c r="A227" t="str">
        <f>RIGHT(LEFT(B227,28),7)</f>
        <v>172.750</v>
      </c>
      <c r="B227" t="s">
        <v>2149</v>
      </c>
    </row>
    <row r="228" spans="1:2" x14ac:dyDescent="0.45">
      <c r="A228" t="str">
        <f>RIGHT(LEFT(B228,28),7)</f>
        <v>173.000</v>
      </c>
      <c r="B228" t="s">
        <v>2150</v>
      </c>
    </row>
    <row r="229" spans="1:2" x14ac:dyDescent="0.45">
      <c r="A229" t="str">
        <f>RIGHT(LEFT(B229,28),7)</f>
        <v>173.500</v>
      </c>
      <c r="B229" t="s">
        <v>2151</v>
      </c>
    </row>
    <row r="230" spans="1:2" x14ac:dyDescent="0.45">
      <c r="A230" t="str">
        <f>RIGHT(LEFT(B230,28),7)</f>
        <v>174.000</v>
      </c>
      <c r="B230" t="s">
        <v>2152</v>
      </c>
    </row>
    <row r="231" spans="1:2" x14ac:dyDescent="0.45">
      <c r="A231" t="str">
        <f>RIGHT(LEFT(B231,28),7)</f>
        <v>174.250</v>
      </c>
      <c r="B231" t="s">
        <v>2153</v>
      </c>
    </row>
    <row r="232" spans="1:2" x14ac:dyDescent="0.45">
      <c r="A232" t="str">
        <f>RIGHT(LEFT(B232,28),7)</f>
        <v>175.250</v>
      </c>
      <c r="B232" t="s">
        <v>2154</v>
      </c>
    </row>
    <row r="233" spans="1:2" x14ac:dyDescent="0.45">
      <c r="A233" t="str">
        <f>RIGHT(LEFT(B233,27),7)</f>
        <v>175.500</v>
      </c>
      <c r="B233" t="s">
        <v>1937</v>
      </c>
    </row>
    <row r="234" spans="1:2" x14ac:dyDescent="0.45">
      <c r="A234" t="str">
        <f>RIGHT(LEFT(B234,27),7)</f>
        <v>175.500</v>
      </c>
      <c r="B234" t="s">
        <v>1938</v>
      </c>
    </row>
    <row r="235" spans="1:2" x14ac:dyDescent="0.45">
      <c r="A235" t="str">
        <f>RIGHT(LEFT(B235,27),7)</f>
        <v>175.500</v>
      </c>
      <c r="B235" t="s">
        <v>1939</v>
      </c>
    </row>
    <row r="236" spans="1:2" x14ac:dyDescent="0.45">
      <c r="A236" t="str">
        <f>RIGHT(LEFT(B236,28),7)</f>
        <v>175.750</v>
      </c>
      <c r="B236" t="s">
        <v>2155</v>
      </c>
    </row>
    <row r="237" spans="1:2" x14ac:dyDescent="0.45">
      <c r="A237" t="str">
        <f>RIGHT(LEFT(B237,28),7)</f>
        <v>176.750</v>
      </c>
      <c r="B237" t="s">
        <v>2156</v>
      </c>
    </row>
    <row r="238" spans="1:2" x14ac:dyDescent="0.45">
      <c r="A238" t="str">
        <f>RIGHT(LEFT(B238,28),7)</f>
        <v>177.000</v>
      </c>
      <c r="B238" t="s">
        <v>2157</v>
      </c>
    </row>
    <row r="239" spans="1:2" x14ac:dyDescent="0.45">
      <c r="A239" t="str">
        <f>RIGHT(LEFT(B239,28),7)</f>
        <v>177.500</v>
      </c>
      <c r="B239" t="s">
        <v>2158</v>
      </c>
    </row>
    <row r="240" spans="1:2" x14ac:dyDescent="0.45">
      <c r="A240" t="str">
        <f>RIGHT(LEFT(B240,28),7)</f>
        <v>178.000</v>
      </c>
      <c r="B240" t="s">
        <v>2159</v>
      </c>
    </row>
    <row r="241" spans="1:2" x14ac:dyDescent="0.45">
      <c r="A241" t="str">
        <f>RIGHT(LEFT(B241,28),7)</f>
        <v>178.250</v>
      </c>
      <c r="B241" t="s">
        <v>2160</v>
      </c>
    </row>
    <row r="242" spans="1:2" x14ac:dyDescent="0.45">
      <c r="A242" t="str">
        <f>RIGHT(LEFT(B242,28),7)</f>
        <v>179.250</v>
      </c>
      <c r="B242" t="s">
        <v>2161</v>
      </c>
    </row>
    <row r="243" spans="1:2" x14ac:dyDescent="0.45">
      <c r="A243" t="str">
        <f>RIGHT(LEFT(B243,27),7)</f>
        <v>179.500</v>
      </c>
      <c r="B243" t="s">
        <v>1940</v>
      </c>
    </row>
    <row r="244" spans="1:2" x14ac:dyDescent="0.45">
      <c r="A244" t="str">
        <f>RIGHT(LEFT(B244,27),7)</f>
        <v>179.500</v>
      </c>
      <c r="B244" t="s">
        <v>1941</v>
      </c>
    </row>
    <row r="245" spans="1:2" x14ac:dyDescent="0.45">
      <c r="A245" t="str">
        <f>RIGHT(LEFT(B245,27),7)</f>
        <v>179.500</v>
      </c>
      <c r="B245" t="s">
        <v>1942</v>
      </c>
    </row>
    <row r="246" spans="1:2" x14ac:dyDescent="0.45">
      <c r="A246" t="str">
        <f>RIGHT(LEFT(B246,28),7)</f>
        <v>179.750</v>
      </c>
      <c r="B246" t="s">
        <v>2162</v>
      </c>
    </row>
    <row r="247" spans="1:2" x14ac:dyDescent="0.45">
      <c r="A247" t="str">
        <f>RIGHT(LEFT(B247,28),7)</f>
        <v>180.750</v>
      </c>
      <c r="B247" t="s">
        <v>2163</v>
      </c>
    </row>
    <row r="248" spans="1:2" x14ac:dyDescent="0.45">
      <c r="A248" t="str">
        <f>RIGHT(LEFT(B248,28),7)</f>
        <v>181.000</v>
      </c>
      <c r="B248" t="s">
        <v>2164</v>
      </c>
    </row>
    <row r="249" spans="1:2" x14ac:dyDescent="0.45">
      <c r="A249" t="str">
        <f>RIGHT(LEFT(B249,28),7)</f>
        <v>181.500</v>
      </c>
      <c r="B249" t="s">
        <v>2165</v>
      </c>
    </row>
    <row r="250" spans="1:2" x14ac:dyDescent="0.45">
      <c r="A250" t="str">
        <f>RIGHT(LEFT(B250,28),7)</f>
        <v>182.000</v>
      </c>
      <c r="B250" t="s">
        <v>2166</v>
      </c>
    </row>
    <row r="251" spans="1:2" x14ac:dyDescent="0.45">
      <c r="A251" t="str">
        <f>RIGHT(LEFT(B251,28),7)</f>
        <v>182.250</v>
      </c>
      <c r="B251" t="s">
        <v>2167</v>
      </c>
    </row>
    <row r="252" spans="1:2" x14ac:dyDescent="0.45">
      <c r="A252" t="str">
        <f>RIGHT(LEFT(B252,28),7)</f>
        <v>183.250</v>
      </c>
      <c r="B252" t="s">
        <v>2168</v>
      </c>
    </row>
    <row r="253" spans="1:2" x14ac:dyDescent="0.45">
      <c r="A253" t="str">
        <f>RIGHT(LEFT(B253,27),7)</f>
        <v>183.500</v>
      </c>
      <c r="B253" t="s">
        <v>1943</v>
      </c>
    </row>
    <row r="254" spans="1:2" x14ac:dyDescent="0.45">
      <c r="A254" t="str">
        <f>RIGHT(LEFT(B254,27),7)</f>
        <v>183.500</v>
      </c>
      <c r="B254" t="s">
        <v>1944</v>
      </c>
    </row>
    <row r="255" spans="1:2" x14ac:dyDescent="0.45">
      <c r="A255" t="str">
        <f>RIGHT(LEFT(B255,27),7)</f>
        <v>183.500</v>
      </c>
      <c r="B255" t="s">
        <v>1945</v>
      </c>
    </row>
    <row r="256" spans="1:2" x14ac:dyDescent="0.45">
      <c r="A256" t="str">
        <f>RIGHT(LEFT(B256,28),7)</f>
        <v>183.750</v>
      </c>
      <c r="B256" t="s">
        <v>2169</v>
      </c>
    </row>
    <row r="257" spans="1:2" x14ac:dyDescent="0.45">
      <c r="A257" t="str">
        <f>RIGHT(LEFT(B257,28),7)</f>
        <v>184.750</v>
      </c>
      <c r="B257" t="s">
        <v>2170</v>
      </c>
    </row>
    <row r="258" spans="1:2" x14ac:dyDescent="0.45">
      <c r="A258" t="str">
        <f>RIGHT(LEFT(B258,28),7)</f>
        <v>185.000</v>
      </c>
      <c r="B258" t="s">
        <v>2171</v>
      </c>
    </row>
    <row r="259" spans="1:2" x14ac:dyDescent="0.45">
      <c r="A259" t="str">
        <f>RIGHT(LEFT(B259,28),7)</f>
        <v>185.500</v>
      </c>
      <c r="B259" t="s">
        <v>2172</v>
      </c>
    </row>
    <row r="260" spans="1:2" x14ac:dyDescent="0.45">
      <c r="A260" t="str">
        <f>RIGHT(LEFT(B260,28),7)</f>
        <v>186.000</v>
      </c>
      <c r="B260" t="s">
        <v>2173</v>
      </c>
    </row>
    <row r="261" spans="1:2" x14ac:dyDescent="0.45">
      <c r="A261" t="str">
        <f>RIGHT(LEFT(B261,28),7)</f>
        <v>186.250</v>
      </c>
      <c r="B261" t="s">
        <v>2174</v>
      </c>
    </row>
    <row r="262" spans="1:2" x14ac:dyDescent="0.45">
      <c r="A262" t="str">
        <f>RIGHT(LEFT(B262,28),7)</f>
        <v>187.250</v>
      </c>
      <c r="B262" t="s">
        <v>2175</v>
      </c>
    </row>
    <row r="263" spans="1:2" x14ac:dyDescent="0.45">
      <c r="A263" t="str">
        <f>RIGHT(LEFT(B263,27),7)</f>
        <v>187.500</v>
      </c>
      <c r="B263" t="s">
        <v>1946</v>
      </c>
    </row>
    <row r="264" spans="1:2" x14ac:dyDescent="0.45">
      <c r="A264" t="str">
        <f>RIGHT(LEFT(B264,27),7)</f>
        <v>187.500</v>
      </c>
      <c r="B264" t="s">
        <v>1947</v>
      </c>
    </row>
    <row r="265" spans="1:2" x14ac:dyDescent="0.45">
      <c r="A265" t="str">
        <f>RIGHT(LEFT(B265,27),7)</f>
        <v>187.500</v>
      </c>
      <c r="B265" t="s">
        <v>1948</v>
      </c>
    </row>
    <row r="266" spans="1:2" x14ac:dyDescent="0.45">
      <c r="A266" t="str">
        <f>RIGHT(LEFT(B266,28),7)</f>
        <v>187.750</v>
      </c>
      <c r="B266" t="s">
        <v>2176</v>
      </c>
    </row>
    <row r="267" spans="1:2" x14ac:dyDescent="0.45">
      <c r="A267" t="str">
        <f>RIGHT(LEFT(B267,28),7)</f>
        <v>188.750</v>
      </c>
      <c r="B267" t="s">
        <v>2177</v>
      </c>
    </row>
    <row r="268" spans="1:2" x14ac:dyDescent="0.45">
      <c r="A268" t="str">
        <f>RIGHT(LEFT(B268,28),7)</f>
        <v>189.000</v>
      </c>
      <c r="B268" t="s">
        <v>2178</v>
      </c>
    </row>
    <row r="269" spans="1:2" x14ac:dyDescent="0.45">
      <c r="A269" t="str">
        <f>RIGHT(LEFT(B269,28),7)</f>
        <v>189.500</v>
      </c>
      <c r="B269" t="s">
        <v>2179</v>
      </c>
    </row>
  </sheetData>
  <sortState xmlns:xlrd2="http://schemas.microsoft.com/office/spreadsheetml/2017/richdata2" ref="A1:B269">
    <sortCondition ref="A1:A2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radmin</dc:creator>
  <cp:lastModifiedBy>radmin</cp:lastModifiedBy>
  <dcterms:created xsi:type="dcterms:W3CDTF">2023-01-24T21:57:02Z</dcterms:created>
  <dcterms:modified xsi:type="dcterms:W3CDTF">2023-03-03T08:08:34Z</dcterms:modified>
</cp:coreProperties>
</file>