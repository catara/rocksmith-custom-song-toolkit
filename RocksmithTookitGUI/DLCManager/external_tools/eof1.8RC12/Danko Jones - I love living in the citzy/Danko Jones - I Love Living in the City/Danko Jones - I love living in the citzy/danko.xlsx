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ocksmith-custom-song-toolkit\RocksmithTookitGUI\DLCManager\external_tools\eof1.8RC12\Danko Jones - I love living in the citzy\Danko Jones - I Love Living in the City\Danko Jones - I love living in the citzy\"/>
    </mc:Choice>
  </mc:AlternateContent>
  <xr:revisionPtr revIDLastSave="0" documentId="13_ncr:1_{221AD092-E0FE-465E-AB6B-8AB08B3B7E4A}" xr6:coauthVersionLast="45" xr6:coauthVersionMax="45" xr10:uidLastSave="{00000000-0000-0000-0000-000000000000}"/>
  <bookViews>
    <workbookView xWindow="-98" yWindow="-98" windowWidth="26116" windowHeight="15675" activeTab="1" xr2:uid="{8D9FBD90-8324-4ADA-AAC7-BDEBF3A45C7B}"/>
  </bookViews>
  <sheets>
    <sheet name="guit" sheetId="3" r:id="rId1"/>
    <sheet name="Sheet3" sheetId="6" r:id="rId2"/>
    <sheet name="bass" sheetId="8" r:id="rId3"/>
  </sheets>
  <definedNames>
    <definedName name="ExternalData_1" localSheetId="2" hidden="1">bass!$A$1:$B$611</definedName>
    <definedName name="ExternalData_2" localSheetId="0" hidden="1">guit!$A$1:$I$373</definedName>
    <definedName name="ExternalData_2" localSheetId="1" hidden="1">Sheet3!$A$1:$J$614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32" i="6" l="1"/>
  <c r="D232" i="6"/>
  <c r="C232" i="6" s="1"/>
  <c r="B232" i="6" s="1"/>
  <c r="E232" i="6"/>
  <c r="D16" i="6" l="1"/>
  <c r="C16" i="6" s="1"/>
  <c r="N16" i="6" s="1"/>
  <c r="M16" i="6" s="1"/>
  <c r="E16" i="6"/>
  <c r="D7" i="6"/>
  <c r="C7" i="6" s="1"/>
  <c r="N7" i="6" s="1"/>
  <c r="M7" i="6" s="1"/>
  <c r="E7" i="6"/>
  <c r="D17" i="6"/>
  <c r="C17" i="6" s="1"/>
  <c r="N17" i="6" s="1"/>
  <c r="M17" i="6" s="1"/>
  <c r="E17" i="6"/>
  <c r="D2" i="6"/>
  <c r="C2" i="6" s="1"/>
  <c r="N2" i="6" s="1"/>
  <c r="D3" i="6"/>
  <c r="C3" i="6" s="1"/>
  <c r="D4" i="6"/>
  <c r="C4" i="6" s="1"/>
  <c r="N4" i="6" s="1"/>
  <c r="M4" i="6" s="1"/>
  <c r="D284" i="6"/>
  <c r="C284" i="6" s="1"/>
  <c r="N284" i="6" s="1"/>
  <c r="M284" i="6" s="1"/>
  <c r="D285" i="6"/>
  <c r="C285" i="6" s="1"/>
  <c r="N285" i="6" s="1"/>
  <c r="M285" i="6" s="1"/>
  <c r="D286" i="6"/>
  <c r="C286" i="6" s="1"/>
  <c r="D287" i="6"/>
  <c r="C287" i="6" s="1"/>
  <c r="D288" i="6"/>
  <c r="C288" i="6" s="1"/>
  <c r="D289" i="6"/>
  <c r="C289" i="6" s="1"/>
  <c r="D290" i="6"/>
  <c r="C290" i="6" s="1"/>
  <c r="N290" i="6" s="1"/>
  <c r="M290" i="6" s="1"/>
  <c r="D291" i="6"/>
  <c r="C291" i="6" s="1"/>
  <c r="N291" i="6" s="1"/>
  <c r="M291" i="6" s="1"/>
  <c r="D292" i="6"/>
  <c r="C292" i="6" s="1"/>
  <c r="D293" i="6"/>
  <c r="C293" i="6" s="1"/>
  <c r="D294" i="6"/>
  <c r="C294" i="6" s="1"/>
  <c r="D295" i="6"/>
  <c r="C295" i="6" s="1"/>
  <c r="D296" i="6"/>
  <c r="C296" i="6" s="1"/>
  <c r="N296" i="6" s="1"/>
  <c r="M296" i="6" s="1"/>
  <c r="D297" i="6"/>
  <c r="C297" i="6" s="1"/>
  <c r="N297" i="6" s="1"/>
  <c r="M297" i="6" s="1"/>
  <c r="D298" i="6"/>
  <c r="C298" i="6" s="1"/>
  <c r="D299" i="6"/>
  <c r="C299" i="6" s="1"/>
  <c r="D300" i="6"/>
  <c r="C300" i="6" s="1"/>
  <c r="D301" i="6"/>
  <c r="C301" i="6" s="1"/>
  <c r="D302" i="6"/>
  <c r="C302" i="6" s="1"/>
  <c r="N302" i="6" s="1"/>
  <c r="M302" i="6" s="1"/>
  <c r="D303" i="6"/>
  <c r="C303" i="6" s="1"/>
  <c r="N303" i="6" s="1"/>
  <c r="M303" i="6" s="1"/>
  <c r="D304" i="6"/>
  <c r="C304" i="6" s="1"/>
  <c r="D305" i="6"/>
  <c r="C305" i="6" s="1"/>
  <c r="D306" i="6"/>
  <c r="C306" i="6" s="1"/>
  <c r="D307" i="6"/>
  <c r="C307" i="6" s="1"/>
  <c r="D308" i="6"/>
  <c r="C308" i="6" s="1"/>
  <c r="N308" i="6" s="1"/>
  <c r="M308" i="6" s="1"/>
  <c r="D309" i="6"/>
  <c r="C309" i="6" s="1"/>
  <c r="N309" i="6" s="1"/>
  <c r="M309" i="6" s="1"/>
  <c r="D310" i="6"/>
  <c r="C310" i="6" s="1"/>
  <c r="D311" i="6"/>
  <c r="C311" i="6" s="1"/>
  <c r="D312" i="6"/>
  <c r="C312" i="6" s="1"/>
  <c r="D313" i="6"/>
  <c r="C313" i="6" s="1"/>
  <c r="D314" i="6"/>
  <c r="C314" i="6" s="1"/>
  <c r="N314" i="6" s="1"/>
  <c r="M314" i="6" s="1"/>
  <c r="D315" i="6"/>
  <c r="C315" i="6" s="1"/>
  <c r="N315" i="6" s="1"/>
  <c r="M315" i="6" s="1"/>
  <c r="D316" i="6"/>
  <c r="C316" i="6" s="1"/>
  <c r="D317" i="6"/>
  <c r="C317" i="6" s="1"/>
  <c r="D318" i="6"/>
  <c r="C318" i="6" s="1"/>
  <c r="D319" i="6"/>
  <c r="C319" i="6" s="1"/>
  <c r="D320" i="6"/>
  <c r="C320" i="6" s="1"/>
  <c r="N320" i="6" s="1"/>
  <c r="M320" i="6" s="1"/>
  <c r="D321" i="6"/>
  <c r="C321" i="6" s="1"/>
  <c r="N321" i="6" s="1"/>
  <c r="M321" i="6" s="1"/>
  <c r="D322" i="6"/>
  <c r="C322" i="6" s="1"/>
  <c r="D323" i="6"/>
  <c r="C323" i="6" s="1"/>
  <c r="D324" i="6"/>
  <c r="C324" i="6" s="1"/>
  <c r="D325" i="6"/>
  <c r="C325" i="6" s="1"/>
  <c r="D326" i="6"/>
  <c r="C326" i="6" s="1"/>
  <c r="N326" i="6" s="1"/>
  <c r="M326" i="6" s="1"/>
  <c r="D327" i="6"/>
  <c r="C327" i="6" s="1"/>
  <c r="N327" i="6" s="1"/>
  <c r="M327" i="6" s="1"/>
  <c r="D328" i="6"/>
  <c r="C328" i="6" s="1"/>
  <c r="D329" i="6"/>
  <c r="C329" i="6" s="1"/>
  <c r="D330" i="6"/>
  <c r="C330" i="6" s="1"/>
  <c r="D331" i="6"/>
  <c r="C331" i="6" s="1"/>
  <c r="D332" i="6"/>
  <c r="C332" i="6" s="1"/>
  <c r="N332" i="6" s="1"/>
  <c r="M332" i="6" s="1"/>
  <c r="D333" i="6"/>
  <c r="C333" i="6" s="1"/>
  <c r="N333" i="6" s="1"/>
  <c r="M333" i="6" s="1"/>
  <c r="D334" i="6"/>
  <c r="C334" i="6" s="1"/>
  <c r="D335" i="6"/>
  <c r="C335" i="6" s="1"/>
  <c r="D336" i="6"/>
  <c r="C336" i="6" s="1"/>
  <c r="D337" i="6"/>
  <c r="C337" i="6" s="1"/>
  <c r="D338" i="6"/>
  <c r="C338" i="6" s="1"/>
  <c r="N338" i="6" s="1"/>
  <c r="M338" i="6" s="1"/>
  <c r="D339" i="6"/>
  <c r="C339" i="6" s="1"/>
  <c r="N339" i="6" s="1"/>
  <c r="M339" i="6" s="1"/>
  <c r="D340" i="6"/>
  <c r="C340" i="6" s="1"/>
  <c r="D341" i="6"/>
  <c r="C341" i="6" s="1"/>
  <c r="D342" i="6"/>
  <c r="C342" i="6" s="1"/>
  <c r="D343" i="6"/>
  <c r="C343" i="6" s="1"/>
  <c r="D344" i="6"/>
  <c r="C344" i="6" s="1"/>
  <c r="N344" i="6" s="1"/>
  <c r="M344" i="6" s="1"/>
  <c r="D345" i="6"/>
  <c r="C345" i="6" s="1"/>
  <c r="N345" i="6" s="1"/>
  <c r="M345" i="6" s="1"/>
  <c r="D346" i="6"/>
  <c r="C346" i="6" s="1"/>
  <c r="D347" i="6"/>
  <c r="C347" i="6" s="1"/>
  <c r="D348" i="6"/>
  <c r="C348" i="6" s="1"/>
  <c r="D349" i="6"/>
  <c r="C349" i="6" s="1"/>
  <c r="D350" i="6"/>
  <c r="C350" i="6" s="1"/>
  <c r="N350" i="6" s="1"/>
  <c r="M350" i="6" s="1"/>
  <c r="D351" i="6"/>
  <c r="C351" i="6" s="1"/>
  <c r="N351" i="6" s="1"/>
  <c r="M351" i="6" s="1"/>
  <c r="D352" i="6"/>
  <c r="C352" i="6" s="1"/>
  <c r="D353" i="6"/>
  <c r="C353" i="6" s="1"/>
  <c r="D354" i="6"/>
  <c r="C354" i="6" s="1"/>
  <c r="D355" i="6"/>
  <c r="C355" i="6" s="1"/>
  <c r="D356" i="6"/>
  <c r="C356" i="6" s="1"/>
  <c r="N356" i="6" s="1"/>
  <c r="M356" i="6" s="1"/>
  <c r="D357" i="6"/>
  <c r="C357" i="6" s="1"/>
  <c r="N357" i="6" s="1"/>
  <c r="M357" i="6" s="1"/>
  <c r="D358" i="6"/>
  <c r="C358" i="6" s="1"/>
  <c r="D359" i="6"/>
  <c r="C359" i="6" s="1"/>
  <c r="D360" i="6"/>
  <c r="C360" i="6" s="1"/>
  <c r="D361" i="6"/>
  <c r="C361" i="6" s="1"/>
  <c r="D362" i="6"/>
  <c r="C362" i="6" s="1"/>
  <c r="N362" i="6" s="1"/>
  <c r="M362" i="6" s="1"/>
  <c r="D363" i="6"/>
  <c r="C363" i="6" s="1"/>
  <c r="N363" i="6" s="1"/>
  <c r="M363" i="6" s="1"/>
  <c r="D364" i="6"/>
  <c r="C364" i="6" s="1"/>
  <c r="D365" i="6"/>
  <c r="C365" i="6" s="1"/>
  <c r="D366" i="6"/>
  <c r="C366" i="6" s="1"/>
  <c r="D367" i="6"/>
  <c r="C367" i="6" s="1"/>
  <c r="D368" i="6"/>
  <c r="C368" i="6" s="1"/>
  <c r="N368" i="6" s="1"/>
  <c r="M368" i="6" s="1"/>
  <c r="D369" i="6"/>
  <c r="C369" i="6" s="1"/>
  <c r="N369" i="6" s="1"/>
  <c r="M369" i="6" s="1"/>
  <c r="D370" i="6"/>
  <c r="C370" i="6" s="1"/>
  <c r="D371" i="6"/>
  <c r="C371" i="6" s="1"/>
  <c r="D372" i="6"/>
  <c r="C372" i="6" s="1"/>
  <c r="D373" i="6"/>
  <c r="C373" i="6" s="1"/>
  <c r="D374" i="6"/>
  <c r="C374" i="6" s="1"/>
  <c r="N374" i="6" s="1"/>
  <c r="M374" i="6" s="1"/>
  <c r="D375" i="6"/>
  <c r="C375" i="6" s="1"/>
  <c r="N375" i="6" s="1"/>
  <c r="M375" i="6" s="1"/>
  <c r="D376" i="6"/>
  <c r="C376" i="6" s="1"/>
  <c r="D377" i="6"/>
  <c r="C377" i="6" s="1"/>
  <c r="D378" i="6"/>
  <c r="C378" i="6" s="1"/>
  <c r="D379" i="6"/>
  <c r="C379" i="6" s="1"/>
  <c r="D380" i="6"/>
  <c r="C380" i="6" s="1"/>
  <c r="N380" i="6" s="1"/>
  <c r="M380" i="6" s="1"/>
  <c r="D381" i="6"/>
  <c r="C381" i="6" s="1"/>
  <c r="N381" i="6" s="1"/>
  <c r="M381" i="6" s="1"/>
  <c r="D382" i="6"/>
  <c r="C382" i="6" s="1"/>
  <c r="D383" i="6"/>
  <c r="C383" i="6" s="1"/>
  <c r="D384" i="6"/>
  <c r="C384" i="6" s="1"/>
  <c r="D385" i="6"/>
  <c r="C385" i="6" s="1"/>
  <c r="D386" i="6"/>
  <c r="C386" i="6" s="1"/>
  <c r="N386" i="6" s="1"/>
  <c r="M386" i="6" s="1"/>
  <c r="D387" i="6"/>
  <c r="C387" i="6" s="1"/>
  <c r="N387" i="6" s="1"/>
  <c r="M387" i="6" s="1"/>
  <c r="D388" i="6"/>
  <c r="C388" i="6" s="1"/>
  <c r="D389" i="6"/>
  <c r="C389" i="6" s="1"/>
  <c r="D390" i="6"/>
  <c r="C390" i="6" s="1"/>
  <c r="D391" i="6"/>
  <c r="C391" i="6" s="1"/>
  <c r="D392" i="6"/>
  <c r="C392" i="6" s="1"/>
  <c r="N392" i="6" s="1"/>
  <c r="M392" i="6" s="1"/>
  <c r="D393" i="6"/>
  <c r="C393" i="6" s="1"/>
  <c r="N393" i="6" s="1"/>
  <c r="M393" i="6" s="1"/>
  <c r="D394" i="6"/>
  <c r="C394" i="6" s="1"/>
  <c r="D395" i="6"/>
  <c r="C395" i="6" s="1"/>
  <c r="D396" i="6"/>
  <c r="C396" i="6" s="1"/>
  <c r="D5" i="6"/>
  <c r="C5" i="6" s="1"/>
  <c r="N5" i="6" s="1"/>
  <c r="M5" i="6" s="1"/>
  <c r="D6" i="6"/>
  <c r="C6" i="6" s="1"/>
  <c r="N6" i="6" s="1"/>
  <c r="M6" i="6" s="1"/>
  <c r="D397" i="6"/>
  <c r="C397" i="6" s="1"/>
  <c r="D398" i="6"/>
  <c r="C398" i="6" s="1"/>
  <c r="N398" i="6" s="1"/>
  <c r="M398" i="6" s="1"/>
  <c r="D399" i="6"/>
  <c r="C399" i="6" s="1"/>
  <c r="N399" i="6" s="1"/>
  <c r="M399" i="6" s="1"/>
  <c r="D400" i="6"/>
  <c r="C400" i="6" s="1"/>
  <c r="D401" i="6"/>
  <c r="C401" i="6" s="1"/>
  <c r="D402" i="6"/>
  <c r="C402" i="6" s="1"/>
  <c r="D403" i="6"/>
  <c r="C403" i="6" s="1"/>
  <c r="D404" i="6"/>
  <c r="C404" i="6" s="1"/>
  <c r="N404" i="6" s="1"/>
  <c r="M404" i="6" s="1"/>
  <c r="D405" i="6"/>
  <c r="C405" i="6" s="1"/>
  <c r="N405" i="6" s="1"/>
  <c r="M405" i="6" s="1"/>
  <c r="D406" i="6"/>
  <c r="C406" i="6" s="1"/>
  <c r="D407" i="6"/>
  <c r="C407" i="6" s="1"/>
  <c r="D408" i="6"/>
  <c r="C408" i="6" s="1"/>
  <c r="D409" i="6"/>
  <c r="C409" i="6" s="1"/>
  <c r="D410" i="6"/>
  <c r="C410" i="6" s="1"/>
  <c r="N410" i="6" s="1"/>
  <c r="M410" i="6" s="1"/>
  <c r="D411" i="6"/>
  <c r="C411" i="6" s="1"/>
  <c r="N411" i="6" s="1"/>
  <c r="M411" i="6" s="1"/>
  <c r="D412" i="6"/>
  <c r="C412" i="6" s="1"/>
  <c r="D413" i="6"/>
  <c r="C413" i="6" s="1"/>
  <c r="D414" i="6"/>
  <c r="C414" i="6" s="1"/>
  <c r="D415" i="6"/>
  <c r="C415" i="6" s="1"/>
  <c r="D416" i="6"/>
  <c r="C416" i="6" s="1"/>
  <c r="N416" i="6" s="1"/>
  <c r="M416" i="6" s="1"/>
  <c r="D417" i="6"/>
  <c r="C417" i="6" s="1"/>
  <c r="N417" i="6" s="1"/>
  <c r="M417" i="6" s="1"/>
  <c r="D418" i="6"/>
  <c r="C418" i="6" s="1"/>
  <c r="D419" i="6"/>
  <c r="C419" i="6" s="1"/>
  <c r="D420" i="6"/>
  <c r="C420" i="6" s="1"/>
  <c r="D421" i="6"/>
  <c r="C421" i="6" s="1"/>
  <c r="D422" i="6"/>
  <c r="C422" i="6" s="1"/>
  <c r="N422" i="6" s="1"/>
  <c r="M422" i="6" s="1"/>
  <c r="D423" i="6"/>
  <c r="C423" i="6" s="1"/>
  <c r="N423" i="6" s="1"/>
  <c r="M423" i="6" s="1"/>
  <c r="D424" i="6"/>
  <c r="C424" i="6" s="1"/>
  <c r="D425" i="6"/>
  <c r="C425" i="6" s="1"/>
  <c r="D426" i="6"/>
  <c r="C426" i="6" s="1"/>
  <c r="D427" i="6"/>
  <c r="C427" i="6" s="1"/>
  <c r="D428" i="6"/>
  <c r="C428" i="6" s="1"/>
  <c r="N428" i="6" s="1"/>
  <c r="M428" i="6" s="1"/>
  <c r="D429" i="6"/>
  <c r="C429" i="6" s="1"/>
  <c r="N429" i="6" s="1"/>
  <c r="M429" i="6" s="1"/>
  <c r="D430" i="6"/>
  <c r="C430" i="6" s="1"/>
  <c r="D431" i="6"/>
  <c r="C431" i="6" s="1"/>
  <c r="D432" i="6"/>
  <c r="C432" i="6" s="1"/>
  <c r="D433" i="6"/>
  <c r="C433" i="6" s="1"/>
  <c r="D434" i="6"/>
  <c r="C434" i="6" s="1"/>
  <c r="N434" i="6" s="1"/>
  <c r="M434" i="6" s="1"/>
  <c r="D435" i="6"/>
  <c r="C435" i="6" s="1"/>
  <c r="N435" i="6" s="1"/>
  <c r="M435" i="6" s="1"/>
  <c r="D436" i="6"/>
  <c r="C436" i="6" s="1"/>
  <c r="D437" i="6"/>
  <c r="C437" i="6" s="1"/>
  <c r="D438" i="6"/>
  <c r="C438" i="6" s="1"/>
  <c r="D439" i="6"/>
  <c r="C439" i="6" s="1"/>
  <c r="D440" i="6"/>
  <c r="C440" i="6" s="1"/>
  <c r="N440" i="6" s="1"/>
  <c r="M440" i="6" s="1"/>
  <c r="D441" i="6"/>
  <c r="C441" i="6" s="1"/>
  <c r="N441" i="6" s="1"/>
  <c r="M441" i="6" s="1"/>
  <c r="D442" i="6"/>
  <c r="C442" i="6" s="1"/>
  <c r="D443" i="6"/>
  <c r="C443" i="6" s="1"/>
  <c r="D444" i="6"/>
  <c r="C444" i="6" s="1"/>
  <c r="D445" i="6"/>
  <c r="C445" i="6" s="1"/>
  <c r="D446" i="6"/>
  <c r="C446" i="6" s="1"/>
  <c r="N446" i="6" s="1"/>
  <c r="M446" i="6" s="1"/>
  <c r="D447" i="6"/>
  <c r="C447" i="6" s="1"/>
  <c r="N447" i="6" s="1"/>
  <c r="M447" i="6" s="1"/>
  <c r="D448" i="6"/>
  <c r="C448" i="6" s="1"/>
  <c r="D449" i="6"/>
  <c r="C449" i="6" s="1"/>
  <c r="D450" i="6"/>
  <c r="C450" i="6" s="1"/>
  <c r="D451" i="6"/>
  <c r="C451" i="6" s="1"/>
  <c r="D452" i="6"/>
  <c r="C452" i="6" s="1"/>
  <c r="N452" i="6" s="1"/>
  <c r="M452" i="6" s="1"/>
  <c r="D453" i="6"/>
  <c r="C453" i="6" s="1"/>
  <c r="N453" i="6" s="1"/>
  <c r="M453" i="6" s="1"/>
  <c r="D454" i="6"/>
  <c r="C454" i="6" s="1"/>
  <c r="D455" i="6"/>
  <c r="C455" i="6" s="1"/>
  <c r="D456" i="6"/>
  <c r="C456" i="6" s="1"/>
  <c r="D457" i="6"/>
  <c r="C457" i="6" s="1"/>
  <c r="D458" i="6"/>
  <c r="C458" i="6" s="1"/>
  <c r="N458" i="6" s="1"/>
  <c r="M458" i="6" s="1"/>
  <c r="D459" i="6"/>
  <c r="C459" i="6" s="1"/>
  <c r="N459" i="6" s="1"/>
  <c r="M459" i="6" s="1"/>
  <c r="D460" i="6"/>
  <c r="C460" i="6" s="1"/>
  <c r="D461" i="6"/>
  <c r="C461" i="6" s="1"/>
  <c r="D462" i="6"/>
  <c r="C462" i="6" s="1"/>
  <c r="D463" i="6"/>
  <c r="C463" i="6" s="1"/>
  <c r="D464" i="6"/>
  <c r="C464" i="6" s="1"/>
  <c r="N464" i="6" s="1"/>
  <c r="M464" i="6" s="1"/>
  <c r="D465" i="6"/>
  <c r="C465" i="6" s="1"/>
  <c r="N465" i="6" s="1"/>
  <c r="M465" i="6" s="1"/>
  <c r="D466" i="6"/>
  <c r="C466" i="6" s="1"/>
  <c r="D467" i="6"/>
  <c r="C467" i="6" s="1"/>
  <c r="D468" i="6"/>
  <c r="C468" i="6" s="1"/>
  <c r="D469" i="6"/>
  <c r="C469" i="6" s="1"/>
  <c r="D470" i="6"/>
  <c r="C470" i="6" s="1"/>
  <c r="N470" i="6" s="1"/>
  <c r="M470" i="6" s="1"/>
  <c r="D471" i="6"/>
  <c r="C471" i="6" s="1"/>
  <c r="N471" i="6" s="1"/>
  <c r="M471" i="6" s="1"/>
  <c r="D472" i="6"/>
  <c r="C472" i="6" s="1"/>
  <c r="D473" i="6"/>
  <c r="C473" i="6" s="1"/>
  <c r="D474" i="6"/>
  <c r="C474" i="6" s="1"/>
  <c r="D475" i="6"/>
  <c r="C475" i="6" s="1"/>
  <c r="D476" i="6"/>
  <c r="C476" i="6" s="1"/>
  <c r="N475" i="6" s="1"/>
  <c r="M475" i="6" s="1"/>
  <c r="D477" i="6"/>
  <c r="C477" i="6" s="1"/>
  <c r="D478" i="6"/>
  <c r="C478" i="6" s="1"/>
  <c r="N477" i="6" s="1"/>
  <c r="M477" i="6" s="1"/>
  <c r="D479" i="6"/>
  <c r="C479" i="6" s="1"/>
  <c r="D480" i="6"/>
  <c r="C480" i="6" s="1"/>
  <c r="D481" i="6"/>
  <c r="C481" i="6" s="1"/>
  <c r="D482" i="6"/>
  <c r="C482" i="6" s="1"/>
  <c r="N482" i="6" s="1"/>
  <c r="M482" i="6" s="1"/>
  <c r="D483" i="6"/>
  <c r="C483" i="6" s="1"/>
  <c r="N483" i="6" s="1"/>
  <c r="M483" i="6" s="1"/>
  <c r="D484" i="6"/>
  <c r="C484" i="6" s="1"/>
  <c r="D485" i="6"/>
  <c r="C485" i="6" s="1"/>
  <c r="D486" i="6"/>
  <c r="C486" i="6" s="1"/>
  <c r="D487" i="6"/>
  <c r="C487" i="6" s="1"/>
  <c r="D488" i="6"/>
  <c r="C488" i="6" s="1"/>
  <c r="N488" i="6" s="1"/>
  <c r="M488" i="6" s="1"/>
  <c r="D489" i="6"/>
  <c r="C489" i="6" s="1"/>
  <c r="N489" i="6" s="1"/>
  <c r="M489" i="6" s="1"/>
  <c r="D490" i="6"/>
  <c r="C490" i="6" s="1"/>
  <c r="D491" i="6"/>
  <c r="C491" i="6" s="1"/>
  <c r="D492" i="6"/>
  <c r="C492" i="6" s="1"/>
  <c r="D493" i="6"/>
  <c r="C493" i="6" s="1"/>
  <c r="D494" i="6"/>
  <c r="C494" i="6" s="1"/>
  <c r="N494" i="6" s="1"/>
  <c r="M494" i="6" s="1"/>
  <c r="D495" i="6"/>
  <c r="C495" i="6" s="1"/>
  <c r="N495" i="6" s="1"/>
  <c r="M495" i="6" s="1"/>
  <c r="D496" i="6"/>
  <c r="C496" i="6" s="1"/>
  <c r="D497" i="6"/>
  <c r="C497" i="6" s="1"/>
  <c r="D498" i="6"/>
  <c r="C498" i="6" s="1"/>
  <c r="D499" i="6"/>
  <c r="C499" i="6" s="1"/>
  <c r="D500" i="6"/>
  <c r="C500" i="6" s="1"/>
  <c r="N500" i="6" s="1"/>
  <c r="M500" i="6" s="1"/>
  <c r="D501" i="6"/>
  <c r="C501" i="6" s="1"/>
  <c r="N501" i="6" s="1"/>
  <c r="M501" i="6" s="1"/>
  <c r="D502" i="6"/>
  <c r="C502" i="6" s="1"/>
  <c r="D503" i="6"/>
  <c r="C503" i="6" s="1"/>
  <c r="D8" i="6"/>
  <c r="C8" i="6" s="1"/>
  <c r="N8" i="6" s="1"/>
  <c r="M8" i="6" s="1"/>
  <c r="D504" i="6"/>
  <c r="C504" i="6" s="1"/>
  <c r="D505" i="6"/>
  <c r="C505" i="6" s="1"/>
  <c r="D506" i="6"/>
  <c r="C506" i="6" s="1"/>
  <c r="N506" i="6" s="1"/>
  <c r="M506" i="6" s="1"/>
  <c r="D507" i="6"/>
  <c r="C507" i="6" s="1"/>
  <c r="D508" i="6"/>
  <c r="C508" i="6" s="1"/>
  <c r="D509" i="6"/>
  <c r="C509" i="6" s="1"/>
  <c r="D510" i="6"/>
  <c r="C510" i="6" s="1"/>
  <c r="D511" i="6"/>
  <c r="C511" i="6" s="1"/>
  <c r="D512" i="6"/>
  <c r="C512" i="6" s="1"/>
  <c r="N512" i="6" s="1"/>
  <c r="M512" i="6" s="1"/>
  <c r="D513" i="6"/>
  <c r="C513" i="6" s="1"/>
  <c r="D514" i="6"/>
  <c r="C514" i="6" s="1"/>
  <c r="D515" i="6"/>
  <c r="C515" i="6" s="1"/>
  <c r="D516" i="6"/>
  <c r="C516" i="6" s="1"/>
  <c r="D517" i="6"/>
  <c r="C517" i="6" s="1"/>
  <c r="D518" i="6"/>
  <c r="C518" i="6" s="1"/>
  <c r="N518" i="6" s="1"/>
  <c r="M518" i="6" s="1"/>
  <c r="D519" i="6"/>
  <c r="C519" i="6" s="1"/>
  <c r="D520" i="6"/>
  <c r="C520" i="6" s="1"/>
  <c r="D521" i="6"/>
  <c r="C521" i="6" s="1"/>
  <c r="D522" i="6"/>
  <c r="C522" i="6" s="1"/>
  <c r="D523" i="6"/>
  <c r="C523" i="6" s="1"/>
  <c r="D524" i="6"/>
  <c r="C524" i="6" s="1"/>
  <c r="N524" i="6" s="1"/>
  <c r="M524" i="6" s="1"/>
  <c r="D525" i="6"/>
  <c r="C525" i="6" s="1"/>
  <c r="D526" i="6"/>
  <c r="C526" i="6" s="1"/>
  <c r="D527" i="6"/>
  <c r="C527" i="6" s="1"/>
  <c r="D528" i="6"/>
  <c r="C528" i="6" s="1"/>
  <c r="D529" i="6"/>
  <c r="C529" i="6" s="1"/>
  <c r="D530" i="6"/>
  <c r="C530" i="6" s="1"/>
  <c r="N530" i="6" s="1"/>
  <c r="M530" i="6" s="1"/>
  <c r="D531" i="6"/>
  <c r="C531" i="6" s="1"/>
  <c r="D532" i="6"/>
  <c r="C532" i="6" s="1"/>
  <c r="D533" i="6"/>
  <c r="C533" i="6" s="1"/>
  <c r="D534" i="6"/>
  <c r="C534" i="6" s="1"/>
  <c r="D535" i="6"/>
  <c r="C535" i="6" s="1"/>
  <c r="D536" i="6"/>
  <c r="C536" i="6" s="1"/>
  <c r="N536" i="6" s="1"/>
  <c r="M536" i="6" s="1"/>
  <c r="D537" i="6"/>
  <c r="C537" i="6" s="1"/>
  <c r="D538" i="6"/>
  <c r="C538" i="6" s="1"/>
  <c r="D539" i="6"/>
  <c r="C539" i="6" s="1"/>
  <c r="D540" i="6"/>
  <c r="C540" i="6" s="1"/>
  <c r="D9" i="6"/>
  <c r="C9" i="6" s="1"/>
  <c r="N9" i="6" s="1"/>
  <c r="M9" i="6" s="1"/>
  <c r="D10" i="6"/>
  <c r="C10" i="6" s="1"/>
  <c r="N10" i="6" s="1"/>
  <c r="M10" i="6" s="1"/>
  <c r="D541" i="6"/>
  <c r="C541" i="6" s="1"/>
  <c r="D542" i="6"/>
  <c r="C542" i="6" s="1"/>
  <c r="D543" i="6"/>
  <c r="C543" i="6" s="1"/>
  <c r="D544" i="6"/>
  <c r="C544" i="6" s="1"/>
  <c r="D545" i="6"/>
  <c r="C545" i="6" s="1"/>
  <c r="N545" i="6" s="1"/>
  <c r="M545" i="6" s="1"/>
  <c r="D546" i="6"/>
  <c r="C546" i="6" s="1"/>
  <c r="D547" i="6"/>
  <c r="C547" i="6" s="1"/>
  <c r="D548" i="6"/>
  <c r="C548" i="6" s="1"/>
  <c r="D549" i="6"/>
  <c r="C549" i="6" s="1"/>
  <c r="D550" i="6"/>
  <c r="C550" i="6" s="1"/>
  <c r="D551" i="6"/>
  <c r="C551" i="6" s="1"/>
  <c r="N552" i="6" s="1"/>
  <c r="M552" i="6" s="1"/>
  <c r="D552" i="6"/>
  <c r="C552" i="6" s="1"/>
  <c r="D553" i="6"/>
  <c r="C553" i="6" s="1"/>
  <c r="D554" i="6"/>
  <c r="C554" i="6" s="1"/>
  <c r="D555" i="6"/>
  <c r="C555" i="6" s="1"/>
  <c r="D556" i="6"/>
  <c r="C556" i="6" s="1"/>
  <c r="D557" i="6"/>
  <c r="C557" i="6" s="1"/>
  <c r="N558" i="6" s="1"/>
  <c r="M558" i="6" s="1"/>
  <c r="D558" i="6"/>
  <c r="C558" i="6" s="1"/>
  <c r="D559" i="6"/>
  <c r="C559" i="6" s="1"/>
  <c r="D560" i="6"/>
  <c r="C560" i="6" s="1"/>
  <c r="D561" i="6"/>
  <c r="C561" i="6" s="1"/>
  <c r="D562" i="6"/>
  <c r="C562" i="6" s="1"/>
  <c r="D563" i="6"/>
  <c r="C563" i="6" s="1"/>
  <c r="N564" i="6" s="1"/>
  <c r="M564" i="6" s="1"/>
  <c r="D564" i="6"/>
  <c r="C564" i="6" s="1"/>
  <c r="D565" i="6"/>
  <c r="C565" i="6" s="1"/>
  <c r="D566" i="6"/>
  <c r="C566" i="6" s="1"/>
  <c r="D567" i="6"/>
  <c r="C567" i="6" s="1"/>
  <c r="D568" i="6"/>
  <c r="C568" i="6" s="1"/>
  <c r="D569" i="6"/>
  <c r="C569" i="6" s="1"/>
  <c r="N570" i="6" s="1"/>
  <c r="M570" i="6" s="1"/>
  <c r="D570" i="6"/>
  <c r="C570" i="6" s="1"/>
  <c r="D571" i="6"/>
  <c r="C571" i="6" s="1"/>
  <c r="D572" i="6"/>
  <c r="C572" i="6" s="1"/>
  <c r="D573" i="6"/>
  <c r="C573" i="6" s="1"/>
  <c r="D574" i="6"/>
  <c r="C574" i="6" s="1"/>
  <c r="D575" i="6"/>
  <c r="C575" i="6" s="1"/>
  <c r="N576" i="6" s="1"/>
  <c r="M576" i="6" s="1"/>
  <c r="D576" i="6"/>
  <c r="C576" i="6" s="1"/>
  <c r="D577" i="6"/>
  <c r="C577" i="6" s="1"/>
  <c r="D578" i="6"/>
  <c r="C578" i="6" s="1"/>
  <c r="D579" i="6"/>
  <c r="C579" i="6" s="1"/>
  <c r="D580" i="6"/>
  <c r="C580" i="6" s="1"/>
  <c r="D581" i="6"/>
  <c r="C581" i="6" s="1"/>
  <c r="N582" i="6" s="1"/>
  <c r="M582" i="6" s="1"/>
  <c r="D582" i="6"/>
  <c r="C582" i="6" s="1"/>
  <c r="D583" i="6"/>
  <c r="C583" i="6" s="1"/>
  <c r="D584" i="6"/>
  <c r="C584" i="6" s="1"/>
  <c r="D585" i="6"/>
  <c r="C585" i="6" s="1"/>
  <c r="D586" i="6"/>
  <c r="C586" i="6" s="1"/>
  <c r="D587" i="6"/>
  <c r="C587" i="6" s="1"/>
  <c r="N588" i="6" s="1"/>
  <c r="M588" i="6" s="1"/>
  <c r="D588" i="6"/>
  <c r="C588" i="6" s="1"/>
  <c r="D589" i="6"/>
  <c r="C589" i="6" s="1"/>
  <c r="D590" i="6"/>
  <c r="C590" i="6" s="1"/>
  <c r="D591" i="6"/>
  <c r="C591" i="6" s="1"/>
  <c r="D592" i="6"/>
  <c r="C592" i="6" s="1"/>
  <c r="D593" i="6"/>
  <c r="C593" i="6" s="1"/>
  <c r="N594" i="6" s="1"/>
  <c r="M594" i="6" s="1"/>
  <c r="D594" i="6"/>
  <c r="C594" i="6" s="1"/>
  <c r="D595" i="6"/>
  <c r="C595" i="6" s="1"/>
  <c r="D596" i="6"/>
  <c r="C596" i="6" s="1"/>
  <c r="D597" i="6"/>
  <c r="C597" i="6" s="1"/>
  <c r="D598" i="6"/>
  <c r="C598" i="6" s="1"/>
  <c r="D599" i="6"/>
  <c r="C599" i="6" s="1"/>
  <c r="N601" i="6" s="1"/>
  <c r="M601" i="6" s="1"/>
  <c r="D600" i="6"/>
  <c r="C600" i="6" s="1"/>
  <c r="D601" i="6"/>
  <c r="C601" i="6" s="1"/>
  <c r="D602" i="6"/>
  <c r="C602" i="6" s="1"/>
  <c r="D603" i="6"/>
  <c r="C603" i="6" s="1"/>
  <c r="D604" i="6"/>
  <c r="C604" i="6" s="1"/>
  <c r="D605" i="6"/>
  <c r="C605" i="6" s="1"/>
  <c r="N607" i="6" s="1"/>
  <c r="M607" i="6" s="1"/>
  <c r="D606" i="6"/>
  <c r="C606" i="6" s="1"/>
  <c r="D607" i="6"/>
  <c r="C607" i="6" s="1"/>
  <c r="D608" i="6"/>
  <c r="C608" i="6" s="1"/>
  <c r="D609" i="6"/>
  <c r="C609" i="6" s="1"/>
  <c r="D610" i="6"/>
  <c r="C610" i="6" s="1"/>
  <c r="D611" i="6"/>
  <c r="C611" i="6" s="1"/>
  <c r="N613" i="6" s="1"/>
  <c r="M613" i="6" s="1"/>
  <c r="D612" i="6"/>
  <c r="C612" i="6" s="1"/>
  <c r="D613" i="6"/>
  <c r="C613" i="6" s="1"/>
  <c r="D614" i="6"/>
  <c r="C614" i="6" s="1"/>
  <c r="B614" i="6" s="1"/>
  <c r="D11" i="6"/>
  <c r="C11" i="6" s="1"/>
  <c r="N11" i="6" s="1"/>
  <c r="M11" i="6" s="1"/>
  <c r="D12" i="6"/>
  <c r="C12" i="6" s="1"/>
  <c r="N12" i="6" s="1"/>
  <c r="M12" i="6" s="1"/>
  <c r="D13" i="6"/>
  <c r="C13" i="6" s="1"/>
  <c r="N13" i="6" s="1"/>
  <c r="M13" i="6" s="1"/>
  <c r="D14" i="6"/>
  <c r="C14" i="6" s="1"/>
  <c r="N14" i="6" s="1"/>
  <c r="M14" i="6" s="1"/>
  <c r="D15" i="6"/>
  <c r="C15" i="6" s="1"/>
  <c r="N15" i="6" s="1"/>
  <c r="M15" i="6" s="1"/>
  <c r="D18" i="6"/>
  <c r="C18" i="6" s="1"/>
  <c r="N18" i="6" s="1"/>
  <c r="M18" i="6" s="1"/>
  <c r="D19" i="6"/>
  <c r="C19" i="6" s="1"/>
  <c r="N19" i="6" s="1"/>
  <c r="M19" i="6" s="1"/>
  <c r="D20" i="6"/>
  <c r="C20" i="6" s="1"/>
  <c r="N20" i="6" s="1"/>
  <c r="M20" i="6" s="1"/>
  <c r="D21" i="6"/>
  <c r="C21" i="6" s="1"/>
  <c r="N21" i="6" s="1"/>
  <c r="M21" i="6" s="1"/>
  <c r="D22" i="6"/>
  <c r="C22" i="6" s="1"/>
  <c r="N22" i="6" s="1"/>
  <c r="M22" i="6" s="1"/>
  <c r="D23" i="6"/>
  <c r="C23" i="6" s="1"/>
  <c r="N23" i="6" s="1"/>
  <c r="M23" i="6" s="1"/>
  <c r="D24" i="6"/>
  <c r="C24" i="6" s="1"/>
  <c r="N24" i="6" s="1"/>
  <c r="M24" i="6" s="1"/>
  <c r="D25" i="6"/>
  <c r="C25" i="6" s="1"/>
  <c r="N25" i="6" s="1"/>
  <c r="M25" i="6" s="1"/>
  <c r="D26" i="6"/>
  <c r="C26" i="6" s="1"/>
  <c r="N26" i="6" s="1"/>
  <c r="M26" i="6" s="1"/>
  <c r="D27" i="6"/>
  <c r="C27" i="6" s="1"/>
  <c r="N27" i="6" s="1"/>
  <c r="M27" i="6" s="1"/>
  <c r="D28" i="6"/>
  <c r="C28" i="6" s="1"/>
  <c r="N28" i="6" s="1"/>
  <c r="M28" i="6" s="1"/>
  <c r="D29" i="6"/>
  <c r="C29" i="6" s="1"/>
  <c r="N29" i="6" s="1"/>
  <c r="M29" i="6" s="1"/>
  <c r="D30" i="6"/>
  <c r="C30" i="6" s="1"/>
  <c r="N30" i="6" s="1"/>
  <c r="M30" i="6" s="1"/>
  <c r="D31" i="6"/>
  <c r="C31" i="6" s="1"/>
  <c r="N31" i="6" s="1"/>
  <c r="M31" i="6" s="1"/>
  <c r="D32" i="6"/>
  <c r="C32" i="6" s="1"/>
  <c r="N32" i="6" s="1"/>
  <c r="M32" i="6" s="1"/>
  <c r="D33" i="6"/>
  <c r="C33" i="6" s="1"/>
  <c r="N33" i="6" s="1"/>
  <c r="M33" i="6" s="1"/>
  <c r="D34" i="6"/>
  <c r="C34" i="6" s="1"/>
  <c r="N34" i="6" s="1"/>
  <c r="M34" i="6" s="1"/>
  <c r="D35" i="6"/>
  <c r="C35" i="6" s="1"/>
  <c r="N35" i="6" s="1"/>
  <c r="M35" i="6" s="1"/>
  <c r="D36" i="6"/>
  <c r="C36" i="6" s="1"/>
  <c r="N36" i="6" s="1"/>
  <c r="M36" i="6" s="1"/>
  <c r="D37" i="6"/>
  <c r="C37" i="6" s="1"/>
  <c r="N37" i="6" s="1"/>
  <c r="M37" i="6" s="1"/>
  <c r="D38" i="6"/>
  <c r="C38" i="6" s="1"/>
  <c r="N38" i="6" s="1"/>
  <c r="M38" i="6" s="1"/>
  <c r="D39" i="6"/>
  <c r="C39" i="6" s="1"/>
  <c r="N39" i="6" s="1"/>
  <c r="M39" i="6" s="1"/>
  <c r="D40" i="6"/>
  <c r="C40" i="6" s="1"/>
  <c r="N40" i="6" s="1"/>
  <c r="M40" i="6" s="1"/>
  <c r="D41" i="6"/>
  <c r="C41" i="6" s="1"/>
  <c r="N41" i="6" s="1"/>
  <c r="M41" i="6" s="1"/>
  <c r="D42" i="6"/>
  <c r="C42" i="6" s="1"/>
  <c r="N42" i="6" s="1"/>
  <c r="M42" i="6" s="1"/>
  <c r="D43" i="6"/>
  <c r="C43" i="6" s="1"/>
  <c r="N43" i="6" s="1"/>
  <c r="M43" i="6" s="1"/>
  <c r="D44" i="6"/>
  <c r="C44" i="6" s="1"/>
  <c r="N44" i="6" s="1"/>
  <c r="M44" i="6" s="1"/>
  <c r="D45" i="6"/>
  <c r="C45" i="6" s="1"/>
  <c r="N45" i="6" s="1"/>
  <c r="M45" i="6" s="1"/>
  <c r="D46" i="6"/>
  <c r="C46" i="6" s="1"/>
  <c r="N46" i="6" s="1"/>
  <c r="M46" i="6" s="1"/>
  <c r="D47" i="6"/>
  <c r="C47" i="6" s="1"/>
  <c r="N47" i="6" s="1"/>
  <c r="M47" i="6" s="1"/>
  <c r="D48" i="6"/>
  <c r="C48" i="6" s="1"/>
  <c r="N48" i="6" s="1"/>
  <c r="M48" i="6" s="1"/>
  <c r="D49" i="6"/>
  <c r="C49" i="6" s="1"/>
  <c r="N49" i="6" s="1"/>
  <c r="M49" i="6" s="1"/>
  <c r="D50" i="6"/>
  <c r="C50" i="6" s="1"/>
  <c r="N50" i="6" s="1"/>
  <c r="M50" i="6" s="1"/>
  <c r="D51" i="6"/>
  <c r="C51" i="6" s="1"/>
  <c r="N51" i="6" s="1"/>
  <c r="M51" i="6" s="1"/>
  <c r="D52" i="6"/>
  <c r="C52" i="6" s="1"/>
  <c r="D53" i="6"/>
  <c r="C53" i="6" s="1"/>
  <c r="D54" i="6"/>
  <c r="C54" i="6" s="1"/>
  <c r="N54" i="6" s="1"/>
  <c r="M54" i="6" s="1"/>
  <c r="D55" i="6"/>
  <c r="C55" i="6" s="1"/>
  <c r="N55" i="6" s="1"/>
  <c r="M55" i="6" s="1"/>
  <c r="D56" i="6"/>
  <c r="C56" i="6" s="1"/>
  <c r="N56" i="6" s="1"/>
  <c r="M56" i="6" s="1"/>
  <c r="D57" i="6"/>
  <c r="C57" i="6" s="1"/>
  <c r="N57" i="6" s="1"/>
  <c r="M57" i="6" s="1"/>
  <c r="D58" i="6"/>
  <c r="C58" i="6" s="1"/>
  <c r="D59" i="6"/>
  <c r="C59" i="6" s="1"/>
  <c r="D60" i="6"/>
  <c r="C60" i="6" s="1"/>
  <c r="N60" i="6" s="1"/>
  <c r="M60" i="6" s="1"/>
  <c r="D61" i="6"/>
  <c r="C61" i="6" s="1"/>
  <c r="N61" i="6" s="1"/>
  <c r="M61" i="6" s="1"/>
  <c r="D62" i="6"/>
  <c r="C62" i="6" s="1"/>
  <c r="N62" i="6" s="1"/>
  <c r="M62" i="6" s="1"/>
  <c r="D63" i="6"/>
  <c r="C63" i="6" s="1"/>
  <c r="N63" i="6" s="1"/>
  <c r="M63" i="6" s="1"/>
  <c r="D64" i="6"/>
  <c r="C64" i="6" s="1"/>
  <c r="D65" i="6"/>
  <c r="C65" i="6" s="1"/>
  <c r="D66" i="6"/>
  <c r="C66" i="6" s="1"/>
  <c r="N66" i="6" s="1"/>
  <c r="M66" i="6" s="1"/>
  <c r="D67" i="6"/>
  <c r="C67" i="6" s="1"/>
  <c r="N67" i="6" s="1"/>
  <c r="M67" i="6" s="1"/>
  <c r="D68" i="6"/>
  <c r="C68" i="6" s="1"/>
  <c r="N68" i="6" s="1"/>
  <c r="M68" i="6" s="1"/>
  <c r="D69" i="6"/>
  <c r="C69" i="6" s="1"/>
  <c r="N69" i="6" s="1"/>
  <c r="M69" i="6" s="1"/>
  <c r="D70" i="6"/>
  <c r="C70" i="6" s="1"/>
  <c r="D71" i="6"/>
  <c r="C71" i="6" s="1"/>
  <c r="D72" i="6"/>
  <c r="C72" i="6" s="1"/>
  <c r="N72" i="6" s="1"/>
  <c r="M72" i="6" s="1"/>
  <c r="D73" i="6"/>
  <c r="C73" i="6" s="1"/>
  <c r="N73" i="6" s="1"/>
  <c r="M73" i="6" s="1"/>
  <c r="D74" i="6"/>
  <c r="C74" i="6" s="1"/>
  <c r="N74" i="6" s="1"/>
  <c r="M74" i="6" s="1"/>
  <c r="D75" i="6"/>
  <c r="C75" i="6" s="1"/>
  <c r="N75" i="6" s="1"/>
  <c r="M75" i="6" s="1"/>
  <c r="D76" i="6"/>
  <c r="C76" i="6" s="1"/>
  <c r="D77" i="6"/>
  <c r="C77" i="6" s="1"/>
  <c r="D78" i="6"/>
  <c r="C78" i="6" s="1"/>
  <c r="N78" i="6" s="1"/>
  <c r="M78" i="6" s="1"/>
  <c r="D79" i="6"/>
  <c r="C79" i="6" s="1"/>
  <c r="N79" i="6" s="1"/>
  <c r="M79" i="6" s="1"/>
  <c r="D80" i="6"/>
  <c r="C80" i="6" s="1"/>
  <c r="N80" i="6" s="1"/>
  <c r="M80" i="6" s="1"/>
  <c r="D81" i="6"/>
  <c r="C81" i="6" s="1"/>
  <c r="N81" i="6" s="1"/>
  <c r="M81" i="6" s="1"/>
  <c r="D82" i="6"/>
  <c r="C82" i="6" s="1"/>
  <c r="D83" i="6"/>
  <c r="C83" i="6" s="1"/>
  <c r="D84" i="6"/>
  <c r="C84" i="6" s="1"/>
  <c r="N84" i="6" s="1"/>
  <c r="M84" i="6" s="1"/>
  <c r="D85" i="6"/>
  <c r="C85" i="6" s="1"/>
  <c r="N85" i="6" s="1"/>
  <c r="M85" i="6" s="1"/>
  <c r="D86" i="6"/>
  <c r="C86" i="6" s="1"/>
  <c r="N86" i="6" s="1"/>
  <c r="M86" i="6" s="1"/>
  <c r="D87" i="6"/>
  <c r="C87" i="6" s="1"/>
  <c r="N87" i="6" s="1"/>
  <c r="M87" i="6" s="1"/>
  <c r="D88" i="6"/>
  <c r="C88" i="6" s="1"/>
  <c r="D89" i="6"/>
  <c r="C89" i="6" s="1"/>
  <c r="D90" i="6"/>
  <c r="C90" i="6" s="1"/>
  <c r="N90" i="6" s="1"/>
  <c r="M90" i="6" s="1"/>
  <c r="D91" i="6"/>
  <c r="C91" i="6" s="1"/>
  <c r="N91" i="6" s="1"/>
  <c r="M91" i="6" s="1"/>
  <c r="D92" i="6"/>
  <c r="C92" i="6" s="1"/>
  <c r="N92" i="6" s="1"/>
  <c r="M92" i="6" s="1"/>
  <c r="D93" i="6"/>
  <c r="C93" i="6" s="1"/>
  <c r="N93" i="6" s="1"/>
  <c r="M93" i="6" s="1"/>
  <c r="D94" i="6"/>
  <c r="C94" i="6" s="1"/>
  <c r="D95" i="6"/>
  <c r="C95" i="6" s="1"/>
  <c r="D96" i="6"/>
  <c r="C96" i="6" s="1"/>
  <c r="N96" i="6" s="1"/>
  <c r="M96" i="6" s="1"/>
  <c r="D97" i="6"/>
  <c r="C97" i="6" s="1"/>
  <c r="N97" i="6" s="1"/>
  <c r="M97" i="6" s="1"/>
  <c r="D98" i="6"/>
  <c r="C98" i="6" s="1"/>
  <c r="N98" i="6" s="1"/>
  <c r="M98" i="6" s="1"/>
  <c r="D99" i="6"/>
  <c r="C99" i="6" s="1"/>
  <c r="N99" i="6" s="1"/>
  <c r="M99" i="6" s="1"/>
  <c r="D100" i="6"/>
  <c r="C100" i="6" s="1"/>
  <c r="D101" i="6"/>
  <c r="C101" i="6" s="1"/>
  <c r="D102" i="6"/>
  <c r="C102" i="6" s="1"/>
  <c r="N102" i="6" s="1"/>
  <c r="M102" i="6" s="1"/>
  <c r="D103" i="6"/>
  <c r="C103" i="6" s="1"/>
  <c r="N103" i="6" s="1"/>
  <c r="M103" i="6" s="1"/>
  <c r="D104" i="6"/>
  <c r="C104" i="6" s="1"/>
  <c r="N104" i="6" s="1"/>
  <c r="M104" i="6" s="1"/>
  <c r="D105" i="6"/>
  <c r="C105" i="6" s="1"/>
  <c r="N105" i="6" s="1"/>
  <c r="M105" i="6" s="1"/>
  <c r="D106" i="6"/>
  <c r="C106" i="6" s="1"/>
  <c r="D107" i="6"/>
  <c r="C107" i="6" s="1"/>
  <c r="D108" i="6"/>
  <c r="C108" i="6" s="1"/>
  <c r="N108" i="6" s="1"/>
  <c r="M108" i="6" s="1"/>
  <c r="D109" i="6"/>
  <c r="C109" i="6" s="1"/>
  <c r="N109" i="6" s="1"/>
  <c r="M109" i="6" s="1"/>
  <c r="D110" i="6"/>
  <c r="C110" i="6" s="1"/>
  <c r="N110" i="6" s="1"/>
  <c r="M110" i="6" s="1"/>
  <c r="D111" i="6"/>
  <c r="C111" i="6" s="1"/>
  <c r="N111" i="6" s="1"/>
  <c r="M111" i="6" s="1"/>
  <c r="D112" i="6"/>
  <c r="C112" i="6" s="1"/>
  <c r="D113" i="6"/>
  <c r="C113" i="6" s="1"/>
  <c r="D114" i="6"/>
  <c r="C114" i="6" s="1"/>
  <c r="N114" i="6" s="1"/>
  <c r="M114" i="6" s="1"/>
  <c r="D115" i="6"/>
  <c r="C115" i="6" s="1"/>
  <c r="N115" i="6" s="1"/>
  <c r="M115" i="6" s="1"/>
  <c r="D116" i="6"/>
  <c r="C116" i="6" s="1"/>
  <c r="N116" i="6" s="1"/>
  <c r="M116" i="6" s="1"/>
  <c r="D117" i="6"/>
  <c r="C117" i="6" s="1"/>
  <c r="N117" i="6" s="1"/>
  <c r="M117" i="6" s="1"/>
  <c r="D118" i="6"/>
  <c r="C118" i="6" s="1"/>
  <c r="D119" i="6"/>
  <c r="C119" i="6" s="1"/>
  <c r="D120" i="6"/>
  <c r="C120" i="6" s="1"/>
  <c r="N120" i="6" s="1"/>
  <c r="M120" i="6" s="1"/>
  <c r="D121" i="6"/>
  <c r="C121" i="6" s="1"/>
  <c r="N121" i="6" s="1"/>
  <c r="M121" i="6" s="1"/>
  <c r="D122" i="6"/>
  <c r="C122" i="6" s="1"/>
  <c r="N122" i="6" s="1"/>
  <c r="M122" i="6" s="1"/>
  <c r="D123" i="6"/>
  <c r="C123" i="6" s="1"/>
  <c r="N123" i="6" s="1"/>
  <c r="M123" i="6" s="1"/>
  <c r="D124" i="6"/>
  <c r="C124" i="6" s="1"/>
  <c r="D125" i="6"/>
  <c r="C125" i="6" s="1"/>
  <c r="N125" i="6" s="1"/>
  <c r="M125" i="6" s="1"/>
  <c r="D126" i="6"/>
  <c r="C126" i="6" s="1"/>
  <c r="N126" i="6" s="1"/>
  <c r="M126" i="6" s="1"/>
  <c r="D127" i="6"/>
  <c r="C127" i="6" s="1"/>
  <c r="N127" i="6" s="1"/>
  <c r="M127" i="6" s="1"/>
  <c r="D128" i="6"/>
  <c r="C128" i="6" s="1"/>
  <c r="N128" i="6" s="1"/>
  <c r="M128" i="6" s="1"/>
  <c r="D129" i="6"/>
  <c r="C129" i="6" s="1"/>
  <c r="N129" i="6" s="1"/>
  <c r="M129" i="6" s="1"/>
  <c r="D130" i="6"/>
  <c r="C130" i="6" s="1"/>
  <c r="D131" i="6"/>
  <c r="C131" i="6" s="1"/>
  <c r="N131" i="6" s="1"/>
  <c r="M131" i="6" s="1"/>
  <c r="D132" i="6"/>
  <c r="C132" i="6" s="1"/>
  <c r="N132" i="6" s="1"/>
  <c r="M132" i="6" s="1"/>
  <c r="D133" i="6"/>
  <c r="C133" i="6" s="1"/>
  <c r="N133" i="6" s="1"/>
  <c r="M133" i="6" s="1"/>
  <c r="D134" i="6"/>
  <c r="C134" i="6" s="1"/>
  <c r="N134" i="6" s="1"/>
  <c r="M134" i="6" s="1"/>
  <c r="D135" i="6"/>
  <c r="C135" i="6" s="1"/>
  <c r="N135" i="6" s="1"/>
  <c r="M135" i="6" s="1"/>
  <c r="D136" i="6"/>
  <c r="C136" i="6" s="1"/>
  <c r="D137" i="6"/>
  <c r="C137" i="6" s="1"/>
  <c r="N137" i="6" s="1"/>
  <c r="M137" i="6" s="1"/>
  <c r="D138" i="6"/>
  <c r="C138" i="6" s="1"/>
  <c r="N138" i="6" s="1"/>
  <c r="M138" i="6" s="1"/>
  <c r="D139" i="6"/>
  <c r="C139" i="6" s="1"/>
  <c r="N139" i="6" s="1"/>
  <c r="M139" i="6" s="1"/>
  <c r="D140" i="6"/>
  <c r="C140" i="6" s="1"/>
  <c r="N140" i="6" s="1"/>
  <c r="M140" i="6" s="1"/>
  <c r="D141" i="6"/>
  <c r="C141" i="6" s="1"/>
  <c r="N141" i="6" s="1"/>
  <c r="M141" i="6" s="1"/>
  <c r="D142" i="6"/>
  <c r="C142" i="6" s="1"/>
  <c r="D143" i="6"/>
  <c r="C143" i="6" s="1"/>
  <c r="N143" i="6" s="1"/>
  <c r="M143" i="6" s="1"/>
  <c r="D144" i="6"/>
  <c r="C144" i="6" s="1"/>
  <c r="N144" i="6" s="1"/>
  <c r="M144" i="6" s="1"/>
  <c r="D145" i="6"/>
  <c r="C145" i="6" s="1"/>
  <c r="N145" i="6" s="1"/>
  <c r="M145" i="6" s="1"/>
  <c r="D146" i="6"/>
  <c r="C146" i="6" s="1"/>
  <c r="N146" i="6" s="1"/>
  <c r="M146" i="6" s="1"/>
  <c r="D147" i="6"/>
  <c r="C147" i="6" s="1"/>
  <c r="N147" i="6" s="1"/>
  <c r="M147" i="6" s="1"/>
  <c r="D148" i="6"/>
  <c r="C148" i="6" s="1"/>
  <c r="D149" i="6"/>
  <c r="C149" i="6" s="1"/>
  <c r="N149" i="6" s="1"/>
  <c r="M149" i="6" s="1"/>
  <c r="D150" i="6"/>
  <c r="C150" i="6" s="1"/>
  <c r="N150" i="6" s="1"/>
  <c r="M150" i="6" s="1"/>
  <c r="D151" i="6"/>
  <c r="C151" i="6" s="1"/>
  <c r="N151" i="6" s="1"/>
  <c r="M151" i="6" s="1"/>
  <c r="D152" i="6"/>
  <c r="C152" i="6" s="1"/>
  <c r="N152" i="6" s="1"/>
  <c r="M152" i="6" s="1"/>
  <c r="D153" i="6"/>
  <c r="C153" i="6" s="1"/>
  <c r="N153" i="6" s="1"/>
  <c r="M153" i="6" s="1"/>
  <c r="D154" i="6"/>
  <c r="C154" i="6" s="1"/>
  <c r="N154" i="6" s="1"/>
  <c r="M154" i="6" s="1"/>
  <c r="D155" i="6"/>
  <c r="C155" i="6" s="1"/>
  <c r="N155" i="6" s="1"/>
  <c r="M155" i="6" s="1"/>
  <c r="D156" i="6"/>
  <c r="C156" i="6" s="1"/>
  <c r="N156" i="6" s="1"/>
  <c r="M156" i="6" s="1"/>
  <c r="D157" i="6"/>
  <c r="C157" i="6" s="1"/>
  <c r="N157" i="6" s="1"/>
  <c r="M157" i="6" s="1"/>
  <c r="D158" i="6"/>
  <c r="C158" i="6" s="1"/>
  <c r="N158" i="6" s="1"/>
  <c r="M158" i="6" s="1"/>
  <c r="D159" i="6"/>
  <c r="C159" i="6" s="1"/>
  <c r="N159" i="6" s="1"/>
  <c r="M159" i="6" s="1"/>
  <c r="D160" i="6"/>
  <c r="C160" i="6" s="1"/>
  <c r="N160" i="6" s="1"/>
  <c r="M160" i="6" s="1"/>
  <c r="D161" i="6"/>
  <c r="C161" i="6" s="1"/>
  <c r="N161" i="6" s="1"/>
  <c r="M161" i="6" s="1"/>
  <c r="D162" i="6"/>
  <c r="C162" i="6" s="1"/>
  <c r="N162" i="6" s="1"/>
  <c r="M162" i="6" s="1"/>
  <c r="D163" i="6"/>
  <c r="C163" i="6" s="1"/>
  <c r="N163" i="6" s="1"/>
  <c r="M163" i="6" s="1"/>
  <c r="D164" i="6"/>
  <c r="C164" i="6" s="1"/>
  <c r="N164" i="6" s="1"/>
  <c r="M164" i="6" s="1"/>
  <c r="D165" i="6"/>
  <c r="C165" i="6" s="1"/>
  <c r="N165" i="6" s="1"/>
  <c r="M165" i="6" s="1"/>
  <c r="D166" i="6"/>
  <c r="C166" i="6" s="1"/>
  <c r="N166" i="6" s="1"/>
  <c r="M166" i="6" s="1"/>
  <c r="D167" i="6"/>
  <c r="C167" i="6" s="1"/>
  <c r="N167" i="6" s="1"/>
  <c r="M167" i="6" s="1"/>
  <c r="D168" i="6"/>
  <c r="C168" i="6" s="1"/>
  <c r="N168" i="6" s="1"/>
  <c r="M168" i="6" s="1"/>
  <c r="D169" i="6"/>
  <c r="C169" i="6" s="1"/>
  <c r="N169" i="6" s="1"/>
  <c r="M169" i="6" s="1"/>
  <c r="D170" i="6"/>
  <c r="C170" i="6" s="1"/>
  <c r="N170" i="6" s="1"/>
  <c r="M170" i="6" s="1"/>
  <c r="D171" i="6"/>
  <c r="C171" i="6" s="1"/>
  <c r="N171" i="6" s="1"/>
  <c r="M171" i="6" s="1"/>
  <c r="D172" i="6"/>
  <c r="C172" i="6" s="1"/>
  <c r="N172" i="6" s="1"/>
  <c r="M172" i="6" s="1"/>
  <c r="D173" i="6"/>
  <c r="C173" i="6" s="1"/>
  <c r="N173" i="6" s="1"/>
  <c r="M173" i="6" s="1"/>
  <c r="D174" i="6"/>
  <c r="C174" i="6" s="1"/>
  <c r="N174" i="6" s="1"/>
  <c r="M174" i="6" s="1"/>
  <c r="D175" i="6"/>
  <c r="C175" i="6" s="1"/>
  <c r="N175" i="6" s="1"/>
  <c r="M175" i="6" s="1"/>
  <c r="D176" i="6"/>
  <c r="C176" i="6" s="1"/>
  <c r="N176" i="6" s="1"/>
  <c r="M176" i="6" s="1"/>
  <c r="D177" i="6"/>
  <c r="C177" i="6" s="1"/>
  <c r="N177" i="6" s="1"/>
  <c r="M177" i="6" s="1"/>
  <c r="D178" i="6"/>
  <c r="C178" i="6" s="1"/>
  <c r="N178" i="6" s="1"/>
  <c r="M178" i="6" s="1"/>
  <c r="D179" i="6"/>
  <c r="C179" i="6" s="1"/>
  <c r="N179" i="6" s="1"/>
  <c r="M179" i="6" s="1"/>
  <c r="D180" i="6"/>
  <c r="C180" i="6" s="1"/>
  <c r="N180" i="6" s="1"/>
  <c r="M180" i="6" s="1"/>
  <c r="D181" i="6"/>
  <c r="C181" i="6" s="1"/>
  <c r="N181" i="6" s="1"/>
  <c r="M181" i="6" s="1"/>
  <c r="D182" i="6"/>
  <c r="C182" i="6" s="1"/>
  <c r="N182" i="6" s="1"/>
  <c r="M182" i="6" s="1"/>
  <c r="D183" i="6"/>
  <c r="C183" i="6" s="1"/>
  <c r="N183" i="6" s="1"/>
  <c r="M183" i="6" s="1"/>
  <c r="D184" i="6"/>
  <c r="C184" i="6" s="1"/>
  <c r="N184" i="6" s="1"/>
  <c r="M184" i="6" s="1"/>
  <c r="D185" i="6"/>
  <c r="C185" i="6" s="1"/>
  <c r="N185" i="6" s="1"/>
  <c r="M185" i="6" s="1"/>
  <c r="D186" i="6"/>
  <c r="C186" i="6" s="1"/>
  <c r="N186" i="6" s="1"/>
  <c r="M186" i="6" s="1"/>
  <c r="D187" i="6"/>
  <c r="C187" i="6" s="1"/>
  <c r="N187" i="6" s="1"/>
  <c r="M187" i="6" s="1"/>
  <c r="D188" i="6"/>
  <c r="C188" i="6" s="1"/>
  <c r="N188" i="6" s="1"/>
  <c r="M188" i="6" s="1"/>
  <c r="D189" i="6"/>
  <c r="C189" i="6" s="1"/>
  <c r="N189" i="6" s="1"/>
  <c r="M189" i="6" s="1"/>
  <c r="D190" i="6"/>
  <c r="C190" i="6" s="1"/>
  <c r="N190" i="6" s="1"/>
  <c r="M190" i="6" s="1"/>
  <c r="D191" i="6"/>
  <c r="C191" i="6" s="1"/>
  <c r="N191" i="6" s="1"/>
  <c r="M191" i="6" s="1"/>
  <c r="D192" i="6"/>
  <c r="C192" i="6" s="1"/>
  <c r="N192" i="6" s="1"/>
  <c r="M192" i="6" s="1"/>
  <c r="D193" i="6"/>
  <c r="C193" i="6" s="1"/>
  <c r="N193" i="6" s="1"/>
  <c r="M193" i="6" s="1"/>
  <c r="D194" i="6"/>
  <c r="C194" i="6" s="1"/>
  <c r="N194" i="6" s="1"/>
  <c r="M194" i="6" s="1"/>
  <c r="D195" i="6"/>
  <c r="C195" i="6" s="1"/>
  <c r="N195" i="6" s="1"/>
  <c r="M195" i="6" s="1"/>
  <c r="D196" i="6"/>
  <c r="C196" i="6" s="1"/>
  <c r="N196" i="6" s="1"/>
  <c r="M196" i="6" s="1"/>
  <c r="D197" i="6"/>
  <c r="C197" i="6" s="1"/>
  <c r="N197" i="6" s="1"/>
  <c r="M197" i="6" s="1"/>
  <c r="D198" i="6"/>
  <c r="C198" i="6" s="1"/>
  <c r="N198" i="6" s="1"/>
  <c r="M198" i="6" s="1"/>
  <c r="D199" i="6"/>
  <c r="C199" i="6" s="1"/>
  <c r="N199" i="6" s="1"/>
  <c r="M199" i="6" s="1"/>
  <c r="D200" i="6"/>
  <c r="C200" i="6" s="1"/>
  <c r="N200" i="6" s="1"/>
  <c r="M200" i="6" s="1"/>
  <c r="D201" i="6"/>
  <c r="C201" i="6" s="1"/>
  <c r="N201" i="6" s="1"/>
  <c r="M201" i="6" s="1"/>
  <c r="D202" i="6"/>
  <c r="C202" i="6" s="1"/>
  <c r="N202" i="6" s="1"/>
  <c r="M202" i="6" s="1"/>
  <c r="D203" i="6"/>
  <c r="C203" i="6" s="1"/>
  <c r="N203" i="6" s="1"/>
  <c r="M203" i="6" s="1"/>
  <c r="D204" i="6"/>
  <c r="C204" i="6" s="1"/>
  <c r="N204" i="6" s="1"/>
  <c r="M204" i="6" s="1"/>
  <c r="D205" i="6"/>
  <c r="C205" i="6" s="1"/>
  <c r="N205" i="6" s="1"/>
  <c r="M205" i="6" s="1"/>
  <c r="D206" i="6"/>
  <c r="C206" i="6" s="1"/>
  <c r="N206" i="6" s="1"/>
  <c r="M206" i="6" s="1"/>
  <c r="D207" i="6"/>
  <c r="C207" i="6" s="1"/>
  <c r="D208" i="6"/>
  <c r="C208" i="6" s="1"/>
  <c r="D209" i="6"/>
  <c r="C209" i="6" s="1"/>
  <c r="D210" i="6"/>
  <c r="C210" i="6" s="1"/>
  <c r="D211" i="6"/>
  <c r="C211" i="6" s="1"/>
  <c r="N211" i="6" s="1"/>
  <c r="M211" i="6" s="1"/>
  <c r="D212" i="6"/>
  <c r="C212" i="6" s="1"/>
  <c r="N212" i="6" s="1"/>
  <c r="M212" i="6" s="1"/>
  <c r="D213" i="6"/>
  <c r="C213" i="6" s="1"/>
  <c r="D214" i="6"/>
  <c r="C214" i="6" s="1"/>
  <c r="D215" i="6"/>
  <c r="C215" i="6" s="1"/>
  <c r="D216" i="6"/>
  <c r="C216" i="6" s="1"/>
  <c r="D217" i="6"/>
  <c r="C217" i="6" s="1"/>
  <c r="N217" i="6" s="1"/>
  <c r="M217" i="6" s="1"/>
  <c r="D218" i="6"/>
  <c r="C218" i="6" s="1"/>
  <c r="N218" i="6" s="1"/>
  <c r="M218" i="6" s="1"/>
  <c r="D219" i="6"/>
  <c r="C219" i="6" s="1"/>
  <c r="D220" i="6"/>
  <c r="C220" i="6" s="1"/>
  <c r="D221" i="6"/>
  <c r="C221" i="6" s="1"/>
  <c r="D222" i="6"/>
  <c r="C222" i="6" s="1"/>
  <c r="D223" i="6"/>
  <c r="C223" i="6" s="1"/>
  <c r="N223" i="6" s="1"/>
  <c r="M223" i="6" s="1"/>
  <c r="D224" i="6"/>
  <c r="C224" i="6" s="1"/>
  <c r="N224" i="6" s="1"/>
  <c r="M224" i="6" s="1"/>
  <c r="D225" i="6"/>
  <c r="C225" i="6" s="1"/>
  <c r="D226" i="6"/>
  <c r="C226" i="6" s="1"/>
  <c r="D227" i="6"/>
  <c r="C227" i="6" s="1"/>
  <c r="D228" i="6"/>
  <c r="C228" i="6" s="1"/>
  <c r="D229" i="6"/>
  <c r="C229" i="6" s="1"/>
  <c r="N229" i="6" s="1"/>
  <c r="M229" i="6" s="1"/>
  <c r="D230" i="6"/>
  <c r="C230" i="6" s="1"/>
  <c r="N230" i="6" s="1"/>
  <c r="M230" i="6" s="1"/>
  <c r="D231" i="6"/>
  <c r="C231" i="6" s="1"/>
  <c r="D233" i="6"/>
  <c r="C233" i="6" s="1"/>
  <c r="D234" i="6"/>
  <c r="C234" i="6" s="1"/>
  <c r="D235" i="6"/>
  <c r="C235" i="6" s="1"/>
  <c r="D236" i="6"/>
  <c r="C236" i="6" s="1"/>
  <c r="N236" i="6" s="1"/>
  <c r="M236" i="6" s="1"/>
  <c r="D237" i="6"/>
  <c r="C237" i="6" s="1"/>
  <c r="N237" i="6" s="1"/>
  <c r="M237" i="6" s="1"/>
  <c r="D238" i="6"/>
  <c r="C238" i="6" s="1"/>
  <c r="D239" i="6"/>
  <c r="C239" i="6" s="1"/>
  <c r="D240" i="6"/>
  <c r="C240" i="6" s="1"/>
  <c r="D241" i="6"/>
  <c r="C241" i="6" s="1"/>
  <c r="D242" i="6"/>
  <c r="C242" i="6" s="1"/>
  <c r="N242" i="6" s="1"/>
  <c r="M242" i="6" s="1"/>
  <c r="D243" i="6"/>
  <c r="C243" i="6" s="1"/>
  <c r="N243" i="6" s="1"/>
  <c r="M243" i="6" s="1"/>
  <c r="D244" i="6"/>
  <c r="C244" i="6" s="1"/>
  <c r="D245" i="6"/>
  <c r="C245" i="6" s="1"/>
  <c r="D246" i="6"/>
  <c r="C246" i="6" s="1"/>
  <c r="D247" i="6"/>
  <c r="C247" i="6" s="1"/>
  <c r="D248" i="6"/>
  <c r="C248" i="6" s="1"/>
  <c r="N248" i="6" s="1"/>
  <c r="M248" i="6" s="1"/>
  <c r="D249" i="6"/>
  <c r="C249" i="6" s="1"/>
  <c r="N249" i="6" s="1"/>
  <c r="M249" i="6" s="1"/>
  <c r="D250" i="6"/>
  <c r="C250" i="6" s="1"/>
  <c r="D251" i="6"/>
  <c r="C251" i="6" s="1"/>
  <c r="D252" i="6"/>
  <c r="C252" i="6" s="1"/>
  <c r="D253" i="6"/>
  <c r="C253" i="6" s="1"/>
  <c r="D254" i="6"/>
  <c r="C254" i="6" s="1"/>
  <c r="N254" i="6" s="1"/>
  <c r="M254" i="6" s="1"/>
  <c r="D255" i="6"/>
  <c r="C255" i="6" s="1"/>
  <c r="N255" i="6" s="1"/>
  <c r="M255" i="6" s="1"/>
  <c r="D256" i="6"/>
  <c r="C256" i="6" s="1"/>
  <c r="D257" i="6"/>
  <c r="C257" i="6" s="1"/>
  <c r="D258" i="6"/>
  <c r="C258" i="6" s="1"/>
  <c r="D259" i="6"/>
  <c r="C259" i="6" s="1"/>
  <c r="D260" i="6"/>
  <c r="C260" i="6" s="1"/>
  <c r="N260" i="6" s="1"/>
  <c r="M260" i="6" s="1"/>
  <c r="D261" i="6"/>
  <c r="C261" i="6" s="1"/>
  <c r="N261" i="6" s="1"/>
  <c r="M261" i="6" s="1"/>
  <c r="D262" i="6"/>
  <c r="C262" i="6" s="1"/>
  <c r="D263" i="6"/>
  <c r="C263" i="6" s="1"/>
  <c r="D264" i="6"/>
  <c r="C264" i="6" s="1"/>
  <c r="D265" i="6"/>
  <c r="C265" i="6" s="1"/>
  <c r="D266" i="6"/>
  <c r="C266" i="6" s="1"/>
  <c r="N266" i="6" s="1"/>
  <c r="M266" i="6" s="1"/>
  <c r="D267" i="6"/>
  <c r="C267" i="6" s="1"/>
  <c r="N267" i="6" s="1"/>
  <c r="M267" i="6" s="1"/>
  <c r="D268" i="6"/>
  <c r="C268" i="6" s="1"/>
  <c r="D269" i="6"/>
  <c r="C269" i="6" s="1"/>
  <c r="D270" i="6"/>
  <c r="C270" i="6" s="1"/>
  <c r="D271" i="6"/>
  <c r="C271" i="6" s="1"/>
  <c r="D272" i="6"/>
  <c r="C272" i="6" s="1"/>
  <c r="N272" i="6" s="1"/>
  <c r="M272" i="6" s="1"/>
  <c r="D273" i="6"/>
  <c r="C273" i="6" s="1"/>
  <c r="N273" i="6" s="1"/>
  <c r="M273" i="6" s="1"/>
  <c r="D274" i="6"/>
  <c r="C274" i="6" s="1"/>
  <c r="D275" i="6"/>
  <c r="C275" i="6" s="1"/>
  <c r="D276" i="6"/>
  <c r="C276" i="6" s="1"/>
  <c r="D277" i="6"/>
  <c r="C277" i="6" s="1"/>
  <c r="D278" i="6"/>
  <c r="C278" i="6" s="1"/>
  <c r="N278" i="6" s="1"/>
  <c r="M278" i="6" s="1"/>
  <c r="D279" i="6"/>
  <c r="C279" i="6" s="1"/>
  <c r="N279" i="6" s="1"/>
  <c r="M279" i="6" s="1"/>
  <c r="D280" i="6"/>
  <c r="C280" i="6" s="1"/>
  <c r="D281" i="6"/>
  <c r="C281" i="6" s="1"/>
  <c r="D282" i="6"/>
  <c r="C282" i="6" s="1"/>
  <c r="D283" i="6"/>
  <c r="C283" i="6" s="1"/>
  <c r="E2" i="6"/>
  <c r="E3" i="6"/>
  <c r="E4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5" i="6"/>
  <c r="E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8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9" i="6"/>
  <c r="E1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11" i="6"/>
  <c r="E12" i="6"/>
  <c r="E13" i="6"/>
  <c r="E14" i="6"/>
  <c r="E15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N476" i="6" l="1"/>
  <c r="M476" i="6" s="1"/>
  <c r="N612" i="6"/>
  <c r="M612" i="6" s="1"/>
  <c r="N611" i="6"/>
  <c r="M611" i="6" s="1"/>
  <c r="N599" i="6"/>
  <c r="M599" i="6" s="1"/>
  <c r="N580" i="6"/>
  <c r="M580" i="6" s="1"/>
  <c r="N562" i="6"/>
  <c r="M562" i="6" s="1"/>
  <c r="N550" i="6"/>
  <c r="M550" i="6" s="1"/>
  <c r="N610" i="6"/>
  <c r="M610" i="6" s="1"/>
  <c r="N598" i="6"/>
  <c r="M598" i="6" s="1"/>
  <c r="N591" i="6"/>
  <c r="M591" i="6" s="1"/>
  <c r="N585" i="6"/>
  <c r="M585" i="6" s="1"/>
  <c r="N579" i="6"/>
  <c r="M579" i="6" s="1"/>
  <c r="N567" i="6"/>
  <c r="M567" i="6" s="1"/>
  <c r="N561" i="6"/>
  <c r="M561" i="6" s="1"/>
  <c r="N555" i="6"/>
  <c r="M555" i="6" s="1"/>
  <c r="N549" i="6"/>
  <c r="M549" i="6" s="1"/>
  <c r="N542" i="6"/>
  <c r="M542" i="6" s="1"/>
  <c r="N605" i="6"/>
  <c r="M605" i="6" s="1"/>
  <c r="N586" i="6"/>
  <c r="M586" i="6" s="1"/>
  <c r="N574" i="6"/>
  <c r="M574" i="6" s="1"/>
  <c r="N556" i="6"/>
  <c r="M556" i="6" s="1"/>
  <c r="N539" i="6"/>
  <c r="M539" i="6" s="1"/>
  <c r="N573" i="6"/>
  <c r="M573" i="6" s="1"/>
  <c r="N537" i="6"/>
  <c r="M537" i="6" s="1"/>
  <c r="N531" i="6"/>
  <c r="M531" i="6" s="1"/>
  <c r="N525" i="6"/>
  <c r="M525" i="6" s="1"/>
  <c r="N519" i="6"/>
  <c r="M519" i="6" s="1"/>
  <c r="N513" i="6"/>
  <c r="M513" i="6" s="1"/>
  <c r="N507" i="6"/>
  <c r="M507" i="6" s="1"/>
  <c r="N606" i="6"/>
  <c r="M606" i="6" s="1"/>
  <c r="N592" i="6"/>
  <c r="M592" i="6" s="1"/>
  <c r="N568" i="6"/>
  <c r="M568" i="6" s="1"/>
  <c r="N543" i="6"/>
  <c r="M543" i="6" s="1"/>
  <c r="N604" i="6"/>
  <c r="M604" i="6" s="1"/>
  <c r="B274" i="6"/>
  <c r="N274" i="6"/>
  <c r="M274" i="6" s="1"/>
  <c r="B262" i="6"/>
  <c r="N262" i="6"/>
  <c r="M262" i="6" s="1"/>
  <c r="B250" i="6"/>
  <c r="N250" i="6"/>
  <c r="M250" i="6" s="1"/>
  <c r="B238" i="6"/>
  <c r="N238" i="6"/>
  <c r="M238" i="6" s="1"/>
  <c r="B231" i="6"/>
  <c r="N231" i="6"/>
  <c r="M231" i="6" s="1"/>
  <c r="B219" i="6"/>
  <c r="N219" i="6"/>
  <c r="M219" i="6" s="1"/>
  <c r="B207" i="6"/>
  <c r="N207" i="6"/>
  <c r="M207" i="6" s="1"/>
  <c r="B535" i="6"/>
  <c r="N535" i="6"/>
  <c r="M535" i="6" s="1"/>
  <c r="B523" i="6"/>
  <c r="N523" i="6"/>
  <c r="M523" i="6" s="1"/>
  <c r="B511" i="6"/>
  <c r="N511" i="6"/>
  <c r="M511" i="6" s="1"/>
  <c r="B394" i="6"/>
  <c r="N394" i="6"/>
  <c r="M394" i="6" s="1"/>
  <c r="B382" i="6"/>
  <c r="N382" i="6"/>
  <c r="M382" i="6" s="1"/>
  <c r="B370" i="6"/>
  <c r="N370" i="6"/>
  <c r="M370" i="6" s="1"/>
  <c r="B358" i="6"/>
  <c r="N358" i="6"/>
  <c r="M358" i="6" s="1"/>
  <c r="B346" i="6"/>
  <c r="N346" i="6"/>
  <c r="M346" i="6" s="1"/>
  <c r="B334" i="6"/>
  <c r="N334" i="6"/>
  <c r="M334" i="6" s="1"/>
  <c r="B322" i="6"/>
  <c r="N322" i="6"/>
  <c r="M322" i="6" s="1"/>
  <c r="B286" i="6"/>
  <c r="N286" i="6"/>
  <c r="M286" i="6" s="1"/>
  <c r="B586" i="6"/>
  <c r="N587" i="6"/>
  <c r="M587" i="6" s="1"/>
  <c r="B568" i="6"/>
  <c r="N569" i="6"/>
  <c r="M569" i="6" s="1"/>
  <c r="B556" i="6"/>
  <c r="N557" i="6"/>
  <c r="M557" i="6" s="1"/>
  <c r="B544" i="6"/>
  <c r="N544" i="6"/>
  <c r="M544" i="6" s="1"/>
  <c r="B534" i="6"/>
  <c r="N534" i="6"/>
  <c r="M534" i="6" s="1"/>
  <c r="B522" i="6"/>
  <c r="N522" i="6"/>
  <c r="M522" i="6" s="1"/>
  <c r="B510" i="6"/>
  <c r="N510" i="6"/>
  <c r="M510" i="6" s="1"/>
  <c r="B499" i="6"/>
  <c r="N499" i="6"/>
  <c r="M499" i="6" s="1"/>
  <c r="B487" i="6"/>
  <c r="N487" i="6"/>
  <c r="M487" i="6" s="1"/>
  <c r="B481" i="6"/>
  <c r="N481" i="6"/>
  <c r="M481" i="6" s="1"/>
  <c r="B469" i="6"/>
  <c r="N469" i="6"/>
  <c r="M469" i="6" s="1"/>
  <c r="B457" i="6"/>
  <c r="N457" i="6"/>
  <c r="M457" i="6" s="1"/>
  <c r="B445" i="6"/>
  <c r="N445" i="6"/>
  <c r="M445" i="6" s="1"/>
  <c r="B433" i="6"/>
  <c r="N433" i="6"/>
  <c r="M433" i="6" s="1"/>
  <c r="B421" i="6"/>
  <c r="N421" i="6"/>
  <c r="M421" i="6" s="1"/>
  <c r="B409" i="6"/>
  <c r="N409" i="6"/>
  <c r="M409" i="6" s="1"/>
  <c r="B533" i="6"/>
  <c r="N533" i="6"/>
  <c r="M533" i="6" s="1"/>
  <c r="B527" i="6"/>
  <c r="N527" i="6"/>
  <c r="M527" i="6" s="1"/>
  <c r="B521" i="6"/>
  <c r="N521" i="6"/>
  <c r="M521" i="6" s="1"/>
  <c r="B515" i="6"/>
  <c r="N515" i="6"/>
  <c r="M515" i="6" s="1"/>
  <c r="B509" i="6"/>
  <c r="N509" i="6"/>
  <c r="M509" i="6" s="1"/>
  <c r="B492" i="6"/>
  <c r="N492" i="6"/>
  <c r="M492" i="6" s="1"/>
  <c r="B480" i="6"/>
  <c r="N480" i="6"/>
  <c r="M480" i="6" s="1"/>
  <c r="B468" i="6"/>
  <c r="N468" i="6"/>
  <c r="M468" i="6" s="1"/>
  <c r="B444" i="6"/>
  <c r="N444" i="6"/>
  <c r="M444" i="6" s="1"/>
  <c r="B277" i="6"/>
  <c r="N277" i="6"/>
  <c r="M277" i="6" s="1"/>
  <c r="B259" i="6"/>
  <c r="N259" i="6"/>
  <c r="M259" i="6" s="1"/>
  <c r="B247" i="6"/>
  <c r="N247" i="6"/>
  <c r="M247" i="6" s="1"/>
  <c r="B235" i="6"/>
  <c r="N235" i="6"/>
  <c r="M235" i="6" s="1"/>
  <c r="B222" i="6"/>
  <c r="N222" i="6"/>
  <c r="M222" i="6" s="1"/>
  <c r="B210" i="6"/>
  <c r="N210" i="6"/>
  <c r="M210" i="6" s="1"/>
  <c r="B532" i="6"/>
  <c r="N532" i="6"/>
  <c r="M532" i="6" s="1"/>
  <c r="B520" i="6"/>
  <c r="N520" i="6"/>
  <c r="M520" i="6" s="1"/>
  <c r="B508" i="6"/>
  <c r="N508" i="6"/>
  <c r="M508" i="6" s="1"/>
  <c r="B497" i="6"/>
  <c r="N497" i="6"/>
  <c r="M497" i="6" s="1"/>
  <c r="B485" i="6"/>
  <c r="N485" i="6"/>
  <c r="M485" i="6" s="1"/>
  <c r="B473" i="6"/>
  <c r="N473" i="6"/>
  <c r="M473" i="6" s="1"/>
  <c r="B461" i="6"/>
  <c r="N461" i="6"/>
  <c r="M461" i="6" s="1"/>
  <c r="B449" i="6"/>
  <c r="N449" i="6"/>
  <c r="M449" i="6" s="1"/>
  <c r="B437" i="6"/>
  <c r="N437" i="6"/>
  <c r="M437" i="6" s="1"/>
  <c r="B425" i="6"/>
  <c r="N425" i="6"/>
  <c r="M425" i="6" s="1"/>
  <c r="B413" i="6"/>
  <c r="N413" i="6"/>
  <c r="M413" i="6" s="1"/>
  <c r="B385" i="6"/>
  <c r="N385" i="6"/>
  <c r="M385" i="6" s="1"/>
  <c r="B379" i="6"/>
  <c r="N379" i="6"/>
  <c r="M379" i="6" s="1"/>
  <c r="B373" i="6"/>
  <c r="N373" i="6"/>
  <c r="M373" i="6" s="1"/>
  <c r="B367" i="6"/>
  <c r="N367" i="6"/>
  <c r="M367" i="6" s="1"/>
  <c r="B361" i="6"/>
  <c r="N361" i="6"/>
  <c r="M361" i="6" s="1"/>
  <c r="B355" i="6"/>
  <c r="N355" i="6"/>
  <c r="M355" i="6" s="1"/>
  <c r="B349" i="6"/>
  <c r="N349" i="6"/>
  <c r="M349" i="6" s="1"/>
  <c r="B343" i="6"/>
  <c r="N343" i="6"/>
  <c r="M343" i="6" s="1"/>
  <c r="B337" i="6"/>
  <c r="N337" i="6"/>
  <c r="M337" i="6" s="1"/>
  <c r="B331" i="6"/>
  <c r="N331" i="6"/>
  <c r="M331" i="6" s="1"/>
  <c r="B325" i="6"/>
  <c r="N325" i="6"/>
  <c r="M325" i="6" s="1"/>
  <c r="B319" i="6"/>
  <c r="N319" i="6"/>
  <c r="M319" i="6" s="1"/>
  <c r="B313" i="6"/>
  <c r="N313" i="6"/>
  <c r="M313" i="6" s="1"/>
  <c r="B307" i="6"/>
  <c r="N307" i="6"/>
  <c r="M307" i="6" s="1"/>
  <c r="B301" i="6"/>
  <c r="N301" i="6"/>
  <c r="M301" i="6" s="1"/>
  <c r="B295" i="6"/>
  <c r="N295" i="6"/>
  <c r="M295" i="6" s="1"/>
  <c r="B282" i="6"/>
  <c r="N282" i="6"/>
  <c r="M282" i="6" s="1"/>
  <c r="B276" i="6"/>
  <c r="N276" i="6"/>
  <c r="M276" i="6" s="1"/>
  <c r="B270" i="6"/>
  <c r="N270" i="6"/>
  <c r="M270" i="6" s="1"/>
  <c r="B264" i="6"/>
  <c r="N264" i="6"/>
  <c r="M264" i="6" s="1"/>
  <c r="B258" i="6"/>
  <c r="N258" i="6"/>
  <c r="M258" i="6" s="1"/>
  <c r="B252" i="6"/>
  <c r="N252" i="6"/>
  <c r="M252" i="6" s="1"/>
  <c r="B246" i="6"/>
  <c r="N246" i="6"/>
  <c r="M246" i="6" s="1"/>
  <c r="B240" i="6"/>
  <c r="N240" i="6"/>
  <c r="M240" i="6" s="1"/>
  <c r="B234" i="6"/>
  <c r="N234" i="6"/>
  <c r="M234" i="6" s="1"/>
  <c r="B227" i="6"/>
  <c r="N227" i="6"/>
  <c r="M227" i="6" s="1"/>
  <c r="B221" i="6"/>
  <c r="N221" i="6"/>
  <c r="M221" i="6" s="1"/>
  <c r="B215" i="6"/>
  <c r="N215" i="6"/>
  <c r="M215" i="6" s="1"/>
  <c r="B209" i="6"/>
  <c r="N209" i="6"/>
  <c r="M209" i="6" s="1"/>
  <c r="B119" i="6"/>
  <c r="N119" i="6"/>
  <c r="M119" i="6" s="1"/>
  <c r="B113" i="6"/>
  <c r="N113" i="6"/>
  <c r="M113" i="6" s="1"/>
  <c r="B107" i="6"/>
  <c r="N107" i="6"/>
  <c r="M107" i="6" s="1"/>
  <c r="B101" i="6"/>
  <c r="N101" i="6"/>
  <c r="M101" i="6" s="1"/>
  <c r="B95" i="6"/>
  <c r="N95" i="6"/>
  <c r="M95" i="6" s="1"/>
  <c r="B89" i="6"/>
  <c r="N89" i="6"/>
  <c r="M89" i="6" s="1"/>
  <c r="B83" i="6"/>
  <c r="N83" i="6"/>
  <c r="M83" i="6" s="1"/>
  <c r="B77" i="6"/>
  <c r="N77" i="6"/>
  <c r="M77" i="6" s="1"/>
  <c r="B71" i="6"/>
  <c r="N71" i="6"/>
  <c r="M71" i="6" s="1"/>
  <c r="B65" i="6"/>
  <c r="N65" i="6"/>
  <c r="M65" i="6" s="1"/>
  <c r="B59" i="6"/>
  <c r="N59" i="6"/>
  <c r="M59" i="6" s="1"/>
  <c r="B53" i="6"/>
  <c r="N53" i="6"/>
  <c r="M53" i="6" s="1"/>
  <c r="B613" i="6"/>
  <c r="B607" i="6"/>
  <c r="N609" i="6"/>
  <c r="M609" i="6" s="1"/>
  <c r="B601" i="6"/>
  <c r="N603" i="6"/>
  <c r="M603" i="6" s="1"/>
  <c r="B595" i="6"/>
  <c r="N597" i="6"/>
  <c r="M597" i="6" s="1"/>
  <c r="B589" i="6"/>
  <c r="N590" i="6"/>
  <c r="M590" i="6" s="1"/>
  <c r="B583" i="6"/>
  <c r="N584" i="6"/>
  <c r="M584" i="6" s="1"/>
  <c r="B577" i="6"/>
  <c r="N578" i="6"/>
  <c r="M578" i="6" s="1"/>
  <c r="B571" i="6"/>
  <c r="N572" i="6"/>
  <c r="M572" i="6" s="1"/>
  <c r="B565" i="6"/>
  <c r="N566" i="6"/>
  <c r="M566" i="6" s="1"/>
  <c r="B559" i="6"/>
  <c r="N560" i="6"/>
  <c r="M560" i="6" s="1"/>
  <c r="B553" i="6"/>
  <c r="N554" i="6"/>
  <c r="M554" i="6" s="1"/>
  <c r="B547" i="6"/>
  <c r="N548" i="6"/>
  <c r="M548" i="6" s="1"/>
  <c r="B541" i="6"/>
  <c r="N541" i="6"/>
  <c r="M541" i="6" s="1"/>
  <c r="B502" i="6"/>
  <c r="N502" i="6"/>
  <c r="M502" i="6" s="1"/>
  <c r="B496" i="6"/>
  <c r="N496" i="6"/>
  <c r="M496" i="6" s="1"/>
  <c r="B490" i="6"/>
  <c r="N490" i="6"/>
  <c r="M490" i="6" s="1"/>
  <c r="B484" i="6"/>
  <c r="N484" i="6"/>
  <c r="M484" i="6" s="1"/>
  <c r="B478" i="6"/>
  <c r="N478" i="6"/>
  <c r="M478" i="6" s="1"/>
  <c r="B472" i="6"/>
  <c r="N472" i="6"/>
  <c r="M472" i="6" s="1"/>
  <c r="B466" i="6"/>
  <c r="N466" i="6"/>
  <c r="M466" i="6" s="1"/>
  <c r="B460" i="6"/>
  <c r="N460" i="6"/>
  <c r="M460" i="6" s="1"/>
  <c r="B454" i="6"/>
  <c r="N454" i="6"/>
  <c r="M454" i="6" s="1"/>
  <c r="B448" i="6"/>
  <c r="N448" i="6"/>
  <c r="M448" i="6" s="1"/>
  <c r="B442" i="6"/>
  <c r="N442" i="6"/>
  <c r="M442" i="6" s="1"/>
  <c r="B436" i="6"/>
  <c r="N436" i="6"/>
  <c r="M436" i="6" s="1"/>
  <c r="B430" i="6"/>
  <c r="N430" i="6"/>
  <c r="M430" i="6" s="1"/>
  <c r="B424" i="6"/>
  <c r="N424" i="6"/>
  <c r="M424" i="6" s="1"/>
  <c r="B418" i="6"/>
  <c r="N418" i="6"/>
  <c r="M418" i="6" s="1"/>
  <c r="B412" i="6"/>
  <c r="N412" i="6"/>
  <c r="M412" i="6" s="1"/>
  <c r="B406" i="6"/>
  <c r="N406" i="6"/>
  <c r="M406" i="6" s="1"/>
  <c r="B400" i="6"/>
  <c r="N400" i="6"/>
  <c r="M400" i="6" s="1"/>
  <c r="B396" i="6"/>
  <c r="N396" i="6"/>
  <c r="M396" i="6" s="1"/>
  <c r="B390" i="6"/>
  <c r="N390" i="6"/>
  <c r="M390" i="6" s="1"/>
  <c r="B384" i="6"/>
  <c r="N384" i="6"/>
  <c r="M384" i="6" s="1"/>
  <c r="B378" i="6"/>
  <c r="N378" i="6"/>
  <c r="M378" i="6" s="1"/>
  <c r="B372" i="6"/>
  <c r="N372" i="6"/>
  <c r="M372" i="6" s="1"/>
  <c r="B366" i="6"/>
  <c r="N366" i="6"/>
  <c r="M366" i="6" s="1"/>
  <c r="B360" i="6"/>
  <c r="N360" i="6"/>
  <c r="M360" i="6" s="1"/>
  <c r="B354" i="6"/>
  <c r="N354" i="6"/>
  <c r="M354" i="6" s="1"/>
  <c r="B348" i="6"/>
  <c r="N348" i="6"/>
  <c r="M348" i="6" s="1"/>
  <c r="B342" i="6"/>
  <c r="N342" i="6"/>
  <c r="M342" i="6" s="1"/>
  <c r="B336" i="6"/>
  <c r="N336" i="6"/>
  <c r="M336" i="6" s="1"/>
  <c r="B330" i="6"/>
  <c r="N330" i="6"/>
  <c r="M330" i="6" s="1"/>
  <c r="B324" i="6"/>
  <c r="N324" i="6"/>
  <c r="M324" i="6" s="1"/>
  <c r="B318" i="6"/>
  <c r="N318" i="6"/>
  <c r="M318" i="6" s="1"/>
  <c r="B312" i="6"/>
  <c r="N312" i="6"/>
  <c r="M312" i="6" s="1"/>
  <c r="B306" i="6"/>
  <c r="N306" i="6"/>
  <c r="M306" i="6" s="1"/>
  <c r="B300" i="6"/>
  <c r="N300" i="6"/>
  <c r="M300" i="6" s="1"/>
  <c r="B294" i="6"/>
  <c r="N294" i="6"/>
  <c r="M294" i="6" s="1"/>
  <c r="B288" i="6"/>
  <c r="N288" i="6"/>
  <c r="M288" i="6" s="1"/>
  <c r="B3" i="6"/>
  <c r="N3" i="6"/>
  <c r="M3" i="6" s="1"/>
  <c r="B280" i="6"/>
  <c r="N280" i="6"/>
  <c r="M280" i="6" s="1"/>
  <c r="B268" i="6"/>
  <c r="N268" i="6"/>
  <c r="M268" i="6" s="1"/>
  <c r="B256" i="6"/>
  <c r="N256" i="6"/>
  <c r="M256" i="6" s="1"/>
  <c r="B244" i="6"/>
  <c r="N244" i="6"/>
  <c r="M244" i="6" s="1"/>
  <c r="B225" i="6"/>
  <c r="N225" i="6"/>
  <c r="M225" i="6" s="1"/>
  <c r="B213" i="6"/>
  <c r="N213" i="6"/>
  <c r="M213" i="6" s="1"/>
  <c r="B529" i="6"/>
  <c r="N529" i="6"/>
  <c r="M529" i="6" s="1"/>
  <c r="B517" i="6"/>
  <c r="N517" i="6"/>
  <c r="M517" i="6" s="1"/>
  <c r="B505" i="6"/>
  <c r="N505" i="6"/>
  <c r="M505" i="6" s="1"/>
  <c r="B388" i="6"/>
  <c r="N388" i="6"/>
  <c r="M388" i="6" s="1"/>
  <c r="B376" i="6"/>
  <c r="N376" i="6"/>
  <c r="M376" i="6" s="1"/>
  <c r="B364" i="6"/>
  <c r="N364" i="6"/>
  <c r="M364" i="6" s="1"/>
  <c r="B352" i="6"/>
  <c r="N352" i="6"/>
  <c r="M352" i="6" s="1"/>
  <c r="B340" i="6"/>
  <c r="N340" i="6"/>
  <c r="M340" i="6" s="1"/>
  <c r="B328" i="6"/>
  <c r="N328" i="6"/>
  <c r="M328" i="6" s="1"/>
  <c r="B316" i="6"/>
  <c r="N316" i="6"/>
  <c r="M316" i="6" s="1"/>
  <c r="B310" i="6"/>
  <c r="N310" i="6"/>
  <c r="M310" i="6" s="1"/>
  <c r="B304" i="6"/>
  <c r="N304" i="6"/>
  <c r="M304" i="6" s="1"/>
  <c r="B298" i="6"/>
  <c r="N298" i="6"/>
  <c r="M298" i="6" s="1"/>
  <c r="B292" i="6"/>
  <c r="N292" i="6"/>
  <c r="M292" i="6" s="1"/>
  <c r="B598" i="6"/>
  <c r="N600" i="6"/>
  <c r="M600" i="6" s="1"/>
  <c r="B592" i="6"/>
  <c r="N593" i="6"/>
  <c r="M593" i="6" s="1"/>
  <c r="B580" i="6"/>
  <c r="N581" i="6"/>
  <c r="M581" i="6" s="1"/>
  <c r="B574" i="6"/>
  <c r="N575" i="6"/>
  <c r="M575" i="6" s="1"/>
  <c r="B562" i="6"/>
  <c r="N563" i="6"/>
  <c r="M563" i="6" s="1"/>
  <c r="B550" i="6"/>
  <c r="N551" i="6"/>
  <c r="M551" i="6" s="1"/>
  <c r="B540" i="6"/>
  <c r="N540" i="6"/>
  <c r="M540" i="6" s="1"/>
  <c r="B528" i="6"/>
  <c r="N528" i="6"/>
  <c r="M528" i="6" s="1"/>
  <c r="B516" i="6"/>
  <c r="N516" i="6"/>
  <c r="M516" i="6" s="1"/>
  <c r="B504" i="6"/>
  <c r="N504" i="6"/>
  <c r="M504" i="6" s="1"/>
  <c r="B493" i="6"/>
  <c r="N493" i="6"/>
  <c r="M493" i="6" s="1"/>
  <c r="B475" i="6"/>
  <c r="N474" i="6"/>
  <c r="M474" i="6" s="1"/>
  <c r="B463" i="6"/>
  <c r="N463" i="6"/>
  <c r="M463" i="6" s="1"/>
  <c r="B451" i="6"/>
  <c r="N451" i="6"/>
  <c r="M451" i="6" s="1"/>
  <c r="B439" i="6"/>
  <c r="N439" i="6"/>
  <c r="M439" i="6" s="1"/>
  <c r="B427" i="6"/>
  <c r="N427" i="6"/>
  <c r="M427" i="6" s="1"/>
  <c r="B415" i="6"/>
  <c r="N415" i="6"/>
  <c r="M415" i="6" s="1"/>
  <c r="B403" i="6"/>
  <c r="N403" i="6"/>
  <c r="M403" i="6" s="1"/>
  <c r="B397" i="6"/>
  <c r="N397" i="6"/>
  <c r="M397" i="6" s="1"/>
  <c r="B498" i="6"/>
  <c r="N498" i="6"/>
  <c r="M498" i="6" s="1"/>
  <c r="B486" i="6"/>
  <c r="N486" i="6"/>
  <c r="M486" i="6" s="1"/>
  <c r="B474" i="6"/>
  <c r="B462" i="6"/>
  <c r="N462" i="6"/>
  <c r="M462" i="6" s="1"/>
  <c r="B456" i="6"/>
  <c r="N456" i="6"/>
  <c r="M456" i="6" s="1"/>
  <c r="B450" i="6"/>
  <c r="N450" i="6"/>
  <c r="M450" i="6" s="1"/>
  <c r="B438" i="6"/>
  <c r="N438" i="6"/>
  <c r="M438" i="6" s="1"/>
  <c r="B432" i="6"/>
  <c r="N432" i="6"/>
  <c r="M432" i="6" s="1"/>
  <c r="B426" i="6"/>
  <c r="N426" i="6"/>
  <c r="M426" i="6" s="1"/>
  <c r="B420" i="6"/>
  <c r="N420" i="6"/>
  <c r="M420" i="6" s="1"/>
  <c r="B414" i="6"/>
  <c r="N414" i="6"/>
  <c r="M414" i="6" s="1"/>
  <c r="B408" i="6"/>
  <c r="N408" i="6"/>
  <c r="M408" i="6" s="1"/>
  <c r="B402" i="6"/>
  <c r="N402" i="6"/>
  <c r="M402" i="6" s="1"/>
  <c r="B283" i="6"/>
  <c r="N283" i="6"/>
  <c r="M283" i="6" s="1"/>
  <c r="B271" i="6"/>
  <c r="N271" i="6"/>
  <c r="M271" i="6" s="1"/>
  <c r="B265" i="6"/>
  <c r="N265" i="6"/>
  <c r="M265" i="6" s="1"/>
  <c r="B253" i="6"/>
  <c r="N253" i="6"/>
  <c r="M253" i="6" s="1"/>
  <c r="B241" i="6"/>
  <c r="N241" i="6"/>
  <c r="M241" i="6" s="1"/>
  <c r="B228" i="6"/>
  <c r="N228" i="6"/>
  <c r="M228" i="6" s="1"/>
  <c r="B216" i="6"/>
  <c r="N216" i="6"/>
  <c r="M216" i="6" s="1"/>
  <c r="B538" i="6"/>
  <c r="N538" i="6"/>
  <c r="M538" i="6" s="1"/>
  <c r="B526" i="6"/>
  <c r="N526" i="6"/>
  <c r="M526" i="6" s="1"/>
  <c r="B514" i="6"/>
  <c r="N514" i="6"/>
  <c r="M514" i="6" s="1"/>
  <c r="B503" i="6"/>
  <c r="N503" i="6"/>
  <c r="M503" i="6" s="1"/>
  <c r="B491" i="6"/>
  <c r="N491" i="6"/>
  <c r="M491" i="6" s="1"/>
  <c r="B479" i="6"/>
  <c r="N479" i="6"/>
  <c r="M479" i="6" s="1"/>
  <c r="B467" i="6"/>
  <c r="N467" i="6"/>
  <c r="M467" i="6" s="1"/>
  <c r="B455" i="6"/>
  <c r="N455" i="6"/>
  <c r="M455" i="6" s="1"/>
  <c r="B443" i="6"/>
  <c r="N443" i="6"/>
  <c r="M443" i="6" s="1"/>
  <c r="B431" i="6"/>
  <c r="N431" i="6"/>
  <c r="M431" i="6" s="1"/>
  <c r="B419" i="6"/>
  <c r="N419" i="6"/>
  <c r="M419" i="6" s="1"/>
  <c r="B407" i="6"/>
  <c r="N407" i="6"/>
  <c r="M407" i="6" s="1"/>
  <c r="B401" i="6"/>
  <c r="N401" i="6"/>
  <c r="M401" i="6" s="1"/>
  <c r="B391" i="6"/>
  <c r="N391" i="6"/>
  <c r="M391" i="6" s="1"/>
  <c r="B289" i="6"/>
  <c r="N289" i="6"/>
  <c r="M289" i="6" s="1"/>
  <c r="B281" i="6"/>
  <c r="N281" i="6"/>
  <c r="M281" i="6" s="1"/>
  <c r="B275" i="6"/>
  <c r="N275" i="6"/>
  <c r="M275" i="6" s="1"/>
  <c r="B269" i="6"/>
  <c r="N269" i="6"/>
  <c r="M269" i="6" s="1"/>
  <c r="B263" i="6"/>
  <c r="N263" i="6"/>
  <c r="M263" i="6" s="1"/>
  <c r="B257" i="6"/>
  <c r="N257" i="6"/>
  <c r="M257" i="6" s="1"/>
  <c r="B251" i="6"/>
  <c r="N251" i="6"/>
  <c r="M251" i="6" s="1"/>
  <c r="B245" i="6"/>
  <c r="N245" i="6"/>
  <c r="M245" i="6" s="1"/>
  <c r="B239" i="6"/>
  <c r="N239" i="6"/>
  <c r="M239" i="6" s="1"/>
  <c r="B233" i="6"/>
  <c r="N233" i="6"/>
  <c r="M233" i="6" s="1"/>
  <c r="B226" i="6"/>
  <c r="N226" i="6"/>
  <c r="M226" i="6" s="1"/>
  <c r="B220" i="6"/>
  <c r="N220" i="6"/>
  <c r="M220" i="6" s="1"/>
  <c r="B214" i="6"/>
  <c r="N214" i="6"/>
  <c r="M214" i="6" s="1"/>
  <c r="B208" i="6"/>
  <c r="N208" i="6"/>
  <c r="M208" i="6" s="1"/>
  <c r="B148" i="6"/>
  <c r="N148" i="6"/>
  <c r="M148" i="6" s="1"/>
  <c r="B142" i="6"/>
  <c r="N142" i="6"/>
  <c r="M142" i="6" s="1"/>
  <c r="B136" i="6"/>
  <c r="N136" i="6"/>
  <c r="M136" i="6" s="1"/>
  <c r="B130" i="6"/>
  <c r="N130" i="6"/>
  <c r="M130" i="6" s="1"/>
  <c r="B124" i="6"/>
  <c r="N124" i="6"/>
  <c r="M124" i="6" s="1"/>
  <c r="B118" i="6"/>
  <c r="N118" i="6"/>
  <c r="M118" i="6" s="1"/>
  <c r="B112" i="6"/>
  <c r="N112" i="6"/>
  <c r="M112" i="6" s="1"/>
  <c r="B106" i="6"/>
  <c r="N106" i="6"/>
  <c r="M106" i="6" s="1"/>
  <c r="B100" i="6"/>
  <c r="N100" i="6"/>
  <c r="M100" i="6" s="1"/>
  <c r="B94" i="6"/>
  <c r="N94" i="6"/>
  <c r="M94" i="6" s="1"/>
  <c r="B88" i="6"/>
  <c r="N88" i="6"/>
  <c r="M88" i="6" s="1"/>
  <c r="B82" i="6"/>
  <c r="N82" i="6"/>
  <c r="M82" i="6" s="1"/>
  <c r="B76" i="6"/>
  <c r="N76" i="6"/>
  <c r="M76" i="6" s="1"/>
  <c r="B70" i="6"/>
  <c r="N70" i="6"/>
  <c r="M70" i="6" s="1"/>
  <c r="B64" i="6"/>
  <c r="N64" i="6"/>
  <c r="M64" i="6" s="1"/>
  <c r="B58" i="6"/>
  <c r="N58" i="6"/>
  <c r="M58" i="6" s="1"/>
  <c r="B52" i="6"/>
  <c r="N52" i="6"/>
  <c r="M52" i="6" s="1"/>
  <c r="B612" i="6"/>
  <c r="N614" i="6"/>
  <c r="M614" i="6" s="1"/>
  <c r="B606" i="6"/>
  <c r="N608" i="6"/>
  <c r="M608" i="6" s="1"/>
  <c r="B600" i="6"/>
  <c r="N602" i="6"/>
  <c r="M602" i="6" s="1"/>
  <c r="B594" i="6"/>
  <c r="N596" i="6"/>
  <c r="M596" i="6" s="1"/>
  <c r="B588" i="6"/>
  <c r="N589" i="6"/>
  <c r="M589" i="6" s="1"/>
  <c r="B582" i="6"/>
  <c r="N583" i="6"/>
  <c r="M583" i="6" s="1"/>
  <c r="B576" i="6"/>
  <c r="N577" i="6"/>
  <c r="M577" i="6" s="1"/>
  <c r="B570" i="6"/>
  <c r="N571" i="6"/>
  <c r="M571" i="6" s="1"/>
  <c r="B564" i="6"/>
  <c r="N565" i="6"/>
  <c r="M565" i="6" s="1"/>
  <c r="B558" i="6"/>
  <c r="N559" i="6"/>
  <c r="M559" i="6" s="1"/>
  <c r="B552" i="6"/>
  <c r="N553" i="6"/>
  <c r="M553" i="6" s="1"/>
  <c r="B546" i="6"/>
  <c r="N546" i="6"/>
  <c r="M546" i="6" s="1"/>
  <c r="B395" i="6"/>
  <c r="N395" i="6"/>
  <c r="M395" i="6" s="1"/>
  <c r="B389" i="6"/>
  <c r="N389" i="6"/>
  <c r="M389" i="6" s="1"/>
  <c r="B383" i="6"/>
  <c r="N383" i="6"/>
  <c r="M383" i="6" s="1"/>
  <c r="B377" i="6"/>
  <c r="N377" i="6"/>
  <c r="M377" i="6" s="1"/>
  <c r="B371" i="6"/>
  <c r="N371" i="6"/>
  <c r="M371" i="6" s="1"/>
  <c r="B365" i="6"/>
  <c r="N365" i="6"/>
  <c r="M365" i="6" s="1"/>
  <c r="B359" i="6"/>
  <c r="N359" i="6"/>
  <c r="M359" i="6" s="1"/>
  <c r="B353" i="6"/>
  <c r="N353" i="6"/>
  <c r="M353" i="6" s="1"/>
  <c r="B347" i="6"/>
  <c r="N347" i="6"/>
  <c r="M347" i="6" s="1"/>
  <c r="B341" i="6"/>
  <c r="N341" i="6"/>
  <c r="M341" i="6" s="1"/>
  <c r="B335" i="6"/>
  <c r="N335" i="6"/>
  <c r="M335" i="6" s="1"/>
  <c r="B329" i="6"/>
  <c r="N329" i="6"/>
  <c r="M329" i="6" s="1"/>
  <c r="B323" i="6"/>
  <c r="N323" i="6"/>
  <c r="M323" i="6" s="1"/>
  <c r="B317" i="6"/>
  <c r="N317" i="6"/>
  <c r="M317" i="6" s="1"/>
  <c r="B311" i="6"/>
  <c r="N311" i="6"/>
  <c r="M311" i="6" s="1"/>
  <c r="B305" i="6"/>
  <c r="N305" i="6"/>
  <c r="M305" i="6" s="1"/>
  <c r="B299" i="6"/>
  <c r="N299" i="6"/>
  <c r="M299" i="6" s="1"/>
  <c r="B293" i="6"/>
  <c r="N293" i="6"/>
  <c r="M293" i="6" s="1"/>
  <c r="B287" i="6"/>
  <c r="N287" i="6"/>
  <c r="M287" i="6" s="1"/>
  <c r="B201" i="6"/>
  <c r="B183" i="6"/>
  <c r="B171" i="6"/>
  <c r="B153" i="6"/>
  <c r="B147" i="6"/>
  <c r="B135" i="6"/>
  <c r="B123" i="6"/>
  <c r="B111" i="6"/>
  <c r="B99" i="6"/>
  <c r="B87" i="6"/>
  <c r="B69" i="6"/>
  <c r="B51" i="6"/>
  <c r="B33" i="6"/>
  <c r="B611" i="6"/>
  <c r="B581" i="6"/>
  <c r="B563" i="6"/>
  <c r="B273" i="6"/>
  <c r="B261" i="6"/>
  <c r="B249" i="6"/>
  <c r="B237" i="6"/>
  <c r="B224" i="6"/>
  <c r="B212" i="6"/>
  <c r="B206" i="6"/>
  <c r="B188" i="6"/>
  <c r="B176" i="6"/>
  <c r="B170" i="6"/>
  <c r="B158" i="6"/>
  <c r="B146" i="6"/>
  <c r="B134" i="6"/>
  <c r="B128" i="6"/>
  <c r="B116" i="6"/>
  <c r="B104" i="6"/>
  <c r="B92" i="6"/>
  <c r="B86" i="6"/>
  <c r="B80" i="6"/>
  <c r="B74" i="6"/>
  <c r="B68" i="6"/>
  <c r="B62" i="6"/>
  <c r="B50" i="6"/>
  <c r="B44" i="6"/>
  <c r="B38" i="6"/>
  <c r="B32" i="6"/>
  <c r="B26" i="6"/>
  <c r="B20" i="6"/>
  <c r="B12" i="6"/>
  <c r="B610" i="6"/>
  <c r="B604" i="6"/>
  <c r="B121" i="6"/>
  <c r="B109" i="6"/>
  <c r="B91" i="6"/>
  <c r="B73" i="6"/>
  <c r="B55" i="6"/>
  <c r="B37" i="6"/>
  <c r="B591" i="6"/>
  <c r="B350" i="6"/>
  <c r="B81" i="6"/>
  <c r="B63" i="6"/>
  <c r="B45" i="6"/>
  <c r="B21" i="6"/>
  <c r="B605" i="6"/>
  <c r="B593" i="6"/>
  <c r="B551" i="6"/>
  <c r="B393" i="6"/>
  <c r="B375" i="6"/>
  <c r="B357" i="6"/>
  <c r="B345" i="6"/>
  <c r="B333" i="6"/>
  <c r="B321" i="6"/>
  <c r="B309" i="6"/>
  <c r="B297" i="6"/>
  <c r="B291" i="6"/>
  <c r="B285" i="6"/>
  <c r="B272" i="6"/>
  <c r="B260" i="6"/>
  <c r="B248" i="6"/>
  <c r="B236" i="6"/>
  <c r="B223" i="6"/>
  <c r="B211" i="6"/>
  <c r="B205" i="6"/>
  <c r="B193" i="6"/>
  <c r="B187" i="6"/>
  <c r="B175" i="6"/>
  <c r="B163" i="6"/>
  <c r="B151" i="6"/>
  <c r="B139" i="6"/>
  <c r="B127" i="6"/>
  <c r="B103" i="6"/>
  <c r="B85" i="6"/>
  <c r="B67" i="6"/>
  <c r="B49" i="6"/>
  <c r="B31" i="6"/>
  <c r="B19" i="6"/>
  <c r="B11" i="6"/>
  <c r="B597" i="6"/>
  <c r="B579" i="6"/>
  <c r="B567" i="6"/>
  <c r="B555" i="6"/>
  <c r="B539" i="6"/>
  <c r="B392" i="6"/>
  <c r="B380" i="6"/>
  <c r="B368" i="6"/>
  <c r="B356" i="6"/>
  <c r="B338" i="6"/>
  <c r="B326" i="6"/>
  <c r="B314" i="6"/>
  <c r="B302" i="6"/>
  <c r="B284" i="6"/>
  <c r="B192" i="6"/>
  <c r="B180" i="6"/>
  <c r="B144" i="6"/>
  <c r="B30" i="6"/>
  <c r="B24" i="6"/>
  <c r="B18" i="6"/>
  <c r="B608" i="6"/>
  <c r="B602" i="6"/>
  <c r="B596" i="6"/>
  <c r="B590" i="6"/>
  <c r="B584" i="6"/>
  <c r="B578" i="6"/>
  <c r="B572" i="6"/>
  <c r="B566" i="6"/>
  <c r="B560" i="6"/>
  <c r="B554" i="6"/>
  <c r="B548" i="6"/>
  <c r="B542" i="6"/>
  <c r="B5" i="6"/>
  <c r="B4" i="6"/>
  <c r="B203" i="6"/>
  <c r="B191" i="6"/>
  <c r="B179" i="6"/>
  <c r="B167" i="6"/>
  <c r="B155" i="6"/>
  <c r="B143" i="6"/>
  <c r="B131" i="6"/>
  <c r="B125" i="6"/>
  <c r="B47" i="6"/>
  <c r="B41" i="6"/>
  <c r="B35" i="6"/>
  <c r="B29" i="6"/>
  <c r="B23" i="6"/>
  <c r="B15" i="6"/>
  <c r="B537" i="6"/>
  <c r="B531" i="6"/>
  <c r="B525" i="6"/>
  <c r="B519" i="6"/>
  <c r="B513" i="6"/>
  <c r="B507" i="6"/>
  <c r="B195" i="6"/>
  <c r="B189" i="6"/>
  <c r="B177" i="6"/>
  <c r="B165" i="6"/>
  <c r="B159" i="6"/>
  <c r="B141" i="6"/>
  <c r="B129" i="6"/>
  <c r="B117" i="6"/>
  <c r="B105" i="6"/>
  <c r="B93" i="6"/>
  <c r="B75" i="6"/>
  <c r="B57" i="6"/>
  <c r="B39" i="6"/>
  <c r="B27" i="6"/>
  <c r="B13" i="6"/>
  <c r="B599" i="6"/>
  <c r="B587" i="6"/>
  <c r="B575" i="6"/>
  <c r="B569" i="6"/>
  <c r="B557" i="6"/>
  <c r="B545" i="6"/>
  <c r="B9" i="6"/>
  <c r="B500" i="6"/>
  <c r="B494" i="6"/>
  <c r="B488" i="6"/>
  <c r="B482" i="6"/>
  <c r="B476" i="6"/>
  <c r="B470" i="6"/>
  <c r="B464" i="6"/>
  <c r="B458" i="6"/>
  <c r="B452" i="6"/>
  <c r="B446" i="6"/>
  <c r="B440" i="6"/>
  <c r="B434" i="6"/>
  <c r="B428" i="6"/>
  <c r="B422" i="6"/>
  <c r="B416" i="6"/>
  <c r="B410" i="6"/>
  <c r="B404" i="6"/>
  <c r="B398" i="6"/>
  <c r="B279" i="6"/>
  <c r="B267" i="6"/>
  <c r="B255" i="6"/>
  <c r="B243" i="6"/>
  <c r="B230" i="6"/>
  <c r="B218" i="6"/>
  <c r="B200" i="6"/>
  <c r="B194" i="6"/>
  <c r="B182" i="6"/>
  <c r="B164" i="6"/>
  <c r="B152" i="6"/>
  <c r="B140" i="6"/>
  <c r="B122" i="6"/>
  <c r="B110" i="6"/>
  <c r="B98" i="6"/>
  <c r="B56" i="6"/>
  <c r="B387" i="6"/>
  <c r="B381" i="6"/>
  <c r="B369" i="6"/>
  <c r="B363" i="6"/>
  <c r="B351" i="6"/>
  <c r="B339" i="6"/>
  <c r="B327" i="6"/>
  <c r="B315" i="6"/>
  <c r="B303" i="6"/>
  <c r="B17" i="6"/>
  <c r="B278" i="6"/>
  <c r="B266" i="6"/>
  <c r="B254" i="6"/>
  <c r="B242" i="6"/>
  <c r="B229" i="6"/>
  <c r="B217" i="6"/>
  <c r="B199" i="6"/>
  <c r="B181" i="6"/>
  <c r="B169" i="6"/>
  <c r="B157" i="6"/>
  <c r="B145" i="6"/>
  <c r="B133" i="6"/>
  <c r="B115" i="6"/>
  <c r="B97" i="6"/>
  <c r="B79" i="6"/>
  <c r="B61" i="6"/>
  <c r="B43" i="6"/>
  <c r="B25" i="6"/>
  <c r="B609" i="6"/>
  <c r="B603" i="6"/>
  <c r="B585" i="6"/>
  <c r="B573" i="6"/>
  <c r="B561" i="6"/>
  <c r="B549" i="6"/>
  <c r="B543" i="6"/>
  <c r="B8" i="6"/>
  <c r="B6" i="6"/>
  <c r="B386" i="6"/>
  <c r="B374" i="6"/>
  <c r="B362" i="6"/>
  <c r="B344" i="6"/>
  <c r="B332" i="6"/>
  <c r="B320" i="6"/>
  <c r="B308" i="6"/>
  <c r="B296" i="6"/>
  <c r="B290" i="6"/>
  <c r="B204" i="6"/>
  <c r="B198" i="6"/>
  <c r="B186" i="6"/>
  <c r="B174" i="6"/>
  <c r="B168" i="6"/>
  <c r="B162" i="6"/>
  <c r="B156" i="6"/>
  <c r="B150" i="6"/>
  <c r="B138" i="6"/>
  <c r="B132" i="6"/>
  <c r="B126" i="6"/>
  <c r="B120" i="6"/>
  <c r="B114" i="6"/>
  <c r="B108" i="6"/>
  <c r="B102" i="6"/>
  <c r="B96" i="6"/>
  <c r="B90" i="6"/>
  <c r="B84" i="6"/>
  <c r="B78" i="6"/>
  <c r="B72" i="6"/>
  <c r="B66" i="6"/>
  <c r="B60" i="6"/>
  <c r="B54" i="6"/>
  <c r="B48" i="6"/>
  <c r="B42" i="6"/>
  <c r="B36" i="6"/>
  <c r="B7" i="6"/>
  <c r="B197" i="6"/>
  <c r="B185" i="6"/>
  <c r="B173" i="6"/>
  <c r="B161" i="6"/>
  <c r="B149" i="6"/>
  <c r="B137" i="6"/>
  <c r="B202" i="6"/>
  <c r="B196" i="6"/>
  <c r="B190" i="6"/>
  <c r="B184" i="6"/>
  <c r="B178" i="6"/>
  <c r="B172" i="6"/>
  <c r="B166" i="6"/>
  <c r="B160" i="6"/>
  <c r="B154" i="6"/>
  <c r="B46" i="6"/>
  <c r="B40" i="6"/>
  <c r="B34" i="6"/>
  <c r="B28" i="6"/>
  <c r="B22" i="6"/>
  <c r="B14" i="6"/>
  <c r="B10" i="6"/>
  <c r="B536" i="6"/>
  <c r="B530" i="6"/>
  <c r="B524" i="6"/>
  <c r="B518" i="6"/>
  <c r="B512" i="6"/>
  <c r="B506" i="6"/>
  <c r="B501" i="6"/>
  <c r="B495" i="6"/>
  <c r="B489" i="6"/>
  <c r="B483" i="6"/>
  <c r="B477" i="6"/>
  <c r="B471" i="6"/>
  <c r="B465" i="6"/>
  <c r="B459" i="6"/>
  <c r="B453" i="6"/>
  <c r="B447" i="6"/>
  <c r="B441" i="6"/>
  <c r="B435" i="6"/>
  <c r="B429" i="6"/>
  <c r="B423" i="6"/>
  <c r="B417" i="6"/>
  <c r="B411" i="6"/>
  <c r="B405" i="6"/>
  <c r="B399" i="6"/>
  <c r="B2" i="6"/>
  <c r="M2" i="6" s="1"/>
  <c r="B1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37B01-A6A9-4500-9AD3-F440AA86642C}" keepAlive="1" name="Query - bass" description="Connection to the 'bass' query in the workbook." type="5" refreshedVersion="6" background="1" saveData="1">
    <dbPr connection="Provider=Microsoft.Mashup.OleDb.1;Data Source=$Workbook$;Location=bass;Extended Properties=&quot;&quot;" command="SELECT * FROM [bass]"/>
  </connection>
  <connection id="2" xr16:uid="{D8AF0934-15A3-4662-9AB7-1CE756A50224}" keepAlive="1" name="Query - bass (2)" description="Connection to the 'bass (2)' query in the workbook." type="5" refreshedVersion="6" background="1" saveData="1">
    <dbPr connection="Provider=Microsoft.Mashup.OleDb.1;Data Source=$Workbook$;Location=bass (2);Extended Properties=&quot;&quot;" command="SELECT * FROM [bass (2)]"/>
  </connection>
  <connection id="3" xr16:uid="{723EE45B-B689-4924-983C-02EAAB05436B}" keepAlive="1" name="Query - chitar" description="Connection to the 'chitar' query in the workbook." type="5" refreshedVersion="6" background="1" saveData="1">
    <dbPr connection="Provider=Microsoft.Mashup.OleDb.1;Data Source=$Workbook$;Location=chitar;Extended Properties=&quot;&quot;" command="SELECT * FROM [chitar]"/>
  </connection>
  <connection id="4" xr16:uid="{13858E48-8166-4A51-9D96-6F0F154540A8}" keepAlive="1" name="Query - chitar (2)" description="Connection to the 'chitar (2)' query in the workbook." type="5" refreshedVersion="6" background="1" saveData="1">
    <dbPr connection="Provider=Microsoft.Mashup.OleDb.1;Data Source=$Workbook$;Location=chitar (2);Extended Properties=&quot;&quot;" command="SELECT * FROM [chitar (2)]"/>
  </connection>
  <connection id="5" xr16:uid="{BA58E78D-746C-46C2-962C-738FC72666F5}" keepAlive="1" name="Query - chitar (3)" description="Connection to the 'chitar (3)' query in the workbook." type="5" refreshedVersion="6" background="1" saveData="1">
    <dbPr connection="Provider=Microsoft.Mashup.OleDb.1;Data Source=$Workbook$;Location=chitar (3);Extended Properties=&quot;&quot;" command="SELECT * FROM [chitar (3)]"/>
  </connection>
</connections>
</file>

<file path=xl/sharedStrings.xml><?xml version="1.0" encoding="utf-8"?>
<sst xmlns="http://schemas.openxmlformats.org/spreadsheetml/2006/main" count="6001" uniqueCount="1801">
  <si>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</si>
  <si>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</si>
  <si>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</si>
  <si>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</si>
  <si>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</si>
  <si>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</si>
  <si>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</si>
  <si>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</si>
  <si>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</si>
  <si>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 xml:space="preserve"> string=</t>
  </si>
  <si>
    <t xml:space="preserve"> fret=</t>
  </si>
  <si>
    <t xml:space="preserve"> /&gt;</t>
  </si>
  <si>
    <t xml:space="preserve">        &lt;note time=</t>
  </si>
  <si>
    <t xml:space="preserve"> sustain=</t>
  </si>
  <si>
    <t/>
  </si>
  <si>
    <t xml:space="preserve"> palmMute=</t>
  </si>
  <si>
    <t xml:space="preserve">        &lt;note </t>
  </si>
  <si>
    <t>25.080" string="0" fret="10" palmMute="1" /&gt;</t>
  </si>
  <si>
    <t>25.320" string="0" fret="10" palmMute="1" /&gt;</t>
  </si>
  <si>
    <t>25.560" string="0" fret="10" palmMute="1" /&gt;</t>
  </si>
  <si>
    <t>26.780" string="0" fret="10" palmMute="1" /&gt;</t>
  </si>
  <si>
    <t>27.020" string="0" fret="10" palmMute="1" /&gt;</t>
  </si>
  <si>
    <t>27.260" string="0" fret="10" palmMute="1" /&gt;</t>
  </si>
  <si>
    <t>28.451" string="0" fret="10" palmMute="1" /&gt;</t>
  </si>
  <si>
    <t>28.691" string="0" fret="10" palmMute="1" /&gt;</t>
  </si>
  <si>
    <t>28.931" string="0" fret="10" palmMute="1" /&gt;</t>
  </si>
  <si>
    <t>30.212" string="0" fret="10" palmMute="1" /&gt;</t>
  </si>
  <si>
    <t>30.452" string="0" fret="10" palmMute="1" /&gt;</t>
  </si>
  <si>
    <t>30.692" string="0" fret="10" palmMute="1" /&gt;</t>
  </si>
  <si>
    <t>31.982" string="0" fret="10" palmMute="1" /&gt;</t>
  </si>
  <si>
    <t>32.223" string="0" fret="10" palmMute="1" /&gt;</t>
  </si>
  <si>
    <t>32.462" string="0" fret="10" palmMute="1" /&gt;</t>
  </si>
  <si>
    <t>33.692" string="0" fret="10" palmMute="1" /&gt;</t>
  </si>
  <si>
    <t>33.932" string="0" fret="10" palmMute="1" /&gt;</t>
  </si>
  <si>
    <t>34.172" string="0" fret="10" palmMute="1" /&gt;</t>
  </si>
  <si>
    <t>35.402" string="0" fret="10" palmMute="1" /&gt;</t>
  </si>
  <si>
    <t>35.642" string="0" fret="10" palmMute="1" /&gt;</t>
  </si>
  <si>
    <t>35.882" string="0" fret="10" palmMute="1" /&gt;</t>
  </si>
  <si>
    <t>37.117" string="0" fret="10" palmMute="1" /&gt;</t>
  </si>
  <si>
    <t>37.357" string="0" fret="10" palmMute="1" /&gt;</t>
  </si>
  <si>
    <t>37.597" string="0" fret="10" palmMute="1" /&gt;</t>
  </si>
  <si>
    <t>38.897" string="0" fret="10" palmMute="1" /&gt;</t>
  </si>
  <si>
    <t>39.127" string="0" fret="10" palmMute="1" /&gt;</t>
  </si>
  <si>
    <t>39.357" string="0" fret="10" palmMute="1" /&gt;</t>
  </si>
  <si>
    <t>39.580" string="0" fret="10" palmMute="1" /&gt;</t>
  </si>
  <si>
    <t>39.810" string="0" fret="10" palmMute="1" /&gt;</t>
  </si>
  <si>
    <t>40.040" string="0" fret="10" palmMute="1" /&gt;</t>
  </si>
  <si>
    <t>40.270" string="0" fret="10" palmMute="1" /&gt;</t>
  </si>
  <si>
    <t>40.500" string="0" fret="10" palmMute="1" /&gt;</t>
  </si>
  <si>
    <t>40.730" string="0" fret="10" palmMute="1" /&gt;</t>
  </si>
  <si>
    <t>40.960" string="0" fret="10" palmMute="1" /&gt;</t>
  </si>
  <si>
    <t>41.190" string="0" fret="10" palmMute="1" /&gt;</t>
  </si>
  <si>
    <t>42.412" string="0" fret="10" palmMute="1" /&gt;</t>
  </si>
  <si>
    <t>42.642" string="0" fret="10" palmMute="1" /&gt;</t>
  </si>
  <si>
    <t>42.872" string="0" fret="10" palmMute="1" /&gt;</t>
  </si>
  <si>
    <t>43.095" string="0" fret="10" palmMute="1" /&gt;</t>
  </si>
  <si>
    <t>43.325" string="0" fret="10" palmMute="1" /&gt;</t>
  </si>
  <si>
    <t>43.555" string="0" fret="10" palmMute="1" /&gt;</t>
  </si>
  <si>
    <t>43.785" string="0" fret="10" palmMute="1" /&gt;</t>
  </si>
  <si>
    <t>44.015" string="0" fret="10" palmMute="1" /&gt;</t>
  </si>
  <si>
    <t>44.245" string="0" fret="10" palmMute="1" /&gt;</t>
  </si>
  <si>
    <t>44.475" string="0" fret="10" palmMute="1" /&gt;</t>
  </si>
  <si>
    <t>44.705" string="0" fret="10" palmMute="1" /&gt;</t>
  </si>
  <si>
    <t>45.935" string="0" fret="10" palmMute="1" /&gt;</t>
  </si>
  <si>
    <t>46.165" string="0" fret="10" palmMute="1" /&gt;</t>
  </si>
  <si>
    <t>46.395" string="0" fret="10" palmMute="1" /&gt;</t>
  </si>
  <si>
    <t>46.618" string="0" fret="10" palmMute="1" /&gt;</t>
  </si>
  <si>
    <t>46.838" string="0" fret="10" palmMute="1" /&gt;</t>
  </si>
  <si>
    <t>47.058" string="0" fret="10" palmMute="1" /&gt;</t>
  </si>
  <si>
    <t>47.278" string="0" fret="10" palmMute="1" /&gt;</t>
  </si>
  <si>
    <t>47.498" string="0" fret="10" palmMute="1" /&gt;</t>
  </si>
  <si>
    <t>47.718" string="0" fret="10" palmMute="1" /&gt;</t>
  </si>
  <si>
    <t>47.938" string="0" fret="10" palmMute="1" /&gt;</t>
  </si>
  <si>
    <t>48.168" string="0" fret="10" palmMute="1" /&gt;</t>
  </si>
  <si>
    <t>49.355" string="0" fret="10" palmMute="1" /&gt;</t>
  </si>
  <si>
    <t>49.585" string="0" fret="10" palmMute="1" /&gt;</t>
  </si>
  <si>
    <t>49.815" string="0" fret="10" palmMute="1" /&gt;</t>
  </si>
  <si>
    <t>50.038" string="0" fret="10" palmMute="1" /&gt;</t>
  </si>
  <si>
    <t>50.258" string="0" fret="10" palmMute="1" /&gt;</t>
  </si>
  <si>
    <t>50.478" string="0" fret="10" palmMute="1" /&gt;</t>
  </si>
  <si>
    <t>50.698" string="0" fret="10" palmMute="1" /&gt;</t>
  </si>
  <si>
    <t>50.928" string="0" fret="10" palmMute="1" /&gt;</t>
  </si>
  <si>
    <t>51.148" string="0" fret="10" palmMute="1" /&gt;</t>
  </si>
  <si>
    <t>51.368" string="0" fret="10" palmMute="1" /&gt;</t>
  </si>
  <si>
    <t>51.588" string="0" fret="10" palmMute="1" /&gt;</t>
  </si>
  <si>
    <t>52.900" string="0" fret="10" palmMute="1" /&gt;</t>
  </si>
  <si>
    <t>53.130" string="0" fret="10" palmMute="1" /&gt;</t>
  </si>
  <si>
    <t>53.360" string="0" fret="10" palmMute="1" /&gt;</t>
  </si>
  <si>
    <t>53.583" string="0" fret="10" palmMute="1" /&gt;</t>
  </si>
  <si>
    <t>53.803" string="0" fret="10" palmMute="1" /&gt;</t>
  </si>
  <si>
    <t>54.023" string="0" fret="10" palmMute="1" /&gt;</t>
  </si>
  <si>
    <t>54.243" string="0" fret="10" palmMute="1" /&gt;</t>
  </si>
  <si>
    <t>54.473" string="0" fret="10" palmMute="1" /&gt;</t>
  </si>
  <si>
    <t>54.693" string="0" fret="10" palmMute="1" /&gt;</t>
  </si>
  <si>
    <t>54.913" string="0" fret="10" palmMute="1" /&gt;</t>
  </si>
  <si>
    <t>55.133" string="0" fret="10" palmMute="1" /&gt;</t>
  </si>
  <si>
    <t>56.370" string="0" fret="10" palmMute="1" /&gt;</t>
  </si>
  <si>
    <t>56.600" string="0" fret="10" palmMute="1" /&gt;</t>
  </si>
  <si>
    <t>56.830" string="0" fret="10" palmMute="1" /&gt;</t>
  </si>
  <si>
    <t>57.053" string="0" fret="10" palmMute="1" /&gt;</t>
  </si>
  <si>
    <t>57.273" string="0" fret="10" palmMute="1" /&gt;</t>
  </si>
  <si>
    <t>57.493" string="0" fret="10" palmMute="1" /&gt;</t>
  </si>
  <si>
    <t>57.713" string="0" fret="10" palmMute="1" /&gt;</t>
  </si>
  <si>
    <t>57.943" string="0" fret="10" palmMute="1" /&gt;</t>
  </si>
  <si>
    <t>58.163" string="0" fret="10" palmMute="1" /&gt;</t>
  </si>
  <si>
    <t>58.383" string="0" fret="10" palmMute="1" /&gt;</t>
  </si>
  <si>
    <t>58.603" string="0" fret="10" palmMute="1" /&gt;</t>
  </si>
  <si>
    <t>59.876" string="0" fret="10" palmMute="1" /&gt;</t>
  </si>
  <si>
    <t>60.106" string="0" fret="10" palmMute="1" /&gt;</t>
  </si>
  <si>
    <t>60.336" string="0" fret="10" palmMute="1" /&gt;</t>
  </si>
  <si>
    <t>60.559" string="0" fret="10" palmMute="1" /&gt;</t>
  </si>
  <si>
    <t>60.779" string="0" fret="10" palmMute="1" /&gt;</t>
  </si>
  <si>
    <t>60.999" string="0" fret="10" palmMute="1" /&gt;</t>
  </si>
  <si>
    <t>61.219" string="0" fret="10" palmMute="1" /&gt;</t>
  </si>
  <si>
    <t>61.449" string="0" fret="10" palmMute="1" /&gt;</t>
  </si>
  <si>
    <t>61.669" string="0" fret="10" palmMute="1" /&gt;</t>
  </si>
  <si>
    <t>61.889" string="0" fret="10" palmMute="1" /&gt;</t>
  </si>
  <si>
    <t>62.109" string="0" fret="10" palmMute="1" /&gt;</t>
  </si>
  <si>
    <t>63.359" string="0" fret="10" palmMute="1" /&gt;</t>
  </si>
  <si>
    <t>63.589" string="0" fret="10" palmMute="1" /&gt;</t>
  </si>
  <si>
    <t>63.819" string="0" fret="10" palmMute="1" /&gt;</t>
  </si>
  <si>
    <t>64.042" string="0" fret="10" palmMute="1" /&gt;</t>
  </si>
  <si>
    <t>64.262" string="0" fret="10" palmMute="1" /&gt;</t>
  </si>
  <si>
    <t>64.482" string="0" fret="10" palmMute="1" /&gt;</t>
  </si>
  <si>
    <t>64.702" string="0" fret="10" palmMute="1" /&gt;</t>
  </si>
  <si>
    <t>64.932" string="0" fret="10" palmMute="1" /&gt;</t>
  </si>
  <si>
    <t>65.152" string="0" fret="10" palmMute="1" /&gt;</t>
  </si>
  <si>
    <t>65.372" string="0" fret="10" palmMute="1" /&gt;</t>
  </si>
  <si>
    <t>65.592" string="0" fret="10" palmMute="1" /&gt;</t>
  </si>
  <si>
    <t>66.700" string="0" fret="10" palmMute="1" /&gt;</t>
  </si>
  <si>
    <t>66.930" string="0" fret="10" palmMute="1" /&gt;</t>
  </si>
  <si>
    <t>67.165" string="0" fret="10" palmMute="1" /&gt;</t>
  </si>
  <si>
    <t>68.520" string="0" fret="10" palmMute="1" /&gt;</t>
  </si>
  <si>
    <t>68.750" string="0" fret="10" palmMute="1" /&gt;</t>
  </si>
  <si>
    <t>68.980" string="0" fret="10" palmMute="1" /&gt;</t>
  </si>
  <si>
    <t>70.277" string="0" fret="10" palmMute="1" /&gt;</t>
  </si>
  <si>
    <t>70.507" string="0" fret="10" palmMute="1" /&gt;</t>
  </si>
  <si>
    <t>70.737" string="0" fret="10" palmMute="1" /&gt;</t>
  </si>
  <si>
    <t>72.020" string="0" fret="10" palmMute="1" /&gt;</t>
  </si>
  <si>
    <t>72.252" string="0" fret="10" palmMute="1" /&gt;</t>
  </si>
  <si>
    <t>72.482" string="0" fret="10" palmMute="1" /&gt;</t>
  </si>
  <si>
    <t>73.747" string="0" fret="10" palmMute="1" /&gt;</t>
  </si>
  <si>
    <t>73.977" string="0" fret="10" palmMute="1" /&gt;</t>
  </si>
  <si>
    <t>74.207" string="0" fret="10" palmMute="1" /&gt;</t>
  </si>
  <si>
    <t>75.482" string="0" fret="10" palmMute="1" /&gt;</t>
  </si>
  <si>
    <t>75.712" string="0" fret="10" palmMute="1" /&gt;</t>
  </si>
  <si>
    <t>75.942" string="0" fret="10" palmMute="1" /&gt;</t>
  </si>
  <si>
    <t>77.215" string="0" fret="10" palmMute="1" /&gt;</t>
  </si>
  <si>
    <t>77.445" string="0" fret="10" palmMute="1" /&gt;</t>
  </si>
  <si>
    <t>77.675" string="0" fret="10" palmMute="1" /&gt;</t>
  </si>
  <si>
    <t>78.942" string="0" fret="10" palmMute="1" /&gt;</t>
  </si>
  <si>
    <t>79.172" string="0" fret="10" palmMute="1" /&gt;</t>
  </si>
  <si>
    <t>79.402" string="0" fret="10" palmMute="1" /&gt;</t>
  </si>
  <si>
    <t>87.670" string="0" fret="10" palmMute="1" /&gt;</t>
  </si>
  <si>
    <t>87.900" string="0" fret="10" palmMute="1" /&gt;</t>
  </si>
  <si>
    <t>88.130" string="0" fret="10" palmMute="1" /&gt;</t>
  </si>
  <si>
    <t>88.360" string="0" fret="10" palmMute="1" /&gt;</t>
  </si>
  <si>
    <t>88.591" string="0" fret="10" palmMute="1" /&gt;</t>
  </si>
  <si>
    <t>88.821" string="0" fret="10" palmMute="1" /&gt;</t>
  </si>
  <si>
    <t>89.051" string="0" fret="10" palmMute="1" /&gt;</t>
  </si>
  <si>
    <t>89.281" string="0" fret="10" palmMute="1" /&gt;</t>
  </si>
  <si>
    <t>89.510" string="0" fret="10" palmMute="1" /&gt;</t>
  </si>
  <si>
    <t>89.740" string="0" fret="10" palmMute="1" /&gt;</t>
  </si>
  <si>
    <t>91.057" string="0" fret="10" palmMute="1" /&gt;</t>
  </si>
  <si>
    <t>91.287" string="0" fret="10" palmMute="1" /&gt;</t>
  </si>
  <si>
    <t>91.517" string="0" fret="10" palmMute="1" /&gt;</t>
  </si>
  <si>
    <t>91.743" string="0" fret="10" palmMute="1" /&gt;</t>
  </si>
  <si>
    <t>91.974" string="0" fret="10" palmMute="1" /&gt;</t>
  </si>
  <si>
    <t>92.204" string="0" fret="10" palmMute="1" /&gt;</t>
  </si>
  <si>
    <t>92.434" string="0" fret="10" palmMute="1" /&gt;</t>
  </si>
  <si>
    <t>92.664" string="0" fret="10" palmMute="1" /&gt;</t>
  </si>
  <si>
    <t>92.893" string="0" fret="10" palmMute="1" /&gt;</t>
  </si>
  <si>
    <t>93.123" string="0" fret="10" palmMute="1" /&gt;</t>
  </si>
  <si>
    <t>93.356" string="0" fret="10" palmMute="1" /&gt;</t>
  </si>
  <si>
    <t>94.616" string="0" fret="10" palmMute="1" /&gt;</t>
  </si>
  <si>
    <t>94.836" string="0" fret="10" palmMute="1" /&gt;</t>
  </si>
  <si>
    <t>95.066" string="0" fret="10" palmMute="1" /&gt;</t>
  </si>
  <si>
    <t>95.292" string="0" fret="10" palmMute="1" /&gt;</t>
  </si>
  <si>
    <t>95.523" string="0" fret="10" palmMute="1" /&gt;</t>
  </si>
  <si>
    <t>95.753" string="0" fret="10" palmMute="1" /&gt;</t>
  </si>
  <si>
    <t>95.983" string="0" fret="10" palmMute="1" /&gt;</t>
  </si>
  <si>
    <t>96.213" string="0" fret="10" palmMute="1" /&gt;</t>
  </si>
  <si>
    <t>96.442" string="0" fret="10" palmMute="1" /&gt;</t>
  </si>
  <si>
    <t>96.672" string="0" fret="10" palmMute="1" /&gt;</t>
  </si>
  <si>
    <t>96.906" string="0" fret="10" palmMute="1" /&gt;</t>
  </si>
  <si>
    <t>98.096" string="0" fret="10" palmMute="1" /&gt;</t>
  </si>
  <si>
    <t>98.316" string="0" fret="10" palmMute="1" /&gt;</t>
  </si>
  <si>
    <t>98.536" string="0" fret="10" palmMute="1" /&gt;</t>
  </si>
  <si>
    <t>98.762" string="0" fret="10" palmMute="1" /&gt;</t>
  </si>
  <si>
    <t>98.993" string="0" fret="10" palmMute="1" /&gt;</t>
  </si>
  <si>
    <t>99.203" string="0" fret="10" palmMute="1" /&gt;</t>
  </si>
  <si>
    <t>99.423" string="0" fret="10" palmMute="1" /&gt;</t>
  </si>
  <si>
    <t>99.653" string="0" fret="10" palmMute="1" /&gt;</t>
  </si>
  <si>
    <t>99.882" string="0" fret="10" palmMute="1" /&gt;</t>
  </si>
  <si>
    <t>100.112" string="0" fret="10" palmMute="1" /&gt;</t>
  </si>
  <si>
    <t>100.336" string="0" fret="10" palmMute="1" /&gt;</t>
  </si>
  <si>
    <t>101.516" string="0" fret="10" palmMute="1" /&gt;</t>
  </si>
  <si>
    <t>101.736" string="0" fret="10" palmMute="1" /&gt;</t>
  </si>
  <si>
    <t>101.966" string="0" fret="10" palmMute="1" /&gt;</t>
  </si>
  <si>
    <t>102.192" string="0" fret="10" palmMute="1" /&gt;</t>
  </si>
  <si>
    <t>102.423" string="0" fret="10" palmMute="1" /&gt;</t>
  </si>
  <si>
    <t>102.653" string="0" fret="10" palmMute="1" /&gt;</t>
  </si>
  <si>
    <t>102.885" string="0" fret="10" palmMute="1" /&gt;</t>
  </si>
  <si>
    <t>103.113" string="0" fret="10" palmMute="1" /&gt;</t>
  </si>
  <si>
    <t>103.342" string="0" fret="10" palmMute="1" /&gt;</t>
  </si>
  <si>
    <t>103.562" string="0" fret="10" palmMute="1" /&gt;</t>
  </si>
  <si>
    <t>103.786" string="0" fret="10" palmMute="1" /&gt;</t>
  </si>
  <si>
    <t>105.009" string="0" fret="10" palmMute="1" /&gt;</t>
  </si>
  <si>
    <t>105.229" string="0" fret="10" palmMute="1" /&gt;</t>
  </si>
  <si>
    <t>105.459" string="0" fret="10" palmMute="1" /&gt;</t>
  </si>
  <si>
    <t>105.685" string="0" fret="10" palmMute="1" /&gt;</t>
  </si>
  <si>
    <t>105.916" string="0" fret="10" palmMute="1" /&gt;</t>
  </si>
  <si>
    <t>106.146" string="0" fret="10" palmMute="1" /&gt;</t>
  </si>
  <si>
    <t>106.380" string="0" fret="10" palmMute="1" /&gt;</t>
  </si>
  <si>
    <t>106.606" string="0" fret="10" palmMute="1" /&gt;</t>
  </si>
  <si>
    <t>106.835" string="0" fret="10" palmMute="1" /&gt;</t>
  </si>
  <si>
    <t>107.055" string="0" fret="10" palmMute="1" /&gt;</t>
  </si>
  <si>
    <t>107.279" string="0" fret="10" palmMute="1" /&gt;</t>
  </si>
  <si>
    <t>108.461" string="0" fret="10" palmMute="1" /&gt;</t>
  </si>
  <si>
    <t>108.681" string="0" fret="10" palmMute="1" /&gt;</t>
  </si>
  <si>
    <t>108.911" string="0" fret="10" palmMute="1" /&gt;</t>
  </si>
  <si>
    <t>109.137" string="0" fret="10" palmMute="1" /&gt;</t>
  </si>
  <si>
    <t>109.368" string="0" fret="10" palmMute="1" /&gt;</t>
  </si>
  <si>
    <t>109.598" string="0" fret="10" palmMute="1" /&gt;</t>
  </si>
  <si>
    <t>109.830" string="0" fret="10" palmMute="1" /&gt;</t>
  </si>
  <si>
    <t>110.058" string="0" fret="10" palmMute="1" /&gt;</t>
  </si>
  <si>
    <t>110.287" string="0" fret="10" palmMute="1" /&gt;</t>
  </si>
  <si>
    <t>110.507" string="0" fret="10" palmMute="1" /&gt;</t>
  </si>
  <si>
    <t>110.730" string="0" fret="10" palmMute="1" /&gt;</t>
  </si>
  <si>
    <t>111.916" string="0" fret="10" palmMute="1" /&gt;</t>
  </si>
  <si>
    <t>112.136" string="0" fret="10" palmMute="1" /&gt;</t>
  </si>
  <si>
    <t>112.366" string="0" fret="10" palmMute="1" /&gt;</t>
  </si>
  <si>
    <t>112.592" string="0" fret="10" palmMute="1" /&gt;</t>
  </si>
  <si>
    <t>112.823" string="0" fret="10" palmMute="1" /&gt;</t>
  </si>
  <si>
    <t>113.053" string="0" fret="10" palmMute="1" /&gt;</t>
  </si>
  <si>
    <t>113.285" string="0" fret="10" palmMute="1" /&gt;</t>
  </si>
  <si>
    <t>113.513" string="0" fret="10" palmMute="1" /&gt;</t>
  </si>
  <si>
    <t>113.742" string="0" fret="10" palmMute="1" /&gt;</t>
  </si>
  <si>
    <t>113.962" string="0" fret="10" palmMute="1" /&gt;</t>
  </si>
  <si>
    <t>114.186" string="0" fret="10" palmMute="1" /&gt;</t>
  </si>
  <si>
    <t>115.383" string="0" fret="10" palmMute="1" /&gt;</t>
  </si>
  <si>
    <t>115.603" string="0" fret="10" palmMute="1" /&gt;</t>
  </si>
  <si>
    <t>115.835" string="0" fret="10" palmMute="1" /&gt;</t>
  </si>
  <si>
    <t>117.118" string="0" fret="10" palmMute="1" /&gt;</t>
  </si>
  <si>
    <t>117.338" string="0" fret="10" palmMute="1" /&gt;</t>
  </si>
  <si>
    <t>117.570" string="0" fret="10" palmMute="1" /&gt;</t>
  </si>
  <si>
    <t>118.845" string="0" fret="10" palmMute="1" /&gt;</t>
  </si>
  <si>
    <t>119.065" string="0" fret="10" palmMute="1" /&gt;</t>
  </si>
  <si>
    <t>119.297" string="0" fret="10" palmMute="1" /&gt;</t>
  </si>
  <si>
    <t>120.597" string="0" fret="10" palmMute="1" /&gt;</t>
  </si>
  <si>
    <t>120.817" string="0" fret="10" palmMute="1" /&gt;</t>
  </si>
  <si>
    <t>121.049" string="0" fret="10" palmMute="1" /&gt;</t>
  </si>
  <si>
    <t>122.305" string="0" fret="10" palmMute="1" /&gt;</t>
  </si>
  <si>
    <t>122.525" string="0" fret="10" palmMute="1" /&gt;</t>
  </si>
  <si>
    <t>122.757" string="0" fret="10" palmMute="1" /&gt;</t>
  </si>
  <si>
    <t>124.135" string="0" fret="10" palmMute="1" /&gt;</t>
  </si>
  <si>
    <t>124.355" string="0" fret="10" palmMute="1" /&gt;</t>
  </si>
  <si>
    <t>124.587" string="0" fret="10" palmMute="1" /&gt;</t>
  </si>
  <si>
    <t>125.857" string="0" fret="10" palmMute="1" /&gt;</t>
  </si>
  <si>
    <t>126.077" string="0" fret="10" palmMute="1" /&gt;</t>
  </si>
  <si>
    <t>126.309" string="0" fret="10" palmMute="1" /&gt;</t>
  </si>
  <si>
    <t>127.567" string="0" fret="10" palmMute="1" /&gt;</t>
  </si>
  <si>
    <t>127.787" string="0" fret="10" palmMute="1" /&gt;</t>
  </si>
  <si>
    <t>128.019" string="0" fret="10" palmMute="1" /&gt;</t>
  </si>
  <si>
    <t>136.120" string="0" fret="8" /&gt;</t>
  </si>
  <si>
    <t>136.340" string="0" fret="10" /&gt;</t>
  </si>
  <si>
    <t>136.540" string="1" fret="8" /&gt;</t>
  </si>
  <si>
    <t>136.750" string="1" fret="10" sustain="0.248" /&gt;</t>
  </si>
  <si>
    <t>137.421" string="0" fret="8" /&gt;</t>
  </si>
  <si>
    <t>137.641" string="0" fret="10" /&gt;</t>
  </si>
  <si>
    <t>137.841" string="1" fret="8" /&gt;</t>
  </si>
  <si>
    <t>138.051" string="1" fret="10" sustain="0.236" /&gt;</t>
  </si>
  <si>
    <t>139.568" string="0" fret="8" /&gt;</t>
  </si>
  <si>
    <t>139.788" string="0" fret="10" /&gt;</t>
  </si>
  <si>
    <t>139.988" string="1" fret="8" /&gt;</t>
  </si>
  <si>
    <t>140.197" string="1" fret="10" sustain="0.249" /&gt;</t>
  </si>
  <si>
    <t>140.869" string="0" fret="8" /&gt;</t>
  </si>
  <si>
    <t>141.089" string="0" fret="10" /&gt;</t>
  </si>
  <si>
    <t>141.289" string="1" fret="8" /&gt;</t>
  </si>
  <si>
    <t>141.499" string="1" fret="10" sustain="0.236" /&gt;</t>
  </si>
  <si>
    <t>143.063" string="0" fret="8" /&gt;</t>
  </si>
  <si>
    <t>143.283" string="0" fret="10" /&gt;</t>
  </si>
  <si>
    <t>143.483" string="1" fret="8" /&gt;</t>
  </si>
  <si>
    <t>143.693" string="1" fret="10" sustain="0.248" /&gt;</t>
  </si>
  <si>
    <t>144.364" string="0" fret="8" /&gt;</t>
  </si>
  <si>
    <t>144.584" string="0" fret="10" /&gt;</t>
  </si>
  <si>
    <t>144.784" string="1" fret="8" /&gt;</t>
  </si>
  <si>
    <t>144.994" string="1" fret="10" sustain="0.236" /&gt;</t>
  </si>
  <si>
    <t>146.511" string="0" fret="8" /&gt;</t>
  </si>
  <si>
    <t>146.731" string="0" fret="10" /&gt;</t>
  </si>
  <si>
    <t>146.931" string="1" fret="8" /&gt;</t>
  </si>
  <si>
    <t>147.141" string="1" fret="10" sustain="0.248" /&gt;</t>
  </si>
  <si>
    <t>147.812" string="0" fret="8" /&gt;</t>
  </si>
  <si>
    <t>148.032" string="0" fret="10" /&gt;</t>
  </si>
  <si>
    <t>148.232" string="1" fret="8" /&gt;</t>
  </si>
  <si>
    <t>148.440" string="1" fret="10" sustain="0.238" /&gt;</t>
  </si>
  <si>
    <t>150.223" string="0" fret="10" palmMute="1" /&gt;</t>
  </si>
  <si>
    <t>150.443" string="0" fret="10" palmMute="1" /&gt;</t>
  </si>
  <si>
    <t>150.673" string="0" fret="10" palmMute="1" /&gt;</t>
  </si>
  <si>
    <t>150.899" string="0" fret="10" palmMute="1" /&gt;</t>
  </si>
  <si>
    <t>151.130" string="0" fret="10" palmMute="1" /&gt;</t>
  </si>
  <si>
    <t>151.360" string="0" fret="10" palmMute="1" /&gt;</t>
  </si>
  <si>
    <t>151.592" string="0" fret="10" palmMute="1" /&gt;</t>
  </si>
  <si>
    <t>151.820" string="0" fret="10" palmMute="1" /&gt;</t>
  </si>
  <si>
    <t>152.049" string="0" fret="10" palmMute="1" /&gt;</t>
  </si>
  <si>
    <t>152.269" string="0" fret="10" palmMute="1" /&gt;</t>
  </si>
  <si>
    <t>152.492" string="0" fret="10" palmMute="1" /&gt;</t>
  </si>
  <si>
    <t>153.680" string="0" fret="10" palmMute="1" /&gt;</t>
  </si>
  <si>
    <t>153.898" string="0" fret="10" palmMute="1" /&gt;</t>
  </si>
  <si>
    <t>154.128" string="0" fret="10" palmMute="1" /&gt;</t>
  </si>
  <si>
    <t>154.354" string="0" fret="10" palmMute="1" /&gt;</t>
  </si>
  <si>
    <t>154.585" string="0" fret="10" palmMute="1" /&gt;</t>
  </si>
  <si>
    <t>154.815" string="0" fret="10" palmMute="1" /&gt;</t>
  </si>
  <si>
    <t>155.047" string="0" fret="10" palmMute="1" /&gt;</t>
  </si>
  <si>
    <t>155.275" string="0" fret="10" palmMute="1" /&gt;</t>
  </si>
  <si>
    <t>155.504" string="0" fret="10" palmMute="1" /&gt;</t>
  </si>
  <si>
    <t>155.724" string="0" fret="10" palmMute="1" /&gt;</t>
  </si>
  <si>
    <t>155.948" string="0" fret="10" palmMute="1" /&gt;</t>
  </si>
  <si>
    <t>157.141" string="0" fret="10" palmMute="1" /&gt;</t>
  </si>
  <si>
    <t>157.361" string="0" fret="10" palmMute="1" /&gt;</t>
  </si>
  <si>
    <t>157.591" string="0" fret="10" palmMute="1" /&gt;</t>
  </si>
  <si>
    <t>157.817" string="0" fret="10" palmMute="1" /&gt;</t>
  </si>
  <si>
    <t>158.048" string="0" fret="10" palmMute="1" /&gt;</t>
  </si>
  <si>
    <t>158.278" string="0" fret="10" palmMute="1" /&gt;</t>
  </si>
  <si>
    <t>158.510" string="0" fret="10" palmMute="1" /&gt;</t>
  </si>
  <si>
    <t>158.738" string="0" fret="10" palmMute="1" /&gt;</t>
  </si>
  <si>
    <t>158.967" string="0" fret="10" palmMute="1" /&gt;</t>
  </si>
  <si>
    <t>159.187" string="0" fret="10" palmMute="1" /&gt;</t>
  </si>
  <si>
    <t>159.410" string="0" fret="10" palmMute="1" /&gt;</t>
  </si>
  <si>
    <t>160.596" string="0" fret="10" palmMute="1" /&gt;</t>
  </si>
  <si>
    <t>160.816" string="0" fret="10" palmMute="1" /&gt;</t>
  </si>
  <si>
    <t>161.046" string="0" fret="10" palmMute="1" /&gt;</t>
  </si>
  <si>
    <t>161.272" string="0" fret="10" palmMute="1" /&gt;</t>
  </si>
  <si>
    <t>161.503" string="0" fret="10" palmMute="1" /&gt;</t>
  </si>
  <si>
    <t>161.733" string="0" fret="10" palmMute="1" /&gt;</t>
  </si>
  <si>
    <t>161.965" string="0" fret="10" palmMute="1" /&gt;</t>
  </si>
  <si>
    <t>162.193" string="0" fret="10" palmMute="1" /&gt;</t>
  </si>
  <si>
    <t>162.422" string="0" fret="10" palmMute="1" /&gt;</t>
  </si>
  <si>
    <t>162.642" string="0" fret="10" palmMute="1" /&gt;</t>
  </si>
  <si>
    <t>162.866" string="0" fret="10" palmMute="1" /&gt;</t>
  </si>
  <si>
    <t>164.060" string="0" fret="10" palmMute="1" /&gt;</t>
  </si>
  <si>
    <t>164.280" string="0" fret="10" palmMute="1" /&gt;</t>
  </si>
  <si>
    <t>164.512" string="0" fret="10" palmMute="1" /&gt;</t>
  </si>
  <si>
    <t>165.795" string="0" fret="10" palmMute="1" /&gt;</t>
  </si>
  <si>
    <t>166.015" string="0" fret="10" palmMute="1" /&gt;</t>
  </si>
  <si>
    <t>166.247" string="0" fret="10" palmMute="1" /&gt;</t>
  </si>
  <si>
    <t>167.522" string="0" fret="10" palmMute="1" /&gt;</t>
  </si>
  <si>
    <t>167.742" string="0" fret="10" palmMute="1" /&gt;</t>
  </si>
  <si>
    <t>167.974" string="0" fret="10" palmMute="1" /&gt;</t>
  </si>
  <si>
    <t>169.274" string="0" fret="10" palmMute="1" /&gt;</t>
  </si>
  <si>
    <t>169.494" string="0" fret="10" palmMute="1" /&gt;</t>
  </si>
  <si>
    <t>169.726" string="0" fret="10" palmMute="1" /&gt;</t>
  </si>
  <si>
    <t>170.982" string="0" fret="10" palmMute="1" /&gt;</t>
  </si>
  <si>
    <t>171.202" string="0" fret="10" palmMute="1" /&gt;</t>
  </si>
  <si>
    <t>171.434" string="0" fret="10" palmMute="1" /&gt;</t>
  </si>
  <si>
    <t>172.812" string="0" fret="10" palmMute="1" /&gt;</t>
  </si>
  <si>
    <t>173.032" string="0" fret="10" palmMute="1" /&gt;</t>
  </si>
  <si>
    <t>173.264" string="0" fret="10" palmMute="1" /&gt;</t>
  </si>
  <si>
    <t>174.534" string="0" fret="10" palmMute="1" /&gt;</t>
  </si>
  <si>
    <t>174.754" string="0" fret="10" palmMute="1" /&gt;</t>
  </si>
  <si>
    <t>174.986" string="0" fret="10" palmMute="1" /&gt;</t>
  </si>
  <si>
    <t>176.235" string="0" fret="10" palmMute="1" /&gt;</t>
  </si>
  <si>
    <t>176.455" string="0" fret="10" palmMute="1" /&gt;</t>
  </si>
  <si>
    <t>176.687" string="0" fret="10" palmMute="1" /&gt;</t>
  </si>
  <si>
    <t>177.970" string="0" fret="10" palmMute="1" /&gt;</t>
  </si>
  <si>
    <t>178.190" string="0" fret="10" palmMute="1" /&gt;</t>
  </si>
  <si>
    <t>178.423" string="0" fret="10" palmMute="1" /&gt;</t>
  </si>
  <si>
    <t>179.697" string="0" fret="10" palmMute="1" /&gt;</t>
  </si>
  <si>
    <t>179.917" string="0" fret="10" palmMute="1" /&gt;</t>
  </si>
  <si>
    <t>180.149" string="0" fret="10" palmMute="1" /&gt;</t>
  </si>
  <si>
    <t>181.479" string="0" fret="10" palmMute="1" /&gt;</t>
  </si>
  <si>
    <t>181.700" string="0" fret="10" palmMute="1" /&gt;</t>
  </si>
  <si>
    <t>181.931" string="0" fret="10" palmMute="1" /&gt;</t>
  </si>
  <si>
    <t>183.187" string="0" fret="10" palmMute="1" /&gt;</t>
  </si>
  <si>
    <t>183.407" string="0" fret="10" palmMute="1" /&gt;</t>
  </si>
  <si>
    <t>183.639" string="0" fret="10" palmMute="1" /&gt;</t>
  </si>
  <si>
    <t>185.017" string="0" fret="10" palmMute="1" /&gt;</t>
  </si>
  <si>
    <t>185.237" string="0" fret="10" palmMute="1" /&gt;</t>
  </si>
  <si>
    <t>185.469" string="0" fret="10" palmMute="1" /&gt;</t>
  </si>
  <si>
    <t>186.739" string="0" fret="10" palmMute="1" /&gt;</t>
  </si>
  <si>
    <t>186.959" string="0" fret="10" palmMute="1" /&gt;</t>
  </si>
  <si>
    <t>187.191" string="0" fret="10" palmMute="1" /&gt;</t>
  </si>
  <si>
    <t>188.436" string="0" fret="10" palmMute="1" /&gt;</t>
  </si>
  <si>
    <t>188.656" string="0" fret="10" palmMute="1" /&gt;</t>
  </si>
  <si>
    <t>188.888" string="0" fret="10" palmMute="1" /&gt;</t>
  </si>
  <si>
    <t>190.266" string="0" fret="10" palmMute="1" /&gt;</t>
  </si>
  <si>
    <t>190.486" string="0" fret="10" palmMute="1" /&gt;</t>
  </si>
  <si>
    <t>190.718" string="0" fret="10" palmMute="1" /&gt;</t>
  </si>
  <si>
    <t xml:space="preserve">        &lt;/chord&gt;&lt;chord </t>
  </si>
  <si>
    <t xml:space="preserve">10.240" chordId="6" highDensity="1" &gt;&lt;chordNote </t>
  </si>
  <si>
    <t xml:space="preserve">10.460" chordId="7" &gt;&lt;chordNote </t>
  </si>
  <si>
    <t xml:space="preserve">13.420" chordId="6" &gt;&lt;chordNote </t>
  </si>
  <si>
    <t xml:space="preserve">13.670" chordId="6" highDensity="1" &gt;&lt;chordNote </t>
  </si>
  <si>
    <t xml:space="preserve">13.920" chordId="7" highDensity="1" &gt;&lt;chordNote </t>
  </si>
  <si>
    <t xml:space="preserve">16.900" chordId="6" &gt;&lt;chordNote </t>
  </si>
  <si>
    <t xml:space="preserve">17.150" chordId="6" highDensity="1" &gt;&lt;chordNote </t>
  </si>
  <si>
    <t xml:space="preserve">17.380" chordId="7" &gt;&lt;chordNote </t>
  </si>
  <si>
    <t xml:space="preserve">20.450" chordId="6" &gt;&lt;chordNote </t>
  </si>
  <si>
    <t xml:space="preserve">20.670" chordId="6" highDensity="1" &gt;&lt;chordNote </t>
  </si>
  <si>
    <t xml:space="preserve">20.863" chordId="7" &gt;&lt;chordNote </t>
  </si>
  <si>
    <t xml:space="preserve">23.890" chordId="6" &gt;&lt;chordNote </t>
  </si>
  <si>
    <t xml:space="preserve">24.140" chordId="6" highDensity="1" &gt;&lt;chordNote </t>
  </si>
  <si>
    <t xml:space="preserve">24.370" chordId="7" &gt;&lt;chordNote </t>
  </si>
  <si>
    <t xml:space="preserve">24.840" chordId="7" highDensity="1" &gt;&lt;chordNote </t>
  </si>
  <si>
    <t xml:space="preserve">25.700" chordId="4" &gt;&lt;chordNote </t>
  </si>
  <si>
    <t xml:space="preserve">26.090" chordId="5" &gt;&lt;chordNote </t>
  </si>
  <si>
    <t xml:space="preserve">26.540" chordId="7" &gt;&lt;chordNote </t>
  </si>
  <si>
    <t xml:space="preserve">27.371" chordId="4" &gt;&lt;chordNote </t>
  </si>
  <si>
    <t xml:space="preserve">27.760" chordId="5" &gt;&lt;chordNote </t>
  </si>
  <si>
    <t xml:space="preserve">28.211" chordId="7" &gt;&lt;chordNote </t>
  </si>
  <si>
    <t xml:space="preserve">29.132" chordId="4" &gt;&lt;chordNote </t>
  </si>
  <si>
    <t xml:space="preserve">29.522" chordId="5" &gt;&lt;chordNote </t>
  </si>
  <si>
    <t xml:space="preserve">29.972" chordId="7" &gt;&lt;chordNote </t>
  </si>
  <si>
    <t xml:space="preserve">30.902" chordId="4" &gt;&lt;chordNote </t>
  </si>
  <si>
    <t xml:space="preserve">31.292" chordId="5" &gt;&lt;chordNote </t>
  </si>
  <si>
    <t xml:space="preserve">31.742" chordId="7" &gt;&lt;chordNote </t>
  </si>
  <si>
    <t xml:space="preserve">32.612" chordId="4" &gt;&lt;chordNote </t>
  </si>
  <si>
    <t xml:space="preserve">33.000" chordId="5" &gt;&lt;chordNote </t>
  </si>
  <si>
    <t xml:space="preserve">33.452" chordId="7" &gt;&lt;chordNote </t>
  </si>
  <si>
    <t xml:space="preserve">34.322" chordId="4" &gt;&lt;chordNote </t>
  </si>
  <si>
    <t xml:space="preserve">34.713" chordId="5" &gt;&lt;chordNote </t>
  </si>
  <si>
    <t xml:space="preserve">35.162" chordId="7" &gt;&lt;chordNote </t>
  </si>
  <si>
    <t xml:space="preserve">36.037" chordId="4" &gt;&lt;chordNote </t>
  </si>
  <si>
    <t xml:space="preserve">36.427" chordId="5" &gt;&lt;chordNote </t>
  </si>
  <si>
    <t xml:space="preserve">36.877" chordId="7" &gt;&lt;chordNote </t>
  </si>
  <si>
    <t xml:space="preserve">37.827" chordId="4" &gt;&lt;chordNote </t>
  </si>
  <si>
    <t xml:space="preserve">38.217" chordId="5" &gt;&lt;chordNote </t>
  </si>
  <si>
    <t xml:space="preserve">38.667" chordId="7" &gt;&lt;chordNote </t>
  </si>
  <si>
    <t xml:space="preserve">41.350" chordId="0" &gt;&lt;chordNote </t>
  </si>
  <si>
    <t xml:space="preserve">41.730" chordId="1" &gt;&lt;chordNote </t>
  </si>
  <si>
    <t xml:space="preserve">42.182" chordId="7" &gt;&lt;chordNote </t>
  </si>
  <si>
    <t xml:space="preserve">44.865" chordId="0" &gt;&lt;chordNote </t>
  </si>
  <si>
    <t xml:space="preserve">45.255" chordId="1" &gt;&lt;chordNote </t>
  </si>
  <si>
    <t xml:space="preserve">45.705" chordId="7" &gt;&lt;chordNote </t>
  </si>
  <si>
    <t xml:space="preserve">48.268" chordId="0" &gt;&lt;chordNote </t>
  </si>
  <si>
    <t xml:space="preserve">48.668" chordId="1" &gt;&lt;chordNote </t>
  </si>
  <si>
    <t xml:space="preserve">49.125" chordId="7" &gt;&lt;chordNote </t>
  </si>
  <si>
    <t xml:space="preserve">51.728" chordId="0" &gt;&lt;chordNote </t>
  </si>
  <si>
    <t xml:space="preserve">52.118" chordId="1" &gt;&lt;chordNote </t>
  </si>
  <si>
    <t xml:space="preserve">52.670" chordId="7" &gt;&lt;chordNote </t>
  </si>
  <si>
    <t xml:space="preserve">55.273" chordId="0" &gt;&lt;chordNote </t>
  </si>
  <si>
    <t xml:space="preserve">55.663" chordId="1" &gt;&lt;chordNote </t>
  </si>
  <si>
    <t xml:space="preserve">56.140" chordId="7" &gt;&lt;chordNote </t>
  </si>
  <si>
    <t xml:space="preserve">58.743" chordId="0" &gt;&lt;chordNote </t>
  </si>
  <si>
    <t xml:space="preserve">59.133" chordId="1" &gt;&lt;chordNote </t>
  </si>
  <si>
    <t xml:space="preserve">59.646" chordId="7" &gt;&lt;chordNote </t>
  </si>
  <si>
    <t xml:space="preserve">62.249" chordId="0" &gt;&lt;chordNote </t>
  </si>
  <si>
    <t xml:space="preserve">62.639" chordId="1" &gt;&lt;chordNote </t>
  </si>
  <si>
    <t xml:space="preserve">63.129" chordId="7" &gt;&lt;chordNote </t>
  </si>
  <si>
    <t xml:space="preserve">65.732" chordId="0" &gt;&lt;chordNote </t>
  </si>
  <si>
    <t xml:space="preserve">66.122" chordId="1" &gt;&lt;chordNote </t>
  </si>
  <si>
    <t xml:space="preserve">66.460" chordId="7" &gt;&lt;chordNote </t>
  </si>
  <si>
    <t xml:space="preserve">67.360" chordId="4" &gt;&lt;chordNote </t>
  </si>
  <si>
    <t xml:space="preserve">67.850" chordId="5" &gt;&lt;chordNote </t>
  </si>
  <si>
    <t xml:space="preserve">68.290" chordId="7" &gt;&lt;chordNote </t>
  </si>
  <si>
    <t xml:space="preserve">69.117" chordId="4" &gt;&lt;chordNote </t>
  </si>
  <si>
    <t xml:space="preserve">69.607" chordId="5" &gt;&lt;chordNote </t>
  </si>
  <si>
    <t xml:space="preserve">70.047" chordId="7" &gt;&lt;chordNote </t>
  </si>
  <si>
    <t xml:space="preserve">70.862" chordId="4" &gt;&lt;chordNote </t>
  </si>
  <si>
    <t xml:space="preserve">71.352" chordId="5" &gt;&lt;chordNote </t>
  </si>
  <si>
    <t xml:space="preserve">71.792" chordId="7" &gt;&lt;chordNote </t>
  </si>
  <si>
    <t xml:space="preserve">72.587" chordId="4" &gt;&lt;chordNote </t>
  </si>
  <si>
    <t xml:space="preserve">73.077" chordId="5" &gt;&lt;chordNote </t>
  </si>
  <si>
    <t xml:space="preserve">73.517" chordId="7" &gt;&lt;chordNote </t>
  </si>
  <si>
    <t xml:space="preserve">74.322" chordId="4" &gt;&lt;chordNote </t>
  </si>
  <si>
    <t xml:space="preserve">74.812" chordId="5" &gt;&lt;chordNote </t>
  </si>
  <si>
    <t xml:space="preserve">75.252" chordId="7" &gt;&lt;chordNote </t>
  </si>
  <si>
    <t xml:space="preserve">76.055" chordId="4" &gt;&lt;chordNote </t>
  </si>
  <si>
    <t xml:space="preserve">76.545" chordId="5" &gt;&lt;chordNote </t>
  </si>
  <si>
    <t xml:space="preserve">76.985" chordId="7" &gt;&lt;chordNote </t>
  </si>
  <si>
    <t xml:space="preserve">77.782" chordId="4" &gt;&lt;chordNote </t>
  </si>
  <si>
    <t xml:space="preserve">78.272" chordId="5" &gt;&lt;chordNote </t>
  </si>
  <si>
    <t xml:space="preserve">78.713" chordId="7" &gt;&lt;chordNote </t>
  </si>
  <si>
    <t xml:space="preserve">79.620" chordId="6" &gt;&lt;chordNote </t>
  </si>
  <si>
    <t xml:space="preserve">79.840" chordId="6" highDensity="1" &gt;&lt;chordNote </t>
  </si>
  <si>
    <t xml:space="preserve">80.060" chordId="7" &gt;&lt;chordNote </t>
  </si>
  <si>
    <t xml:space="preserve">83.090" chordId="6" &gt;&lt;chordNote </t>
  </si>
  <si>
    <t xml:space="preserve">83.310" chordId="6" highDensity="1" &gt;&lt;chordNote </t>
  </si>
  <si>
    <t xml:space="preserve">83.530" chordId="7" &gt;&lt;chordNote </t>
  </si>
  <si>
    <t xml:space="preserve">86.500" chordId="6" &gt;&lt;chordNote </t>
  </si>
  <si>
    <t xml:space="preserve">86.760" chordId="6" highDensity="1" &gt;&lt;chordNote </t>
  </si>
  <si>
    <t xml:space="preserve">86.980" chordId="7" &gt;&lt;chordNote </t>
  </si>
  <si>
    <t xml:space="preserve">87.440" chordId="7" highDensity="1" &gt;&lt;chordNote </t>
  </si>
  <si>
    <t xml:space="preserve">89.967" chordId="4" &gt;&lt;chordNote </t>
  </si>
  <si>
    <t xml:space="preserve">90.387" chordId="5" &gt;&lt;chordNote </t>
  </si>
  <si>
    <t xml:space="preserve">90.828" chordId="7" &gt;&lt;chordNote </t>
  </si>
  <si>
    <t xml:space="preserve">93.526" chordId="4" &gt;&lt;chordNote </t>
  </si>
  <si>
    <t xml:space="preserve">93.946" chordId="5" &gt;&lt;chordNote </t>
  </si>
  <si>
    <t xml:space="preserve">94.387" chordId="7" &gt;&lt;chordNote </t>
  </si>
  <si>
    <t xml:space="preserve">97.006" chordId="4" &gt;&lt;chordNote </t>
  </si>
  <si>
    <t xml:space="preserve">97.426" chordId="5" &gt;&lt;chordNote </t>
  </si>
  <si>
    <t xml:space="preserve">97.867" chordId="7" &gt;&lt;chordNote </t>
  </si>
  <si>
    <t xml:space="preserve">100.426" chordId="4" &gt;&lt;chordNote </t>
  </si>
  <si>
    <t xml:space="preserve">100.846" chordId="5" &gt;&lt;chordNote </t>
  </si>
  <si>
    <t xml:space="preserve">101.287" chordId="7" &gt;&lt;chordNote </t>
  </si>
  <si>
    <t xml:space="preserve">103.919" chordId="4" &gt;&lt;chordNote </t>
  </si>
  <si>
    <t xml:space="preserve">104.339" chordId="5" &gt;&lt;chordNote </t>
  </si>
  <si>
    <t xml:space="preserve">104.780" chordId="7" &gt;&lt;chordNote </t>
  </si>
  <si>
    <t xml:space="preserve">107.371" chordId="4" &gt;&lt;chordNote </t>
  </si>
  <si>
    <t xml:space="preserve">107.791" chordId="5" &gt;&lt;chordNote </t>
  </si>
  <si>
    <t xml:space="preserve">108.233" chordId="7" &gt;&lt;chordNote </t>
  </si>
  <si>
    <t xml:space="preserve">110.826" chordId="4" &gt;&lt;chordNote </t>
  </si>
  <si>
    <t xml:space="preserve">111.246" chordId="5" &gt;&lt;chordNote </t>
  </si>
  <si>
    <t xml:space="preserve">111.687" chordId="7" &gt;&lt;chordNote </t>
  </si>
  <si>
    <t xml:space="preserve">114.333" chordId="4" &gt;&lt;chordNote </t>
  </si>
  <si>
    <t xml:space="preserve">114.713" chordId="5" &gt;&lt;chordNote </t>
  </si>
  <si>
    <t xml:space="preserve">115.154" chordId="7" &gt;&lt;chordNote </t>
  </si>
  <si>
    <t xml:space="preserve">116.058" chordId="4" &gt;&lt;chordNote </t>
  </si>
  <si>
    <t xml:space="preserve">116.448" chordId="5" &gt;&lt;chordNote </t>
  </si>
  <si>
    <t xml:space="preserve">116.889" chordId="7" &gt;&lt;chordNote </t>
  </si>
  <si>
    <t xml:space="preserve">117.815" chordId="4" &gt;&lt;chordNote </t>
  </si>
  <si>
    <t xml:space="preserve">118.215" chordId="5" &gt;&lt;chordNote </t>
  </si>
  <si>
    <t xml:space="preserve">118.616" chordId="7" &gt;&lt;chordNote </t>
  </si>
  <si>
    <t xml:space="preserve">119.565" chordId="4" &gt;&lt;chordNote </t>
  </si>
  <si>
    <t xml:space="preserve">119.937" chordId="5" &gt;&lt;chordNote </t>
  </si>
  <si>
    <t xml:space="preserve">120.368" chordId="7" &gt;&lt;chordNote </t>
  </si>
  <si>
    <t xml:space="preserve">121.245" chordId="4" &gt;&lt;chordNote </t>
  </si>
  <si>
    <t xml:space="preserve">121.635" chordId="5" &gt;&lt;chordNote </t>
  </si>
  <si>
    <t xml:space="preserve">122.076" chordId="7" &gt;&lt;chordNote </t>
  </si>
  <si>
    <t xml:space="preserve">123.075" chordId="4" &gt;&lt;chordNote </t>
  </si>
  <si>
    <t xml:space="preserve">123.465" chordId="5" &gt;&lt;chordNote </t>
  </si>
  <si>
    <t xml:space="preserve">123.906" chordId="7" &gt;&lt;chordNote </t>
  </si>
  <si>
    <t xml:space="preserve">124.797" chordId="4" &gt;&lt;chordNote </t>
  </si>
  <si>
    <t xml:space="preserve">125.187" chordId="5" &gt;&lt;chordNote </t>
  </si>
  <si>
    <t xml:space="preserve">125.628" chordId="7" &gt;&lt;chordNote </t>
  </si>
  <si>
    <t xml:space="preserve">126.507" chordId="4" &gt;&lt;chordNote </t>
  </si>
  <si>
    <t xml:space="preserve">126.897" chordId="5" &gt;&lt;chordNote </t>
  </si>
  <si>
    <t xml:space="preserve">127.338" chordId="7" &gt;&lt;chordNote </t>
  </si>
  <si>
    <t xml:space="preserve">128.240" chordId="2" &gt;&lt;chordNote </t>
  </si>
  <si>
    <t xml:space="preserve">128.490" chordId="2" highDensity="1" &gt;&lt;chordNote </t>
  </si>
  <si>
    <t xml:space="preserve">128.730" chordId="3" &gt;&lt;chordNote </t>
  </si>
  <si>
    <t xml:space="preserve">129.170" chordId="3" highDensity="1" &gt;&lt;chordNote </t>
  </si>
  <si>
    <t xml:space="preserve">129.370" chordId="3" highDensity="1" &gt;&lt;chordNote </t>
  </si>
  <si>
    <t xml:space="preserve">129.570" chordId="3" highDensity="1" &gt;&lt;chordNote </t>
  </si>
  <si>
    <t xml:space="preserve">129.780" chordId="3" highDensity="1" &gt;&lt;chordNote </t>
  </si>
  <si>
    <t xml:space="preserve">130.000" chordId="2" &gt;&lt;chordNote </t>
  </si>
  <si>
    <t xml:space="preserve">130.220" chordId="2" highDensity="1" &gt;&lt;chordNote </t>
  </si>
  <si>
    <t xml:space="preserve">130.450" chordId="3" &gt;&lt;chordNote </t>
  </si>
  <si>
    <t xml:space="preserve">130.928" chordId="3" highDensity="1" &gt;&lt;chordNote </t>
  </si>
  <si>
    <t xml:space="preserve">131.138" chordId="3" highDensity="1" &gt;&lt;chordNote </t>
  </si>
  <si>
    <t xml:space="preserve">131.338" chordId="3" highDensity="1" &gt;&lt;chordNote </t>
  </si>
  <si>
    <t xml:space="preserve">131.558" chordId="3" highDensity="1" &gt;&lt;chordNote </t>
  </si>
  <si>
    <t xml:space="preserve">131.778" chordId="2" &gt;&lt;chordNote </t>
  </si>
  <si>
    <t xml:space="preserve">131.998" chordId="2" highDensity="1" &gt;&lt;chordNote </t>
  </si>
  <si>
    <t xml:space="preserve">132.218" chordId="3" &gt;&lt;chordNote </t>
  </si>
  <si>
    <t xml:space="preserve">132.688" chordId="3" highDensity="1" &gt;&lt;chordNote </t>
  </si>
  <si>
    <t xml:space="preserve">132.908" chordId="3" highDensity="1" &gt;&lt;chordNote </t>
  </si>
  <si>
    <t xml:space="preserve">133.108" chordId="3" highDensity="1" &gt;&lt;chordNote </t>
  </si>
  <si>
    <t xml:space="preserve">133.328" chordId="3" highDensity="1" &gt;&lt;chordNote </t>
  </si>
  <si>
    <t xml:space="preserve">133.538" chordId="2" &gt;&lt;chordNote </t>
  </si>
  <si>
    <t xml:space="preserve">133.748" chordId="2" highDensity="1" &gt;&lt;chordNote </t>
  </si>
  <si>
    <t xml:space="preserve">133.958" chordId="3" &gt;&lt;chordNote </t>
  </si>
  <si>
    <t xml:space="preserve">134.400" chordId="3" highDensity="1" &gt;&lt;chordNote </t>
  </si>
  <si>
    <t xml:space="preserve">134.610" chordId="3" highDensity="1" &gt;&lt;chordNote </t>
  </si>
  <si>
    <t xml:space="preserve">134.820" chordId="3" highDensity="1" &gt;&lt;chordNote </t>
  </si>
  <si>
    <t xml:space="preserve">135.048" chordId="3" highDensity="1" &gt;&lt;chordNote </t>
  </si>
  <si>
    <t xml:space="preserve">135.268" chordId="3" highDensity="1" &gt;&lt;chordNote </t>
  </si>
  <si>
    <t xml:space="preserve">135.488" chordId="3" highDensity="1" &gt;&lt;chordNote </t>
  </si>
  <si>
    <t xml:space="preserve">135.698" chordId="3" highDensity="1" &gt;&lt;chordNote </t>
  </si>
  <si>
    <t xml:space="preserve">135.916" chordId="3" highDensity="1" &gt;&lt;chordNote </t>
  </si>
  <si>
    <t xml:space="preserve">138.640" chordId="4" &gt;&lt;chordNote </t>
  </si>
  <si>
    <t xml:space="preserve">139.120" chordId="5" &gt;&lt;chordNote </t>
  </si>
  <si>
    <t xml:space="preserve">142.088" chordId="4" &gt;&lt;chordNote </t>
  </si>
  <si>
    <t xml:space="preserve">142.568" chordId="5" &gt;&lt;chordNote </t>
  </si>
  <si>
    <t xml:space="preserve">145.583" chordId="4" &gt;&lt;chordNote </t>
  </si>
  <si>
    <t xml:space="preserve">146.063" chordId="5" &gt;&lt;chordNote </t>
  </si>
  <si>
    <t xml:space="preserve">149.031" chordId="4" &gt;&lt;chordNote </t>
  </si>
  <si>
    <t xml:space="preserve">149.511" chordId="5" &gt;&lt;chordNote </t>
  </si>
  <si>
    <t xml:space="preserve">149.995" chordId="7" &gt;&lt;chordNote </t>
  </si>
  <si>
    <t xml:space="preserve">152.588" chordId="4" &gt;&lt;chordNote </t>
  </si>
  <si>
    <t xml:space="preserve">153.008" chordId="5" &gt;&lt;chordNote </t>
  </si>
  <si>
    <t xml:space="preserve">153.449" chordId="7" &gt;&lt;chordNote </t>
  </si>
  <si>
    <t xml:space="preserve">156.095" chordId="4" &gt;&lt;chordNote </t>
  </si>
  <si>
    <t xml:space="preserve">156.475" chordId="5" &gt;&lt;chordNote </t>
  </si>
  <si>
    <t xml:space="preserve">156.913" chordId="7" &gt;&lt;chordNote </t>
  </si>
  <si>
    <t xml:space="preserve">159.506" chordId="4" &gt;&lt;chordNote </t>
  </si>
  <si>
    <t xml:space="preserve">159.926" chordId="5" &gt;&lt;chordNote </t>
  </si>
  <si>
    <t xml:space="preserve">160.367" chordId="7" &gt;&lt;chordNote </t>
  </si>
  <si>
    <t xml:space="preserve">163.013" chordId="4" &gt;&lt;chordNote </t>
  </si>
  <si>
    <t xml:space="preserve">163.393" chordId="5" &gt;&lt;chordNote </t>
  </si>
  <si>
    <t xml:space="preserve">163.831" chordId="7" &gt;&lt;chordNote </t>
  </si>
  <si>
    <t xml:space="preserve">164.735" chordId="4" &gt;&lt;chordNote </t>
  </si>
  <si>
    <t xml:space="preserve">165.125" chordId="5" &gt;&lt;chordNote </t>
  </si>
  <si>
    <t xml:space="preserve">165.566" chordId="7" &gt;&lt;chordNote </t>
  </si>
  <si>
    <t xml:space="preserve">166.492" chordId="4" &gt;&lt;chordNote </t>
  </si>
  <si>
    <t xml:space="preserve">166.892" chordId="5" &gt;&lt;chordNote </t>
  </si>
  <si>
    <t xml:space="preserve">167.293" chordId="7" &gt;&lt;chordNote </t>
  </si>
  <si>
    <t xml:space="preserve">168.242" chordId="4" &gt;&lt;chordNote </t>
  </si>
  <si>
    <t xml:space="preserve">168.614" chordId="5" &gt;&lt;chordNote </t>
  </si>
  <si>
    <t xml:space="preserve">169.045" chordId="7" &gt;&lt;chordNote </t>
  </si>
  <si>
    <t xml:space="preserve">169.922" chordId="4" &gt;&lt;chordNote </t>
  </si>
  <si>
    <t xml:space="preserve">170.312" chordId="5" &gt;&lt;chordNote </t>
  </si>
  <si>
    <t xml:space="preserve">170.753" chordId="7" &gt;&lt;chordNote </t>
  </si>
  <si>
    <t xml:space="preserve">171.753" chordId="4" &gt;&lt;chordNote </t>
  </si>
  <si>
    <t xml:space="preserve">172.142" chordId="5" &gt;&lt;chordNote </t>
  </si>
  <si>
    <t xml:space="preserve">172.583" chordId="7" &gt;&lt;chordNote </t>
  </si>
  <si>
    <t xml:space="preserve">173.474" chordId="4" &gt;&lt;chordNote </t>
  </si>
  <si>
    <t xml:space="preserve">173.864" chordId="5" &gt;&lt;chordNote </t>
  </si>
  <si>
    <t xml:space="preserve">174.305" chordId="7" &gt;&lt;chordNote </t>
  </si>
  <si>
    <t xml:space="preserve">175.184" chordId="4" &gt;&lt;chordNote </t>
  </si>
  <si>
    <t xml:space="preserve">175.574" chordId="5" &gt;&lt;chordNote </t>
  </si>
  <si>
    <t xml:space="preserve">176.006" chordId="7" &gt;&lt;chordNote </t>
  </si>
  <si>
    <t xml:space="preserve">176.930" chordId="4" &gt;&lt;chordNote </t>
  </si>
  <si>
    <t xml:space="preserve">177.300" chordId="5" &gt;&lt;chordNote </t>
  </si>
  <si>
    <t xml:space="preserve">177.741" chordId="7" &gt;&lt;chordNote </t>
  </si>
  <si>
    <t xml:space="preserve">178.695" chordId="4" &gt;&lt;chordNote </t>
  </si>
  <si>
    <t xml:space="preserve">179.067" chordId="5" &gt;&lt;chordNote </t>
  </si>
  <si>
    <t xml:space="preserve">179.468" chordId="7" &gt;&lt;chordNote </t>
  </si>
  <si>
    <t xml:space="preserve">180.447" chordId="4" &gt;&lt;chordNote </t>
  </si>
  <si>
    <t xml:space="preserve">180.819" chordId="5" &gt;&lt;chordNote </t>
  </si>
  <si>
    <t xml:space="preserve">181.250" chordId="7" &gt;&lt;chordNote </t>
  </si>
  <si>
    <t xml:space="preserve">182.157" chordId="4" &gt;&lt;chordNote </t>
  </si>
  <si>
    <t xml:space="preserve">182.527" chordId="5" &gt;&lt;chordNote </t>
  </si>
  <si>
    <t xml:space="preserve">182.958" chordId="7" &gt;&lt;chordNote </t>
  </si>
  <si>
    <t xml:space="preserve">183.957" chordId="4" &gt;&lt;chordNote </t>
  </si>
  <si>
    <t xml:space="preserve">184.347" chordId="5" &gt;&lt;chordNote </t>
  </si>
  <si>
    <t xml:space="preserve">184.788" chordId="7" &gt;&lt;chordNote </t>
  </si>
  <si>
    <t xml:space="preserve">185.679" chordId="4" &gt;&lt;chordNote </t>
  </si>
  <si>
    <t xml:space="preserve">186.069" chordId="5" &gt;&lt;chordNote </t>
  </si>
  <si>
    <t xml:space="preserve">186.510" chordId="7" &gt;&lt;chordNote </t>
  </si>
  <si>
    <t xml:space="preserve">187.389" chordId="4" &gt;&lt;chordNote </t>
  </si>
  <si>
    <t xml:space="preserve">187.779" chordId="5" &gt;&lt;chordNote </t>
  </si>
  <si>
    <t xml:space="preserve">188.207" chordId="7" &gt;&lt;chordNote </t>
  </si>
  <si>
    <t xml:space="preserve">189.206" chordId="4" &gt;&lt;chordNote </t>
  </si>
  <si>
    <t xml:space="preserve">189.596" chordId="5" &gt;&lt;chordNote </t>
  </si>
  <si>
    <t xml:space="preserve">190.037" chordId="7" &gt;&lt;chordNote </t>
  </si>
  <si>
    <t xml:space="preserve">190.942" chordId="6" &gt;&lt;chordNote </t>
  </si>
  <si>
    <t xml:space="preserve">191.162" chordId="6" highDensity="1" &gt;&lt;chordNote </t>
  </si>
  <si>
    <t xml:space="preserve">191.382" chordId="7" &gt;&lt;chordNote </t>
  </si>
  <si>
    <t xml:space="preserve">10.240" string="0" fret="8" leftHand="1" /&gt;&lt;chordNote </t>
  </si>
  <si>
    <t>10.240" string="1" fret="10" leftHand="3" /&gt;</t>
  </si>
  <si>
    <t xml:space="preserve">10.460" string="0" fret="10" leftHand="1" /&gt;&lt;chordNote </t>
  </si>
  <si>
    <t>10.460" string="1" fret="12" leftHand="3" /&gt;</t>
  </si>
  <si>
    <t xml:space="preserve">13.420" string="0" fret="8" leftHand="1" /&gt;&lt;chordNote </t>
  </si>
  <si>
    <t>13.420" string="1" fret="10" leftHand="3" /&gt;</t>
  </si>
  <si>
    <t xml:space="preserve">13.670" string="0" fret="8" leftHand="1" /&gt;&lt;chordNote </t>
  </si>
  <si>
    <t>13.670" string="1" fret="10" leftHand="3" /&gt;</t>
  </si>
  <si>
    <t xml:space="preserve">13.920" string="0" fret="10" leftHand="1" /&gt;&lt;chordNote </t>
  </si>
  <si>
    <t>13.920" string="1" fret="12" leftHand="3" /&gt;</t>
  </si>
  <si>
    <t xml:space="preserve">16.900" string="0" fret="8" leftHand="1" /&gt;&lt;chordNote </t>
  </si>
  <si>
    <t>16.900" string="1" fret="10" leftHand="3" /&gt;</t>
  </si>
  <si>
    <t xml:space="preserve">17.150" string="0" fret="8" leftHand="1" /&gt;&lt;chordNote </t>
  </si>
  <si>
    <t>17.150" string="1" fret="10" leftHand="3" /&gt;</t>
  </si>
  <si>
    <t xml:space="preserve">17.380" string="0" fret="10" leftHand="1" /&gt;&lt;chordNote </t>
  </si>
  <si>
    <t>17.380" string="1" fret="12" leftHand="3" /&gt;</t>
  </si>
  <si>
    <t xml:space="preserve">20.450" string="0" fret="8" leftHand="1" /&gt;&lt;chordNote </t>
  </si>
  <si>
    <t>20.450" string="1" fret="10" leftHand="3" /&gt;</t>
  </si>
  <si>
    <t xml:space="preserve">20.670" string="0" fret="8" leftHand="1" /&gt;&lt;chordNote </t>
  </si>
  <si>
    <t>20.670" string="1" fret="10" leftHand="3" /&gt;</t>
  </si>
  <si>
    <t xml:space="preserve">20.863" string="0" fret="10" leftHand="1" /&gt;&lt;chordNote </t>
  </si>
  <si>
    <t>20.863" string="1" fret="12" leftHand="3" /&gt;</t>
  </si>
  <si>
    <t xml:space="preserve">23.890" string="0" fret="8" leftHand="1" /&gt;&lt;chordNote </t>
  </si>
  <si>
    <t>23.890" string="1" fret="10" leftHand="3" /&gt;</t>
  </si>
  <si>
    <t xml:space="preserve">24.140" string="0" fret="8" leftHand="1" /&gt;&lt;chordNote </t>
  </si>
  <si>
    <t>24.140" string="1" fret="10" leftHand="3" /&gt;</t>
  </si>
  <si>
    <t xml:space="preserve">24.370" string="0" fret="10" leftHand="1" /&gt;&lt;chordNote </t>
  </si>
  <si>
    <t>24.370" string="1" fret="12" leftHand="3" /&gt;</t>
  </si>
  <si>
    <t xml:space="preserve">24.840" string="0" fret="10" leftHand="1" /&gt;&lt;chordNote </t>
  </si>
  <si>
    <t>24.840" string="1" fret="12" leftHand="3" /&gt;</t>
  </si>
  <si>
    <t xml:space="preserve">25.700" string="2" fret="12" leftHand="2" /&gt;&lt;chordNote </t>
  </si>
  <si>
    <t>25.700" string="3" fret="12" leftHand="3" /&gt;</t>
  </si>
  <si>
    <t xml:space="preserve">26.090" string="2" fret="10" leftHand="2" /&gt;&lt;chordNote </t>
  </si>
  <si>
    <t>26.090" string="3" fret="10" leftHand="3" /&gt;</t>
  </si>
  <si>
    <t xml:space="preserve">26.540" string="0" fret="10" leftHand="1" /&gt;&lt;chordNote </t>
  </si>
  <si>
    <t>26.540" string="1" fret="12" leftHand="3" /&gt;</t>
  </si>
  <si>
    <t xml:space="preserve">27.371" string="2" fret="12" leftHand="2" /&gt;&lt;chordNote </t>
  </si>
  <si>
    <t>27.371" string="3" fret="12" leftHand="3" /&gt;</t>
  </si>
  <si>
    <t xml:space="preserve">27.760" string="2" fret="10" leftHand="2" /&gt;&lt;chordNote </t>
  </si>
  <si>
    <t>27.760" string="3" fret="10" leftHand="3" /&gt;</t>
  </si>
  <si>
    <t xml:space="preserve">28.211" string="0" fret="10" leftHand="1" /&gt;&lt;chordNote </t>
  </si>
  <si>
    <t>28.211" string="1" fret="12" leftHand="3" /&gt;</t>
  </si>
  <si>
    <t xml:space="preserve">29.132" string="2" fret="12" leftHand="2" /&gt;&lt;chordNote </t>
  </si>
  <si>
    <t>29.132" string="3" fret="12" leftHand="3" /&gt;</t>
  </si>
  <si>
    <t xml:space="preserve">29.522" string="2" fret="10" leftHand="2" /&gt;&lt;chordNote </t>
  </si>
  <si>
    <t>29.522" string="3" fret="10" leftHand="3" /&gt;</t>
  </si>
  <si>
    <t xml:space="preserve">29.972" string="0" fret="10" leftHand="1" /&gt;&lt;chordNote </t>
  </si>
  <si>
    <t>29.972" string="1" fret="12" leftHand="3" /&gt;</t>
  </si>
  <si>
    <t xml:space="preserve">30.902" string="2" fret="12" leftHand="2" /&gt;&lt;chordNote </t>
  </si>
  <si>
    <t>30.902" string="3" fret="12" leftHand="3" /&gt;</t>
  </si>
  <si>
    <t xml:space="preserve">31.292" string="2" fret="10" leftHand="2" /&gt;&lt;chordNote </t>
  </si>
  <si>
    <t>31.292" string="3" fret="10" leftHand="3" /&gt;</t>
  </si>
  <si>
    <t xml:space="preserve">31.742" string="0" fret="10" leftHand="1" /&gt;&lt;chordNote </t>
  </si>
  <si>
    <t>31.742" string="1" fret="12" leftHand="3" /&gt;</t>
  </si>
  <si>
    <t xml:space="preserve">32.612" string="2" fret="12" leftHand="2" /&gt;&lt;chordNote </t>
  </si>
  <si>
    <t>32.612" string="3" fret="12" leftHand="3" /&gt;</t>
  </si>
  <si>
    <t xml:space="preserve">33.000" string="2" fret="10" leftHand="2" /&gt;&lt;chordNote </t>
  </si>
  <si>
    <t>33.000" string="3" fret="10" leftHand="3" /&gt;</t>
  </si>
  <si>
    <t xml:space="preserve">33.452" string="0" fret="10" leftHand="1" /&gt;&lt;chordNote </t>
  </si>
  <si>
    <t>33.452" string="1" fret="12" leftHand="3" /&gt;</t>
  </si>
  <si>
    <t xml:space="preserve">34.322" string="2" fret="12" leftHand="2" /&gt;&lt;chordNote </t>
  </si>
  <si>
    <t>34.322" string="3" fret="12" leftHand="3" /&gt;</t>
  </si>
  <si>
    <t xml:space="preserve">34.713" string="2" fret="10" leftHand="2" /&gt;&lt;chordNote </t>
  </si>
  <si>
    <t>34.713" string="3" fret="10" leftHand="3" /&gt;</t>
  </si>
  <si>
    <t xml:space="preserve">35.162" string="0" fret="10" leftHand="1" /&gt;&lt;chordNote </t>
  </si>
  <si>
    <t>35.162" string="1" fret="12" leftHand="3" /&gt;</t>
  </si>
  <si>
    <t xml:space="preserve">36.037" string="2" fret="12" leftHand="2" /&gt;&lt;chordNote </t>
  </si>
  <si>
    <t>36.037" string="3" fret="12" leftHand="3" /&gt;</t>
  </si>
  <si>
    <t xml:space="preserve">36.427" string="2" fret="10" leftHand="2" /&gt;&lt;chordNote </t>
  </si>
  <si>
    <t>36.427" string="3" fret="10" leftHand="3" /&gt;</t>
  </si>
  <si>
    <t xml:space="preserve">36.877" string="0" fret="10" leftHand="1" /&gt;&lt;chordNote </t>
  </si>
  <si>
    <t>36.877" string="1" fret="12" leftHand="3" /&gt;</t>
  </si>
  <si>
    <t xml:space="preserve">37.827" string="2" fret="12" leftHand="2" /&gt;&lt;chordNote </t>
  </si>
  <si>
    <t>37.827" string="3" fret="12" leftHand="3" /&gt;</t>
  </si>
  <si>
    <t xml:space="preserve">38.217" string="2" fret="10" leftHand="2" /&gt;&lt;chordNote </t>
  </si>
  <si>
    <t>38.217" string="3" fret="10" leftHand="3" /&gt;</t>
  </si>
  <si>
    <t xml:space="preserve">38.667" string="0" fret="10" leftHand="1" /&gt;&lt;chordNote </t>
  </si>
  <si>
    <t>38.667" string="1" fret="12" leftHand="3" /&gt;</t>
  </si>
  <si>
    <t xml:space="preserve">41.350" string="1" fret="10" leftHand="1" /&gt;&lt;chordNote </t>
  </si>
  <si>
    <t>41.350" string="2" fret="12" leftHand="3" /&gt;</t>
  </si>
  <si>
    <t xml:space="preserve">41.730" string="1" fret="8" leftHand="1" /&gt;&lt;chordNote </t>
  </si>
  <si>
    <t>41.730" string="2" fret="10" leftHand="3" /&gt;</t>
  </si>
  <si>
    <t xml:space="preserve">42.182" string="0" fret="10" leftHand="1" /&gt;&lt;chordNote </t>
  </si>
  <si>
    <t>42.182" string="1" fret="12" leftHand="3" /&gt;</t>
  </si>
  <si>
    <t xml:space="preserve">44.865" string="1" fret="10" leftHand="1" /&gt;&lt;chordNote </t>
  </si>
  <si>
    <t>44.865" string="2" fret="12" leftHand="3" /&gt;</t>
  </si>
  <si>
    <t xml:space="preserve">45.255" string="1" fret="8" leftHand="1" /&gt;&lt;chordNote </t>
  </si>
  <si>
    <t>45.255" string="2" fret="10" leftHand="3" /&gt;</t>
  </si>
  <si>
    <t xml:space="preserve">45.705" string="0" fret="10" leftHand="1" /&gt;&lt;chordNote </t>
  </si>
  <si>
    <t>45.705" string="1" fret="12" leftHand="3" /&gt;</t>
  </si>
  <si>
    <t xml:space="preserve">48.268" string="1" fret="10" leftHand="1" /&gt;&lt;chordNote </t>
  </si>
  <si>
    <t>48.268" string="2" fret="12" leftHand="3" /&gt;</t>
  </si>
  <si>
    <t xml:space="preserve">48.668" string="1" fret="8" leftHand="1" /&gt;&lt;chordNote </t>
  </si>
  <si>
    <t>48.668" string="2" fret="10" leftHand="3" /&gt;</t>
  </si>
  <si>
    <t xml:space="preserve">49.125" string="0" fret="10" leftHand="1" /&gt;&lt;chordNote </t>
  </si>
  <si>
    <t>49.125" string="1" fret="12" leftHand="3" /&gt;</t>
  </si>
  <si>
    <t xml:space="preserve">51.728" string="1" fret="10" leftHand="1" /&gt;&lt;chordNote </t>
  </si>
  <si>
    <t>51.728" string="2" fret="12" leftHand="3" /&gt;</t>
  </si>
  <si>
    <t xml:space="preserve">52.118" string="1" fret="8" leftHand="1" /&gt;&lt;chordNote </t>
  </si>
  <si>
    <t>52.118" string="2" fret="10" leftHand="3" /&gt;</t>
  </si>
  <si>
    <t xml:space="preserve">52.670" string="0" fret="10" leftHand="1" /&gt;&lt;chordNote </t>
  </si>
  <si>
    <t>52.670" string="1" fret="12" leftHand="3" /&gt;</t>
  </si>
  <si>
    <t xml:space="preserve">55.273" string="1" fret="10" leftHand="1" /&gt;&lt;chordNote </t>
  </si>
  <si>
    <t>55.273" string="2" fret="12" leftHand="3" /&gt;</t>
  </si>
  <si>
    <t xml:space="preserve">55.663" string="1" fret="8" leftHand="1" /&gt;&lt;chordNote </t>
  </si>
  <si>
    <t>55.663" string="2" fret="10" leftHand="3" /&gt;</t>
  </si>
  <si>
    <t xml:space="preserve">56.140" string="0" fret="10" leftHand="1" /&gt;&lt;chordNote </t>
  </si>
  <si>
    <t>56.140" string="1" fret="12" leftHand="3" /&gt;</t>
  </si>
  <si>
    <t xml:space="preserve">58.743" string="1" fret="10" leftHand="1" /&gt;&lt;chordNote </t>
  </si>
  <si>
    <t>58.743" string="2" fret="12" leftHand="3" /&gt;</t>
  </si>
  <si>
    <t xml:space="preserve">59.133" string="1" fret="8" leftHand="1" /&gt;&lt;chordNote </t>
  </si>
  <si>
    <t>59.133" string="2" fret="10" leftHand="3" /&gt;</t>
  </si>
  <si>
    <t xml:space="preserve">59.646" string="0" fret="10" leftHand="1" /&gt;&lt;chordNote </t>
  </si>
  <si>
    <t>59.646" string="1" fret="12" leftHand="3" /&gt;</t>
  </si>
  <si>
    <t xml:space="preserve">62.249" string="1" fret="10" leftHand="1" /&gt;&lt;chordNote </t>
  </si>
  <si>
    <t>62.249" string="2" fret="12" leftHand="3" /&gt;</t>
  </si>
  <si>
    <t xml:space="preserve">62.639" string="1" fret="8" leftHand="1" /&gt;&lt;chordNote </t>
  </si>
  <si>
    <t>62.639" string="2" fret="10" leftHand="3" /&gt;</t>
  </si>
  <si>
    <t xml:space="preserve">63.129" string="0" fret="10" leftHand="1" /&gt;&lt;chordNote </t>
  </si>
  <si>
    <t>63.129" string="1" fret="12" leftHand="3" /&gt;</t>
  </si>
  <si>
    <t xml:space="preserve">65.732" string="1" fret="10" leftHand="1" /&gt;&lt;chordNote </t>
  </si>
  <si>
    <t>65.732" string="2" fret="12" leftHand="3" /&gt;</t>
  </si>
  <si>
    <t xml:space="preserve">66.122" string="1" fret="8" leftHand="1" /&gt;&lt;chordNote </t>
  </si>
  <si>
    <t>66.122" string="2" fret="10" leftHand="3" /&gt;</t>
  </si>
  <si>
    <t xml:space="preserve">66.460" string="0" fret="10" leftHand="1" /&gt;&lt;chordNote </t>
  </si>
  <si>
    <t>66.460" string="1" fret="12" leftHand="3" /&gt;</t>
  </si>
  <si>
    <t xml:space="preserve">67.360" string="2" fret="12" leftHand="2" /&gt;&lt;chordNote </t>
  </si>
  <si>
    <t>67.360" string="3" fret="12" leftHand="3" /&gt;</t>
  </si>
  <si>
    <t xml:space="preserve">67.850" string="2" fret="10" leftHand="2" /&gt;&lt;chordNote </t>
  </si>
  <si>
    <t>67.850" string="3" fret="10" leftHand="3" /&gt;</t>
  </si>
  <si>
    <t xml:space="preserve">68.290" string="0" fret="10" leftHand="1" /&gt;&lt;chordNote </t>
  </si>
  <si>
    <t>68.290" string="1" fret="12" leftHand="3" /&gt;</t>
  </si>
  <si>
    <t xml:space="preserve">69.117" string="2" fret="12" leftHand="2" /&gt;&lt;chordNote </t>
  </si>
  <si>
    <t>69.117" string="3" fret="12" leftHand="3" /&gt;</t>
  </si>
  <si>
    <t xml:space="preserve">69.607" string="2" fret="10" leftHand="2" /&gt;&lt;chordNote </t>
  </si>
  <si>
    <t>69.607" string="3" fret="10" leftHand="3" /&gt;</t>
  </si>
  <si>
    <t xml:space="preserve">70.047" string="0" fret="10" leftHand="1" /&gt;&lt;chordNote </t>
  </si>
  <si>
    <t>70.047" string="1" fret="12" leftHand="3" /&gt;</t>
  </si>
  <si>
    <t xml:space="preserve">70.862" string="2" fret="12" leftHand="2" /&gt;&lt;chordNote </t>
  </si>
  <si>
    <t>70.862" string="3" fret="12" leftHand="3" /&gt;</t>
  </si>
  <si>
    <t xml:space="preserve">71.352" string="2" fret="10" leftHand="2" /&gt;&lt;chordNote </t>
  </si>
  <si>
    <t>71.352" string="3" fret="10" leftHand="3" /&gt;</t>
  </si>
  <si>
    <t xml:space="preserve">71.792" string="0" fret="10" leftHand="1" /&gt;&lt;chordNote </t>
  </si>
  <si>
    <t>71.792" string="1" fret="12" leftHand="3" /&gt;</t>
  </si>
  <si>
    <t xml:space="preserve">72.587" string="2" fret="12" leftHand="2" /&gt;&lt;chordNote </t>
  </si>
  <si>
    <t>72.587" string="3" fret="12" leftHand="3" /&gt;</t>
  </si>
  <si>
    <t xml:space="preserve">73.077" string="2" fret="10" leftHand="2" /&gt;&lt;chordNote </t>
  </si>
  <si>
    <t>73.077" string="3" fret="10" leftHand="3" /&gt;</t>
  </si>
  <si>
    <t xml:space="preserve">73.517" string="0" fret="10" leftHand="1" /&gt;&lt;chordNote </t>
  </si>
  <si>
    <t>73.517" string="1" fret="12" leftHand="3" /&gt;</t>
  </si>
  <si>
    <t xml:space="preserve">74.322" string="2" fret="12" leftHand="2" /&gt;&lt;chordNote </t>
  </si>
  <si>
    <t>74.322" string="3" fret="12" leftHand="3" /&gt;</t>
  </si>
  <si>
    <t xml:space="preserve">74.812" string="2" fret="10" leftHand="2" /&gt;&lt;chordNote </t>
  </si>
  <si>
    <t>74.812" string="3" fret="10" leftHand="3" /&gt;</t>
  </si>
  <si>
    <t xml:space="preserve">75.252" string="0" fret="10" leftHand="1" /&gt;&lt;chordNote </t>
  </si>
  <si>
    <t>75.252" string="1" fret="12" leftHand="3" /&gt;</t>
  </si>
  <si>
    <t xml:space="preserve">76.055" string="2" fret="12" leftHand="2" /&gt;&lt;chordNote </t>
  </si>
  <si>
    <t>76.055" string="3" fret="12" leftHand="3" /&gt;</t>
  </si>
  <si>
    <t xml:space="preserve">76.545" string="2" fret="10" leftHand="2" /&gt;&lt;chordNote </t>
  </si>
  <si>
    <t>76.545" string="3" fret="10" leftHand="3" /&gt;</t>
  </si>
  <si>
    <t xml:space="preserve">76.985" string="0" fret="10" leftHand="1" /&gt;&lt;chordNote </t>
  </si>
  <si>
    <t>76.985" string="1" fret="12" leftHand="3" /&gt;</t>
  </si>
  <si>
    <t xml:space="preserve">77.782" string="2" fret="12" leftHand="2" /&gt;&lt;chordNote </t>
  </si>
  <si>
    <t>77.782" string="3" fret="12" leftHand="3" /&gt;</t>
  </si>
  <si>
    <t xml:space="preserve">78.272" string="2" fret="10" leftHand="2" /&gt;&lt;chordNote </t>
  </si>
  <si>
    <t>78.272" string="3" fret="10" leftHand="3" /&gt;</t>
  </si>
  <si>
    <t xml:space="preserve">78.713" string="0" fret="10" leftHand="1" /&gt;&lt;chordNote </t>
  </si>
  <si>
    <t>78.713" string="1" fret="12" leftHand="3" /&gt;</t>
  </si>
  <si>
    <t xml:space="preserve">79.620" string="0" fret="8" leftHand="1" /&gt;&lt;chordNote </t>
  </si>
  <si>
    <t>79.620" string="1" fret="10" leftHand="3" /&gt;</t>
  </si>
  <si>
    <t xml:space="preserve">79.840" string="0" fret="8" leftHand="1" /&gt;&lt;chordNote </t>
  </si>
  <si>
    <t>79.840" string="1" fret="10" leftHand="3" /&gt;</t>
  </si>
  <si>
    <t xml:space="preserve">80.060" string="0" fret="10" leftHand="1" /&gt;&lt;chordNote </t>
  </si>
  <si>
    <t>80.060" string="1" fret="12" leftHand="3" /&gt;</t>
  </si>
  <si>
    <t xml:space="preserve">83.090" string="0" fret="8" leftHand="1" /&gt;&lt;chordNote </t>
  </si>
  <si>
    <t>83.090" string="1" fret="10" leftHand="3" /&gt;</t>
  </si>
  <si>
    <t xml:space="preserve">83.310" string="0" fret="8" leftHand="1" /&gt;&lt;chordNote </t>
  </si>
  <si>
    <t>83.310" string="1" fret="10" leftHand="3" /&gt;</t>
  </si>
  <si>
    <t xml:space="preserve">83.530" string="0" fret="10" leftHand="1" /&gt;&lt;chordNote </t>
  </si>
  <si>
    <t>83.530" string="1" fret="12" leftHand="3" /&gt;</t>
  </si>
  <si>
    <t xml:space="preserve">86.500" string="0" fret="8" leftHand="1" /&gt;&lt;chordNote </t>
  </si>
  <si>
    <t>86.500" string="1" fret="10" leftHand="3" /&gt;</t>
  </si>
  <si>
    <t xml:space="preserve">86.760" string="0" fret="8" leftHand="1" /&gt;&lt;chordNote </t>
  </si>
  <si>
    <t>86.760" string="1" fret="10" leftHand="3" /&gt;</t>
  </si>
  <si>
    <t xml:space="preserve">86.980" string="0" fret="10" leftHand="1" /&gt;&lt;chordNote </t>
  </si>
  <si>
    <t>86.980" string="1" fret="12" leftHand="3" /&gt;</t>
  </si>
  <si>
    <t xml:space="preserve">87.440" string="0" fret="10" leftHand="1" /&gt;&lt;chordNote </t>
  </si>
  <si>
    <t>87.440" string="1" fret="12" leftHand="3" /&gt;</t>
  </si>
  <si>
    <t xml:space="preserve">89.967" string="2" fret="12" leftHand="2" /&gt;&lt;chordNote </t>
  </si>
  <si>
    <t>89.967" string="3" fret="12" leftHand="3" /&gt;</t>
  </si>
  <si>
    <t xml:space="preserve">90.387" string="2" fret="10" leftHand="2" /&gt;&lt;chordNote </t>
  </si>
  <si>
    <t>90.387" string="3" fret="10" leftHand="3" /&gt;</t>
  </si>
  <si>
    <t xml:space="preserve">90.828" string="0" fret="10" leftHand="1" /&gt;&lt;chordNote </t>
  </si>
  <si>
    <t>90.828" string="1" fret="12" leftHand="3" /&gt;</t>
  </si>
  <si>
    <t xml:space="preserve">93.526" string="2" fret="12" leftHand="2" /&gt;&lt;chordNote </t>
  </si>
  <si>
    <t>93.526" string="3" fret="12" leftHand="3" /&gt;</t>
  </si>
  <si>
    <t xml:space="preserve">93.946" string="2" fret="10" leftHand="2" /&gt;&lt;chordNote </t>
  </si>
  <si>
    <t>93.946" string="3" fret="10" leftHand="3" /&gt;</t>
  </si>
  <si>
    <t xml:space="preserve">94.387" string="0" fret="10" leftHand="1" /&gt;&lt;chordNote </t>
  </si>
  <si>
    <t>94.387" string="1" fret="12" leftHand="3" /&gt;</t>
  </si>
  <si>
    <t xml:space="preserve">97.006" string="2" fret="12" leftHand="2" /&gt;&lt;chordNote </t>
  </si>
  <si>
    <t>97.006" string="3" fret="12" leftHand="3" /&gt;</t>
  </si>
  <si>
    <t xml:space="preserve">97.426" string="2" fret="10" leftHand="2" /&gt;&lt;chordNote </t>
  </si>
  <si>
    <t>97.426" string="3" fret="10" leftHand="3" /&gt;</t>
  </si>
  <si>
    <t xml:space="preserve">97.867" string="0" fret="10" leftHand="1" /&gt;&lt;chordNote </t>
  </si>
  <si>
    <t>97.867" string="1" fret="12" leftHand="3" /&gt;</t>
  </si>
  <si>
    <t xml:space="preserve">100.426" string="2" fret="12" leftHand="2" /&gt;&lt;chordNote </t>
  </si>
  <si>
    <t>100.426" string="3" fret="12" leftHand="3" /&gt;</t>
  </si>
  <si>
    <t xml:space="preserve">100.846" string="2" fret="10" leftHand="2" /&gt;&lt;chordNote </t>
  </si>
  <si>
    <t>100.846" string="3" fret="10" leftHand="3" /&gt;</t>
  </si>
  <si>
    <t xml:space="preserve">101.287" string="0" fret="10" leftHand="1" /&gt;&lt;chordNote </t>
  </si>
  <si>
    <t>101.287" string="1" fret="12" leftHand="3" /&gt;</t>
  </si>
  <si>
    <t xml:space="preserve">103.919" string="2" fret="12" leftHand="2" /&gt;&lt;chordNote </t>
  </si>
  <si>
    <t>103.919" string="3" fret="12" leftHand="3" /&gt;</t>
  </si>
  <si>
    <t xml:space="preserve">104.339" string="2" fret="10" leftHand="2" /&gt;&lt;chordNote </t>
  </si>
  <si>
    <t>104.339" string="3" fret="10" leftHand="3" /&gt;</t>
  </si>
  <si>
    <t xml:space="preserve">104.780" string="0" fret="10" leftHand="1" /&gt;&lt;chordNote </t>
  </si>
  <si>
    <t>104.780" string="1" fret="12" leftHand="3" /&gt;</t>
  </si>
  <si>
    <t xml:space="preserve">107.371" string="2" fret="12" leftHand="2" /&gt;&lt;chordNote </t>
  </si>
  <si>
    <t>107.371" string="3" fret="12" leftHand="3" /&gt;</t>
  </si>
  <si>
    <t xml:space="preserve">107.791" string="2" fret="10" leftHand="2" /&gt;&lt;chordNote </t>
  </si>
  <si>
    <t>107.791" string="3" fret="10" leftHand="3" /&gt;</t>
  </si>
  <si>
    <t xml:space="preserve">108.233" string="0" fret="10" leftHand="1" /&gt;&lt;chordNote </t>
  </si>
  <si>
    <t>108.233" string="1" fret="12" leftHand="3" /&gt;</t>
  </si>
  <si>
    <t xml:space="preserve">110.826" string="2" fret="12" leftHand="2" /&gt;&lt;chordNote </t>
  </si>
  <si>
    <t>110.826" string="3" fret="12" leftHand="3" /&gt;</t>
  </si>
  <si>
    <t xml:space="preserve">111.246" string="2" fret="10" leftHand="2" /&gt;&lt;chordNote </t>
  </si>
  <si>
    <t>111.246" string="3" fret="10" leftHand="3" /&gt;</t>
  </si>
  <si>
    <t xml:space="preserve">111.687" string="0" fret="10" leftHand="1" /&gt;&lt;chordNote </t>
  </si>
  <si>
    <t>111.687" string="1" fret="12" leftHand="3" /&gt;</t>
  </si>
  <si>
    <t xml:space="preserve">114.333" string="2" fret="12" leftHand="2" /&gt;&lt;chordNote </t>
  </si>
  <si>
    <t>114.333" string="3" fret="12" leftHand="3" /&gt;</t>
  </si>
  <si>
    <t xml:space="preserve">114.713" string="2" fret="10" leftHand="2" /&gt;&lt;chordNote </t>
  </si>
  <si>
    <t>114.713" string="3" fret="10" leftHand="3" /&gt;</t>
  </si>
  <si>
    <t xml:space="preserve">115.154" string="0" fret="10" leftHand="1" /&gt;&lt;chordNote </t>
  </si>
  <si>
    <t>115.154" string="1" fret="12" leftHand="3" /&gt;</t>
  </si>
  <si>
    <t xml:space="preserve">116.058" string="2" fret="12" leftHand="2" /&gt;&lt;chordNote </t>
  </si>
  <si>
    <t>116.058" string="3" fret="12" leftHand="3" /&gt;</t>
  </si>
  <si>
    <t xml:space="preserve">116.448" string="2" fret="10" leftHand="2" /&gt;&lt;chordNote </t>
  </si>
  <si>
    <t>116.448" string="3" fret="10" leftHand="3" /&gt;</t>
  </si>
  <si>
    <t xml:space="preserve">116.889" string="0" fret="10" leftHand="1" /&gt;&lt;chordNote </t>
  </si>
  <si>
    <t>116.889" string="1" fret="12" leftHand="3" /&gt;</t>
  </si>
  <si>
    <t xml:space="preserve">117.815" string="2" fret="12" leftHand="2" /&gt;&lt;chordNote </t>
  </si>
  <si>
    <t>117.815" string="3" fret="12" leftHand="3" /&gt;</t>
  </si>
  <si>
    <t xml:space="preserve">118.215" string="2" fret="10" leftHand="2" /&gt;&lt;chordNote </t>
  </si>
  <si>
    <t>118.215" string="3" fret="10" leftHand="3" /&gt;</t>
  </si>
  <si>
    <t xml:space="preserve">118.616" string="0" fret="10" leftHand="1" /&gt;&lt;chordNote </t>
  </si>
  <si>
    <t>118.616" string="1" fret="12" leftHand="3" /&gt;</t>
  </si>
  <si>
    <t xml:space="preserve">119.565" string="2" fret="12" leftHand="2" /&gt;&lt;chordNote </t>
  </si>
  <si>
    <t>119.565" string="3" fret="12" leftHand="3" /&gt;</t>
  </si>
  <si>
    <t xml:space="preserve">119.937" string="2" fret="10" leftHand="2" /&gt;&lt;chordNote </t>
  </si>
  <si>
    <t>119.937" string="3" fret="10" leftHand="3" /&gt;</t>
  </si>
  <si>
    <t xml:space="preserve">120.368" string="0" fret="10" leftHand="1" /&gt;&lt;chordNote </t>
  </si>
  <si>
    <t>120.368" string="1" fret="12" leftHand="3" /&gt;</t>
  </si>
  <si>
    <t xml:space="preserve">121.245" string="2" fret="12" leftHand="2" /&gt;&lt;chordNote </t>
  </si>
  <si>
    <t>121.245" string="3" fret="12" leftHand="3" /&gt;</t>
  </si>
  <si>
    <t xml:space="preserve">121.635" string="2" fret="10" leftHand="2" /&gt;&lt;chordNote </t>
  </si>
  <si>
    <t>121.635" string="3" fret="10" leftHand="3" /&gt;</t>
  </si>
  <si>
    <t xml:space="preserve">122.076" string="0" fret="10" leftHand="1" /&gt;&lt;chordNote </t>
  </si>
  <si>
    <t>122.076" string="1" fret="12" leftHand="3" /&gt;</t>
  </si>
  <si>
    <t xml:space="preserve">123.075" string="2" fret="12" leftHand="2" /&gt;&lt;chordNote </t>
  </si>
  <si>
    <t>123.075" string="3" fret="12" leftHand="3" /&gt;</t>
  </si>
  <si>
    <t xml:space="preserve">123.465" string="2" fret="10" leftHand="2" /&gt;&lt;chordNote </t>
  </si>
  <si>
    <t>123.465" string="3" fret="10" leftHand="3" /&gt;</t>
  </si>
  <si>
    <t xml:space="preserve">123.906" string="0" fret="10" leftHand="1" /&gt;&lt;chordNote </t>
  </si>
  <si>
    <t>123.906" string="1" fret="12" leftHand="3" /&gt;</t>
  </si>
  <si>
    <t xml:space="preserve">124.797" string="2" fret="12" leftHand="2" /&gt;&lt;chordNote </t>
  </si>
  <si>
    <t>124.797" string="3" fret="12" leftHand="3" /&gt;</t>
  </si>
  <si>
    <t xml:space="preserve">125.187" string="2" fret="10" leftHand="2" /&gt;&lt;chordNote </t>
  </si>
  <si>
    <t>125.187" string="3" fret="10" leftHand="3" /&gt;</t>
  </si>
  <si>
    <t xml:space="preserve">125.628" string="0" fret="10" leftHand="1" /&gt;&lt;chordNote </t>
  </si>
  <si>
    <t>125.628" string="1" fret="12" leftHand="3" /&gt;</t>
  </si>
  <si>
    <t xml:space="preserve">126.507" string="2" fret="12" leftHand="2" /&gt;&lt;chordNote </t>
  </si>
  <si>
    <t>126.507" string="3" fret="12" leftHand="3" /&gt;</t>
  </si>
  <si>
    <t xml:space="preserve">126.897" string="2" fret="10" leftHand="2" /&gt;&lt;chordNote </t>
  </si>
  <si>
    <t>126.897" string="3" fret="10" leftHand="3" /&gt;</t>
  </si>
  <si>
    <t xml:space="preserve">127.338" string="0" fret="10" leftHand="1" /&gt;&lt;chordNote </t>
  </si>
  <si>
    <t>127.338" string="1" fret="12" leftHand="3" /&gt;</t>
  </si>
  <si>
    <t xml:space="preserve">128.240" string="0" fret="3" leftHand="1" /&gt;&lt;chordNote </t>
  </si>
  <si>
    <t>128.240" string="1" fret="5" leftHand="3" /&gt;</t>
  </si>
  <si>
    <t xml:space="preserve">128.490" string="0" fret="3" leftHand="1" /&gt;&lt;chordNote </t>
  </si>
  <si>
    <t>128.490" string="1" fret="5" leftHand="3" /&gt;</t>
  </si>
  <si>
    <t xml:space="preserve">128.730" string="0" fret="5" leftHand="1" /&gt;&lt;chordNote </t>
  </si>
  <si>
    <t>128.730" string="1" fret="7" leftHand="3" /&gt;</t>
  </si>
  <si>
    <t xml:space="preserve">129.170" string="0" fret="5" leftHand="1" /&gt;&lt;chordNote </t>
  </si>
  <si>
    <t>129.170" string="1" fret="7" leftHand="3" /&gt;</t>
  </si>
  <si>
    <t xml:space="preserve">129.370" string="0" fret="5" leftHand="1" /&gt;&lt;chordNote </t>
  </si>
  <si>
    <t>129.370" string="1" fret="7" leftHand="3" /&gt;</t>
  </si>
  <si>
    <t xml:space="preserve">129.570" string="0" fret="5" leftHand="1" /&gt;&lt;chordNote </t>
  </si>
  <si>
    <t>129.570" string="1" fret="7" leftHand="3" /&gt;</t>
  </si>
  <si>
    <t xml:space="preserve">129.780" string="0" fret="5" leftHand="1" /&gt;&lt;chordNote </t>
  </si>
  <si>
    <t>129.780" string="1" fret="7" leftHand="3" /&gt;</t>
  </si>
  <si>
    <t xml:space="preserve">130.000" string="0" fret="3" leftHand="1" /&gt;&lt;chordNote </t>
  </si>
  <si>
    <t>130.000" string="1" fret="5" leftHand="3" /&gt;</t>
  </si>
  <si>
    <t xml:space="preserve">130.220" string="0" fret="3" leftHand="1" /&gt;&lt;chordNote </t>
  </si>
  <si>
    <t>130.220" string="1" fret="5" leftHand="3" /&gt;</t>
  </si>
  <si>
    <t xml:space="preserve">130.450" string="0" fret="5" leftHand="1" /&gt;&lt;chordNote </t>
  </si>
  <si>
    <t>130.450" string="1" fret="7" leftHand="3" /&gt;</t>
  </si>
  <si>
    <t xml:space="preserve">130.928" string="0" fret="5" leftHand="1" /&gt;&lt;chordNote </t>
  </si>
  <si>
    <t>130.928" string="1" fret="7" leftHand="3" /&gt;</t>
  </si>
  <si>
    <t xml:space="preserve">131.138" string="0" fret="5" leftHand="1" /&gt;&lt;chordNote </t>
  </si>
  <si>
    <t>131.138" string="1" fret="7" leftHand="3" /&gt;</t>
  </si>
  <si>
    <t xml:space="preserve">131.338" string="0" fret="5" leftHand="1" /&gt;&lt;chordNote </t>
  </si>
  <si>
    <t>131.338" string="1" fret="7" leftHand="3" /&gt;</t>
  </si>
  <si>
    <t xml:space="preserve">131.558" string="0" fret="5" leftHand="1" /&gt;&lt;chordNote </t>
  </si>
  <si>
    <t>131.558" string="1" fret="7" leftHand="3" /&gt;</t>
  </si>
  <si>
    <t xml:space="preserve">131.778" string="0" fret="3" leftHand="1" /&gt;&lt;chordNote </t>
  </si>
  <si>
    <t>131.778" string="1" fret="5" leftHand="3" /&gt;</t>
  </si>
  <si>
    <t xml:space="preserve">131.998" string="0" fret="3" leftHand="1" /&gt;&lt;chordNote </t>
  </si>
  <si>
    <t>131.998" string="1" fret="5" leftHand="3" /&gt;</t>
  </si>
  <si>
    <t xml:space="preserve">132.218" string="0" fret="5" leftHand="1" /&gt;&lt;chordNote </t>
  </si>
  <si>
    <t>132.218" string="1" fret="7" leftHand="3" /&gt;</t>
  </si>
  <si>
    <t xml:space="preserve">132.688" string="0" fret="5" leftHand="1" /&gt;&lt;chordNote </t>
  </si>
  <si>
    <t>132.688" string="1" fret="7" leftHand="3" /&gt;</t>
  </si>
  <si>
    <t xml:space="preserve">132.908" string="0" fret="5" leftHand="1" /&gt;&lt;chordNote </t>
  </si>
  <si>
    <t>132.908" string="1" fret="7" leftHand="3" /&gt;</t>
  </si>
  <si>
    <t xml:space="preserve">133.108" string="0" fret="5" leftHand="1" /&gt;&lt;chordNote </t>
  </si>
  <si>
    <t>133.108" string="1" fret="7" leftHand="3" /&gt;</t>
  </si>
  <si>
    <t xml:space="preserve">133.328" string="0" fret="5" leftHand="1" /&gt;&lt;chordNote </t>
  </si>
  <si>
    <t>133.328" string="1" fret="7" leftHand="3" /&gt;</t>
  </si>
  <si>
    <t xml:space="preserve">133.538" string="0" fret="3" leftHand="1" /&gt;&lt;chordNote </t>
  </si>
  <si>
    <t>133.538" string="1" fret="5" leftHand="3" /&gt;</t>
  </si>
  <si>
    <t xml:space="preserve">133.748" string="0" fret="3" leftHand="1" /&gt;&lt;chordNote </t>
  </si>
  <si>
    <t>133.748" string="1" fret="5" leftHand="3" /&gt;</t>
  </si>
  <si>
    <t xml:space="preserve">133.958" string="0" fret="5" leftHand="1" /&gt;&lt;chordNote </t>
  </si>
  <si>
    <t>133.958" string="1" fret="7" leftHand="3" /&gt;</t>
  </si>
  <si>
    <t xml:space="preserve">134.400" string="0" fret="5" leftHand="1" /&gt;&lt;chordNote </t>
  </si>
  <si>
    <t>134.400" string="1" fret="7" leftHand="3" /&gt;</t>
  </si>
  <si>
    <t xml:space="preserve">134.610" string="0" fret="5" leftHand="1" /&gt;&lt;chordNote </t>
  </si>
  <si>
    <t>134.610" string="1" fret="7" leftHand="3" /&gt;</t>
  </si>
  <si>
    <t xml:space="preserve">134.820" string="0" fret="5" leftHand="1" /&gt;&lt;chordNote </t>
  </si>
  <si>
    <t>134.820" string="1" fret="7" leftHand="3" /&gt;</t>
  </si>
  <si>
    <t xml:space="preserve">135.048" string="0" fret="5" leftHand="1" /&gt;&lt;chordNote </t>
  </si>
  <si>
    <t>135.048" string="1" fret="7" leftHand="3" /&gt;</t>
  </si>
  <si>
    <t xml:space="preserve">135.268" string="0" fret="5" leftHand="1" /&gt;&lt;chordNote </t>
  </si>
  <si>
    <t>135.268" string="1" fret="7" leftHand="3" /&gt;</t>
  </si>
  <si>
    <t xml:space="preserve">135.488" string="0" fret="5" leftHand="1" /&gt;&lt;chordNote </t>
  </si>
  <si>
    <t>135.488" string="1" fret="7" leftHand="3" /&gt;</t>
  </si>
  <si>
    <t xml:space="preserve">135.698" string="0" fret="5" leftHand="1" /&gt;&lt;chordNote </t>
  </si>
  <si>
    <t>135.698" string="1" fret="7" leftHand="3" /&gt;</t>
  </si>
  <si>
    <t xml:space="preserve">135.916" string="0" fret="5" leftHand="1" /&gt;&lt;chordNote </t>
  </si>
  <si>
    <t>135.916" string="1" fret="7" leftHand="3" /&gt;</t>
  </si>
  <si>
    <t xml:space="preserve">138.640" string="2" fret="12" leftHand="2" /&gt;&lt;chordNote </t>
  </si>
  <si>
    <t>138.640" string="3" fret="12" leftHand="3" /&gt;</t>
  </si>
  <si>
    <t xml:space="preserve">139.120" string="2" fret="10" leftHand="2" /&gt;&lt;chordNote </t>
  </si>
  <si>
    <t>139.120" string="3" fret="10" leftHand="3" /&gt;</t>
  </si>
  <si>
    <t xml:space="preserve">142.088" string="2" fret="12" leftHand="2" /&gt;&lt;chordNote </t>
  </si>
  <si>
    <t>142.088" string="3" fret="12" leftHand="3" /&gt;</t>
  </si>
  <si>
    <t xml:space="preserve">142.568" string="2" fret="10" leftHand="2" /&gt;&lt;chordNote </t>
  </si>
  <si>
    <t>142.568" string="3" fret="10" leftHand="3" /&gt;</t>
  </si>
  <si>
    <t xml:space="preserve">145.583" string="2" fret="12" leftHand="2" /&gt;&lt;chordNote </t>
  </si>
  <si>
    <t>145.583" string="3" fret="12" leftHand="3" /&gt;</t>
  </si>
  <si>
    <t xml:space="preserve">146.063" string="2" fret="10" leftHand="2" /&gt;&lt;chordNote </t>
  </si>
  <si>
    <t>146.063" string="3" fret="10" leftHand="3" /&gt;</t>
  </si>
  <si>
    <t xml:space="preserve">149.031" string="2" fret="12" leftHand="2" /&gt;&lt;chordNote </t>
  </si>
  <si>
    <t>149.031" string="3" fret="12" leftHand="3" /&gt;</t>
  </si>
  <si>
    <t xml:space="preserve">149.511" string="2" fret="10" leftHand="2" /&gt;&lt;chordNote </t>
  </si>
  <si>
    <t>149.511" string="3" fret="10" leftHand="3" /&gt;</t>
  </si>
  <si>
    <t xml:space="preserve">149.995" string="0" fret="10" leftHand="1" /&gt;&lt;chordNote </t>
  </si>
  <si>
    <t>149.995" string="1" fret="12" leftHand="3" /&gt;</t>
  </si>
  <si>
    <t xml:space="preserve">152.588" string="2" fret="12" leftHand="2" /&gt;&lt;chordNote </t>
  </si>
  <si>
    <t>152.588" string="3" fret="12" leftHand="3" /&gt;</t>
  </si>
  <si>
    <t xml:space="preserve">153.008" string="2" fret="10" leftHand="2" /&gt;&lt;chordNote </t>
  </si>
  <si>
    <t>153.008" string="3" fret="10" leftHand="3" /&gt;</t>
  </si>
  <si>
    <t xml:space="preserve">153.449" string="0" fret="10" leftHand="1" /&gt;&lt;chordNote </t>
  </si>
  <si>
    <t>153.449" string="1" fret="12" leftHand="3" /&gt;</t>
  </si>
  <si>
    <t xml:space="preserve">156.095" string="2" fret="12" leftHand="2" /&gt;&lt;chordNote </t>
  </si>
  <si>
    <t>156.095" string="3" fret="12" leftHand="3" /&gt;</t>
  </si>
  <si>
    <t xml:space="preserve">156.475" string="2" fret="10" leftHand="2" /&gt;&lt;chordNote </t>
  </si>
  <si>
    <t>156.475" string="3" fret="10" leftHand="3" /&gt;</t>
  </si>
  <si>
    <t xml:space="preserve">156.913" string="0" fret="10" leftHand="1" /&gt;&lt;chordNote </t>
  </si>
  <si>
    <t>156.913" string="1" fret="12" leftHand="3" /&gt;</t>
  </si>
  <si>
    <t xml:space="preserve">159.506" string="2" fret="12" leftHand="2" /&gt;&lt;chordNote </t>
  </si>
  <si>
    <t>159.506" string="3" fret="12" leftHand="3" /&gt;</t>
  </si>
  <si>
    <t xml:space="preserve">159.926" string="2" fret="10" leftHand="2" /&gt;&lt;chordNote </t>
  </si>
  <si>
    <t>159.926" string="3" fret="10" leftHand="3" /&gt;</t>
  </si>
  <si>
    <t xml:space="preserve">160.367" string="0" fret="10" leftHand="1" /&gt;&lt;chordNote </t>
  </si>
  <si>
    <t>160.367" string="1" fret="12" leftHand="3" /&gt;</t>
  </si>
  <si>
    <t xml:space="preserve">163.013" string="2" fret="12" leftHand="2" /&gt;&lt;chordNote </t>
  </si>
  <si>
    <t>163.013" string="3" fret="12" leftHand="3" /&gt;</t>
  </si>
  <si>
    <t xml:space="preserve">163.393" string="2" fret="10" leftHand="2" /&gt;&lt;chordNote </t>
  </si>
  <si>
    <t>163.393" string="3" fret="10" leftHand="3" /&gt;</t>
  </si>
  <si>
    <t xml:space="preserve">163.831" string="0" fret="10" leftHand="1" /&gt;&lt;chordNote </t>
  </si>
  <si>
    <t>163.831" string="1" fret="12" leftHand="3" /&gt;</t>
  </si>
  <si>
    <t xml:space="preserve">164.735" string="2" fret="12" leftHand="2" /&gt;&lt;chordNote </t>
  </si>
  <si>
    <t>164.735" string="3" fret="12" leftHand="3" /&gt;</t>
  </si>
  <si>
    <t xml:space="preserve">165.125" string="2" fret="10" leftHand="2" /&gt;&lt;chordNote </t>
  </si>
  <si>
    <t>165.125" string="3" fret="10" leftHand="3" /&gt;</t>
  </si>
  <si>
    <t xml:space="preserve">165.566" string="0" fret="10" leftHand="1" /&gt;&lt;chordNote </t>
  </si>
  <si>
    <t>165.566" string="1" fret="12" leftHand="3" /&gt;</t>
  </si>
  <si>
    <t xml:space="preserve">166.492" string="2" fret="12" leftHand="2" /&gt;&lt;chordNote </t>
  </si>
  <si>
    <t>166.492" string="3" fret="12" leftHand="3" /&gt;</t>
  </si>
  <si>
    <t xml:space="preserve">166.892" string="2" fret="10" leftHand="2" /&gt;&lt;chordNote </t>
  </si>
  <si>
    <t>166.892" string="3" fret="10" leftHand="3" /&gt;</t>
  </si>
  <si>
    <t xml:space="preserve">167.293" string="0" fret="10" leftHand="1" /&gt;&lt;chordNote </t>
  </si>
  <si>
    <t>167.293" string="1" fret="12" leftHand="3" /&gt;</t>
  </si>
  <si>
    <t xml:space="preserve">168.242" string="2" fret="12" leftHand="2" /&gt;&lt;chordNote </t>
  </si>
  <si>
    <t>168.242" string="3" fret="12" leftHand="3" /&gt;</t>
  </si>
  <si>
    <t xml:space="preserve">168.614" string="2" fret="10" leftHand="2" /&gt;&lt;chordNote </t>
  </si>
  <si>
    <t>168.614" string="3" fret="10" leftHand="3" /&gt;</t>
  </si>
  <si>
    <t xml:space="preserve">169.045" string="0" fret="10" leftHand="1" /&gt;&lt;chordNote </t>
  </si>
  <si>
    <t>169.045" string="1" fret="12" leftHand="3" /&gt;</t>
  </si>
  <si>
    <t xml:space="preserve">169.922" string="2" fret="12" leftHand="2" /&gt;&lt;chordNote </t>
  </si>
  <si>
    <t>169.922" string="3" fret="12" leftHand="3" /&gt;</t>
  </si>
  <si>
    <t xml:space="preserve">170.312" string="2" fret="10" leftHand="2" /&gt;&lt;chordNote </t>
  </si>
  <si>
    <t>170.312" string="3" fret="10" leftHand="3" /&gt;</t>
  </si>
  <si>
    <t xml:space="preserve">170.753" string="0" fret="10" leftHand="1" /&gt;&lt;chordNote </t>
  </si>
  <si>
    <t>170.753" string="1" fret="12" leftHand="3" /&gt;</t>
  </si>
  <si>
    <t xml:space="preserve">171.753" string="2" fret="12" leftHand="2" /&gt;&lt;chordNote </t>
  </si>
  <si>
    <t>171.753" string="3" fret="12" leftHand="3" /&gt;</t>
  </si>
  <si>
    <t xml:space="preserve">172.142" string="2" fret="10" leftHand="2" /&gt;&lt;chordNote </t>
  </si>
  <si>
    <t>172.142" string="3" fret="10" leftHand="3" /&gt;</t>
  </si>
  <si>
    <t xml:space="preserve">172.583" string="0" fret="10" leftHand="1" /&gt;&lt;chordNote </t>
  </si>
  <si>
    <t>172.583" string="1" fret="12" leftHand="3" /&gt;</t>
  </si>
  <si>
    <t xml:space="preserve">173.474" string="2" fret="12" leftHand="2" /&gt;&lt;chordNote </t>
  </si>
  <si>
    <t>173.474" string="3" fret="12" leftHand="3" /&gt;</t>
  </si>
  <si>
    <t xml:space="preserve">173.864" string="2" fret="10" leftHand="2" /&gt;&lt;chordNote </t>
  </si>
  <si>
    <t>173.864" string="3" fret="10" leftHand="3" /&gt;</t>
  </si>
  <si>
    <t xml:space="preserve">174.305" string="0" fret="10" leftHand="1" /&gt;&lt;chordNote </t>
  </si>
  <si>
    <t>174.305" string="1" fret="12" leftHand="3" /&gt;</t>
  </si>
  <si>
    <t xml:space="preserve">175.184" string="2" fret="12" leftHand="2" /&gt;&lt;chordNote </t>
  </si>
  <si>
    <t>175.184" string="3" fret="12" leftHand="3" /&gt;</t>
  </si>
  <si>
    <t xml:space="preserve">175.574" string="2" fret="10" leftHand="2" /&gt;&lt;chordNote </t>
  </si>
  <si>
    <t>175.574" string="3" fret="10" leftHand="3" /&gt;</t>
  </si>
  <si>
    <t xml:space="preserve">176.006" string="0" fret="10" leftHand="1" /&gt;&lt;chordNote </t>
  </si>
  <si>
    <t>176.006" string="1" fret="12" leftHand="3" /&gt;</t>
  </si>
  <si>
    <t xml:space="preserve">176.930" string="2" fret="12" leftHand="2" /&gt;&lt;chordNote </t>
  </si>
  <si>
    <t>176.930" string="3" fret="12" leftHand="3" /&gt;</t>
  </si>
  <si>
    <t xml:space="preserve">177.300" string="2" fret="10" leftHand="2" /&gt;&lt;chordNote </t>
  </si>
  <si>
    <t>177.300" string="3" fret="10" leftHand="3" /&gt;</t>
  </si>
  <si>
    <t xml:space="preserve">177.741" string="0" fret="10" leftHand="1" /&gt;&lt;chordNote </t>
  </si>
  <si>
    <t>177.741" string="1" fret="12" leftHand="3" /&gt;</t>
  </si>
  <si>
    <t xml:space="preserve">178.695" string="2" fret="12" leftHand="2" /&gt;&lt;chordNote </t>
  </si>
  <si>
    <t>178.695" string="3" fret="12" leftHand="3" /&gt;</t>
  </si>
  <si>
    <t xml:space="preserve">179.067" string="2" fret="10" leftHand="2" /&gt;&lt;chordNote </t>
  </si>
  <si>
    <t>179.067" string="3" fret="10" leftHand="3" /&gt;</t>
  </si>
  <si>
    <t xml:space="preserve">179.468" string="0" fret="10" leftHand="1" /&gt;&lt;chordNote </t>
  </si>
  <si>
    <t>179.468" string="1" fret="12" leftHand="3" /&gt;</t>
  </si>
  <si>
    <t xml:space="preserve">180.447" string="2" fret="12" leftHand="2" /&gt;&lt;chordNote </t>
  </si>
  <si>
    <t>180.447" string="3" fret="12" leftHand="3" /&gt;</t>
  </si>
  <si>
    <t xml:space="preserve">180.819" string="2" fret="10" leftHand="2" /&gt;&lt;chordNote </t>
  </si>
  <si>
    <t>180.819" string="3" fret="10" leftHand="3" /&gt;</t>
  </si>
  <si>
    <t xml:space="preserve">181.250" string="0" fret="10" leftHand="1" /&gt;&lt;chordNote </t>
  </si>
  <si>
    <t>181.250" string="1" fret="12" leftHand="3" /&gt;</t>
  </si>
  <si>
    <t xml:space="preserve">182.157" string="2" fret="12" leftHand="2" /&gt;&lt;chordNote </t>
  </si>
  <si>
    <t>182.157" string="3" fret="12" leftHand="3" /&gt;</t>
  </si>
  <si>
    <t xml:space="preserve">182.527" string="2" fret="10" leftHand="2" /&gt;&lt;chordNote </t>
  </si>
  <si>
    <t>182.527" string="3" fret="10" leftHand="3" /&gt;</t>
  </si>
  <si>
    <t xml:space="preserve">182.958" string="0" fret="10" leftHand="1" /&gt;&lt;chordNote </t>
  </si>
  <si>
    <t>182.958" string="1" fret="12" leftHand="3" /&gt;</t>
  </si>
  <si>
    <t xml:space="preserve">183.957" string="2" fret="12" leftHand="2" /&gt;&lt;chordNote </t>
  </si>
  <si>
    <t>183.957" string="3" fret="12" leftHand="3" /&gt;</t>
  </si>
  <si>
    <t xml:space="preserve">184.347" string="2" fret="10" leftHand="2" /&gt;&lt;chordNote </t>
  </si>
  <si>
    <t>184.347" string="3" fret="10" leftHand="3" /&gt;</t>
  </si>
  <si>
    <t xml:space="preserve">184.788" string="0" fret="10" leftHand="1" /&gt;&lt;chordNote </t>
  </si>
  <si>
    <t>184.788" string="1" fret="12" leftHand="3" /&gt;</t>
  </si>
  <si>
    <t xml:space="preserve">185.679" string="2" fret="12" leftHand="2" /&gt;&lt;chordNote </t>
  </si>
  <si>
    <t>185.679" string="3" fret="12" leftHand="3" /&gt;</t>
  </si>
  <si>
    <t xml:space="preserve">186.069" string="2" fret="10" leftHand="2" /&gt;&lt;chordNote </t>
  </si>
  <si>
    <t>186.069" string="3" fret="10" leftHand="3" /&gt;</t>
  </si>
  <si>
    <t xml:space="preserve">186.510" string="0" fret="10" leftHand="1" /&gt;&lt;chordNote </t>
  </si>
  <si>
    <t>186.510" string="1" fret="12" leftHand="3" /&gt;</t>
  </si>
  <si>
    <t xml:space="preserve">187.389" string="2" fret="12" leftHand="2" /&gt;&lt;chordNote </t>
  </si>
  <si>
    <t>187.389" string="3" fret="12" leftHand="3" /&gt;</t>
  </si>
  <si>
    <t xml:space="preserve">187.779" string="2" fret="10" leftHand="2" /&gt;&lt;chordNote </t>
  </si>
  <si>
    <t>187.779" string="3" fret="10" leftHand="3" /&gt;</t>
  </si>
  <si>
    <t xml:space="preserve">188.207" string="0" fret="10" leftHand="1" /&gt;&lt;chordNote </t>
  </si>
  <si>
    <t>188.207" string="1" fret="12" leftHand="3" /&gt;</t>
  </si>
  <si>
    <t xml:space="preserve">189.206" string="2" fret="12" leftHand="2" /&gt;&lt;chordNote </t>
  </si>
  <si>
    <t>189.206" string="3" fret="12" leftHand="3" /&gt;</t>
  </si>
  <si>
    <t xml:space="preserve">189.596" string="2" fret="10" leftHand="2" /&gt;&lt;chordNote </t>
  </si>
  <si>
    <t>189.596" string="3" fret="10" leftHand="3" /&gt;</t>
  </si>
  <si>
    <t xml:space="preserve">190.037" string="0" fret="10" leftHand="1" /&gt;&lt;chordNote </t>
  </si>
  <si>
    <t>190.037" string="1" fret="12" leftHand="3" /&gt;</t>
  </si>
  <si>
    <t xml:space="preserve">190.942" string="0" fret="8" leftHand="1" /&gt;&lt;chordNote </t>
  </si>
  <si>
    <t>190.942" string="1" fret="10" leftHand="3" /&gt;</t>
  </si>
  <si>
    <t xml:space="preserve">191.162" string="0" fret="8" leftHand="1" /&gt;&lt;chordNote </t>
  </si>
  <si>
    <t>191.162" string="1" fret="10" leftHand="3" /&gt;</t>
  </si>
  <si>
    <t xml:space="preserve">191.382" string="0" fret="10" leftHand="1" /&gt;&lt;chordNote </t>
  </si>
  <si>
    <t>191.382" string="1" fret="12" leftHand="3" /&gt;        &lt;/chord&gt;      &lt;/chords&gt;</t>
  </si>
  <si>
    <t>&lt;chords count="242"&gt;        &lt;chord time="</t>
  </si>
  <si>
    <t>10.000" chordId="6" &gt;&lt;chordNote time="</t>
  </si>
  <si>
    <t>10.000" string="0" fret="8" leftHand="1" /&gt;&lt;chordNote time="10.000" string="1" fret="10" leftHand="3" /&gt;</t>
  </si>
  <si>
    <t>Column1.12</t>
  </si>
  <si>
    <t>Column1.13</t>
  </si>
  <si>
    <t>Column1.14</t>
  </si>
  <si>
    <t>Column1.15</t>
  </si>
  <si>
    <t xml:space="preserve">&lt;note </t>
  </si>
  <si>
    <t>10.040" string="1" fret="3" /&gt;</t>
  </si>
  <si>
    <t>10.290" string="1" fret="3" /&gt;</t>
  </si>
  <si>
    <t>10.540" string="1" fret="5" sustain="3.497" /&gt;</t>
  </si>
  <si>
    <t>14.040" string="1" fret="3" /&gt;</t>
  </si>
  <si>
    <t>14.290" string="1" fret="3" /&gt;</t>
  </si>
  <si>
    <t>14.540" string="1" fret="5" sustain="3.497" /&gt;</t>
  </si>
  <si>
    <t>18.040" string="1" fret="3" /&gt;</t>
  </si>
  <si>
    <t>18.290" string="1" fret="3" /&gt;</t>
  </si>
  <si>
    <t>18.540" string="1" fret="5" sustain="3.497" /&gt;</t>
  </si>
  <si>
    <t>22.040" string="1" fret="3" /&gt;</t>
  </si>
  <si>
    <t>22.290" string="1" fret="3" /&gt;</t>
  </si>
  <si>
    <t>22.540" string="1" fret="5" sustain="3.497" /&gt;</t>
  </si>
  <si>
    <t>26.040" string="1" fret="3" /&gt;</t>
  </si>
  <si>
    <t>26.290" string="1" fret="3" /&gt;</t>
  </si>
  <si>
    <t>26.540" string="1" fret="5" sustain="0.497" /&gt;</t>
  </si>
  <si>
    <t>27.040" string="1" fret="5" /&gt;</t>
  </si>
  <si>
    <t>27.290" string="1" fret="5" /&gt;</t>
  </si>
  <si>
    <t>27.540" string="1" fret="5" /&gt;</t>
  </si>
  <si>
    <t>27.790" string="1" fret="5" /&gt;</t>
  </si>
  <si>
    <t>28.040" string="2" fret="5" /&gt;</t>
  </si>
  <si>
    <t>28.540" string="2" fret="3" sustain="0.497" /&gt;</t>
  </si>
  <si>
    <t>29.040" string="1" fret="5" /&gt;</t>
  </si>
  <si>
    <t>29.290" string="1" fret="5" /&gt;</t>
  </si>
  <si>
    <t>29.540" string="1" fret="5" /&gt;</t>
  </si>
  <si>
    <t>29.790" string="1" fret="5" /&gt;</t>
  </si>
  <si>
    <t>30.040" string="2" fret="5" /&gt;</t>
  </si>
  <si>
    <t>30.540" string="2" fret="3" sustain="0.497" /&gt;</t>
  </si>
  <si>
    <t>31.040" string="1" fret="5" /&gt;</t>
  </si>
  <si>
    <t>31.290" string="1" fret="5" /&gt;</t>
  </si>
  <si>
    <t>31.540" string="1" fret="5" /&gt;</t>
  </si>
  <si>
    <t>31.790" string="1" fret="5" /&gt;</t>
  </si>
  <si>
    <t>32.040" string="2" fret="5" /&gt;</t>
  </si>
  <si>
    <t>32.540" string="2" fret="3" sustain="0.497" /&gt;</t>
  </si>
  <si>
    <t>33.040" string="1" fret="5" /&gt;</t>
  </si>
  <si>
    <t>33.290" string="1" fret="5" /&gt;</t>
  </si>
  <si>
    <t>33.540" string="1" fret="5" /&gt;</t>
  </si>
  <si>
    <t>33.790" string="1" fret="5" /&gt;</t>
  </si>
  <si>
    <t>34.040" string="2" fret="5" /&gt;</t>
  </si>
  <si>
    <t>34.540" string="2" fret="3" sustain="0.497" /&gt;</t>
  </si>
  <si>
    <t>35.040" string="1" fret="5" /&gt;</t>
  </si>
  <si>
    <t>35.290" string="1" fret="5" /&gt;</t>
  </si>
  <si>
    <t>35.540" string="1" fret="5" /&gt;</t>
  </si>
  <si>
    <t>35.790" string="1" fret="5" /&gt;</t>
  </si>
  <si>
    <t>36.040" string="2" fret="5" sustain="0.747" /&gt;</t>
  </si>
  <si>
    <t>36.790" string="1" fret="5" /&gt;</t>
  </si>
  <si>
    <t>37.040" string="1" fret="5" /&gt;</t>
  </si>
  <si>
    <t>37.290" string="1" fret="5" /&gt;</t>
  </si>
  <si>
    <t>37.540" string="1" fret="5" /&gt;</t>
  </si>
  <si>
    <t>37.790" string="1" fret="5" /&gt;</t>
  </si>
  <si>
    <t>38.040" string="2" fret="5" /&gt;</t>
  </si>
  <si>
    <t>38.540" string="2" fret="3" sustain="0.497" /&gt;</t>
  </si>
  <si>
    <t>39.040" string="1" fret="5" /&gt;</t>
  </si>
  <si>
    <t>39.290" string="1" fret="5" /&gt;</t>
  </si>
  <si>
    <t>39.540" string="1" fret="5" /&gt;</t>
  </si>
  <si>
    <t>39.790" string="1" fret="5" /&gt;</t>
  </si>
  <si>
    <t>40.040" string="2" fret="5" /&gt;</t>
  </si>
  <si>
    <t>40.540" string="2" fret="3" sustain="0.497" /&gt;</t>
  </si>
  <si>
    <t>41.040" string="1" fret="5" /&gt;</t>
  </si>
  <si>
    <t>41.290" string="1" fret="5" /&gt;</t>
  </si>
  <si>
    <t>41.540" string="1" fret="5" /&gt;</t>
  </si>
  <si>
    <t>41.790" string="1" fret="5" /&gt;</t>
  </si>
  <si>
    <t>42.040" string="2" fret="5" /&gt;</t>
  </si>
  <si>
    <t>42.540" string="2" fret="3" sustain="0.497" /&gt;</t>
  </si>
  <si>
    <t>43.040" string="1" fret="5" /&gt;</t>
  </si>
  <si>
    <t>43.290" string="1" fret="5" /&gt;</t>
  </si>
  <si>
    <t>43.540" string="1" fret="5" /&gt;</t>
  </si>
  <si>
    <t>43.790" string="1" fret="5" /&gt;</t>
  </si>
  <si>
    <t>44.040" string="1" fret="5" /&gt;</t>
  </si>
  <si>
    <t>44.290" string="1" fret="5" /&gt;</t>
  </si>
  <si>
    <t>44.540" string="1" fret="5" /&gt;</t>
  </si>
  <si>
    <t>44.790" string="1" fret="5" /&gt;</t>
  </si>
  <si>
    <t>45.040" string="1" fret="5" /&gt;</t>
  </si>
  <si>
    <t>45.290" string="1" fret="5" /&gt;</t>
  </si>
  <si>
    <t>45.540" string="1" fret="5" /&gt;</t>
  </si>
  <si>
    <t>45.790" string="1" fret="5" /&gt;</t>
  </si>
  <si>
    <t>46.040" string="2" fret="5" /&gt;</t>
  </si>
  <si>
    <t>46.540" string="2" fret="3" sustain="0.497" /&gt;</t>
  </si>
  <si>
    <t>47.040" string="1" fret="5" /&gt;</t>
  </si>
  <si>
    <t>47.290" string="1" fret="5" /&gt;</t>
  </si>
  <si>
    <t>47.540" string="1" fret="5" /&gt;</t>
  </si>
  <si>
    <t>47.790" string="1" fret="5" /&gt;</t>
  </si>
  <si>
    <t>48.040" string="1" fret="5" /&gt;</t>
  </si>
  <si>
    <t>48.290" string="1" fret="5" /&gt;</t>
  </si>
  <si>
    <t>48.540" string="1" fret="5" /&gt;</t>
  </si>
  <si>
    <t>48.790" string="1" fret="5" /&gt;</t>
  </si>
  <si>
    <t>49.040" string="1" fret="5" /&gt;</t>
  </si>
  <si>
    <t>49.290" string="1" fret="5" /&gt;</t>
  </si>
  <si>
    <t>49.540" string="1" fret="5" /&gt;</t>
  </si>
  <si>
    <t>49.790" string="1" fret="5" /&gt;</t>
  </si>
  <si>
    <t>50.040" string="2" fret="5" /&gt;</t>
  </si>
  <si>
    <t>50.540" string="2" fret="3" sustain="0.497" /&gt;</t>
  </si>
  <si>
    <t>51.040" string="1" fret="5" /&gt;</t>
  </si>
  <si>
    <t>51.290" string="1" fret="5" /&gt;</t>
  </si>
  <si>
    <t>51.540" string="1" fret="5" /&gt;</t>
  </si>
  <si>
    <t>51.790" string="1" fret="5" /&gt;</t>
  </si>
  <si>
    <t>52.040" string="1" fret="5" /&gt;</t>
  </si>
  <si>
    <t>52.290" string="1" fret="5" /&gt;</t>
  </si>
  <si>
    <t>52.540" string="1" fret="5" /&gt;</t>
  </si>
  <si>
    <t>52.790" string="1" fret="5" /&gt;</t>
  </si>
  <si>
    <t>53.040" string="1" fret="5" /&gt;</t>
  </si>
  <si>
    <t>53.290" string="1" fret="5" /&gt;</t>
  </si>
  <si>
    <t>53.540" string="1" fret="5" /&gt;</t>
  </si>
  <si>
    <t>53.790" string="1" fret="5" /&gt;</t>
  </si>
  <si>
    <t>54.040" string="2" fret="5" /&gt;</t>
  </si>
  <si>
    <t>54.540" string="2" fret="3" sustain="0.497" /&gt;</t>
  </si>
  <si>
    <t>55.040" string="1" fret="5" /&gt;</t>
  </si>
  <si>
    <t>55.290" string="1" fret="5" /&gt;</t>
  </si>
  <si>
    <t>55.540" string="1" fret="5" /&gt;</t>
  </si>
  <si>
    <t>55.790" string="1" fret="5" /&gt;</t>
  </si>
  <si>
    <t>56.040" string="1" fret="5" /&gt;</t>
  </si>
  <si>
    <t>56.290" string="1" fret="5" /&gt;</t>
  </si>
  <si>
    <t>56.540" string="1" fret="5" /&gt;</t>
  </si>
  <si>
    <t>56.790" string="1" fret="5" /&gt;</t>
  </si>
  <si>
    <t>57.040" string="1" fret="5" /&gt;</t>
  </si>
  <si>
    <t>57.290" string="1" fret="5" /&gt;</t>
  </si>
  <si>
    <t>57.540" string="1" fret="5" /&gt;</t>
  </si>
  <si>
    <t>57.790" string="1" fret="5" /&gt;</t>
  </si>
  <si>
    <t>58.040" string="2" fret="5" /&gt;</t>
  </si>
  <si>
    <t>58.540" string="2" fret="3" sustain="0.497" /&gt;</t>
  </si>
  <si>
    <t>59.040" string="1" fret="5" /&gt;</t>
  </si>
  <si>
    <t>59.290" string="1" fret="5" /&gt;</t>
  </si>
  <si>
    <t>59.540" string="1" fret="5" /&gt;</t>
  </si>
  <si>
    <t>59.790" string="1" fret="5" /&gt;</t>
  </si>
  <si>
    <t>60.040" string="1" fret="5" /&gt;</t>
  </si>
  <si>
    <t>60.290" string="1" fret="5" /&gt;</t>
  </si>
  <si>
    <t>60.540" string="1" fret="5" /&gt;</t>
  </si>
  <si>
    <t>60.790" string="1" fret="5" /&gt;</t>
  </si>
  <si>
    <t>61.040" string="1" fret="5" /&gt;</t>
  </si>
  <si>
    <t>61.290" string="1" fret="5" /&gt;</t>
  </si>
  <si>
    <t>61.540" string="1" fret="5" /&gt;</t>
  </si>
  <si>
    <t>61.790" string="1" fret="5" /&gt;</t>
  </si>
  <si>
    <t>62.040" string="2" fret="5" /&gt;</t>
  </si>
  <si>
    <t>62.540" string="2" fret="3" sustain="0.497" /&gt;</t>
  </si>
  <si>
    <t>63.040" string="1" fret="5" /&gt;</t>
  </si>
  <si>
    <t>63.290" string="1" fret="5" /&gt;</t>
  </si>
  <si>
    <t>63.540" string="1" fret="5" /&gt;</t>
  </si>
  <si>
    <t>63.790" string="1" fret="5" /&gt;</t>
  </si>
  <si>
    <t>64.040" string="1" fret="5" /&gt;</t>
  </si>
  <si>
    <t>64.290" string="1" fret="5" /&gt;</t>
  </si>
  <si>
    <t>64.540" string="1" fret="5" /&gt;</t>
  </si>
  <si>
    <t>64.790" string="1" fret="5" /&gt;</t>
  </si>
  <si>
    <t>65.040" string="1" fret="5" /&gt;</t>
  </si>
  <si>
    <t>65.290" string="1" fret="5" /&gt;</t>
  </si>
  <si>
    <t>65.540" string="1" fret="5" /&gt;</t>
  </si>
  <si>
    <t>65.790" string="1" fret="5" /&gt;</t>
  </si>
  <si>
    <t>66.040" string="2" fret="5" /&gt;</t>
  </si>
  <si>
    <t>66.540" string="2" fret="3" sustain="0.497" /&gt;</t>
  </si>
  <si>
    <t>67.040" string="1" fret="5" /&gt;</t>
  </si>
  <si>
    <t>67.290" string="1" fret="5" /&gt;</t>
  </si>
  <si>
    <t>67.540" string="1" fret="5" /&gt;</t>
  </si>
  <si>
    <t>67.790" string="1" fret="5" /&gt;</t>
  </si>
  <si>
    <t>68.040" string="1" fret="5" /&gt;</t>
  </si>
  <si>
    <t>68.290" string="1" fret="5" /&gt;</t>
  </si>
  <si>
    <t>68.540" string="1" fret="5" /&gt;</t>
  </si>
  <si>
    <t>68.790" string="1" fret="5" /&gt;</t>
  </si>
  <si>
    <t>69.040" string="1" fret="5" /&gt;</t>
  </si>
  <si>
    <t>69.290" string="1" fret="5" /&gt;</t>
  </si>
  <si>
    <t>69.540" string="1" fret="5" /&gt;</t>
  </si>
  <si>
    <t>69.790" string="1" fret="5" /&gt;</t>
  </si>
  <si>
    <t>70.040" string="2" fret="5" /&gt;</t>
  </si>
  <si>
    <t>70.540" string="2" fret="3" sustain="0.497" /&gt;</t>
  </si>
  <si>
    <t>71.040" string="1" fret="5" /&gt;</t>
  </si>
  <si>
    <t>71.290" string="1" fret="5" /&gt;</t>
  </si>
  <si>
    <t>71.540" string="1" fret="5" /&gt;</t>
  </si>
  <si>
    <t>71.790" string="1" fret="5" /&gt;</t>
  </si>
  <si>
    <t>72.040" string="1" fret="5" /&gt;</t>
  </si>
  <si>
    <t>72.290" string="1" fret="5" /&gt;</t>
  </si>
  <si>
    <t>72.540" string="1" fret="5" /&gt;</t>
  </si>
  <si>
    <t>72.790" string="1" fret="5" /&gt;</t>
  </si>
  <si>
    <t>73.040" string="1" fret="5" /&gt;</t>
  </si>
  <si>
    <t>73.290" string="1" fret="5" /&gt;</t>
  </si>
  <si>
    <t>73.540" string="1" fret="5" /&gt;</t>
  </si>
  <si>
    <t>73.790" string="1" fret="5" /&gt;</t>
  </si>
  <si>
    <t>74.040" string="2" fret="5" /&gt;</t>
  </si>
  <si>
    <t>74.540" string="2" fret="3" sustain="0.497" /&gt;</t>
  </si>
  <si>
    <t>75.040" string="1" fret="5" /&gt;</t>
  </si>
  <si>
    <t>75.290" string="1" fret="5" /&gt;</t>
  </si>
  <si>
    <t>75.540" string="1" fret="5" /&gt;</t>
  </si>
  <si>
    <t>75.790" string="1" fret="5" /&gt;</t>
  </si>
  <si>
    <t>76.040" string="2" fret="5" /&gt;</t>
  </si>
  <si>
    <t>76.540" string="2" fret="3" sustain="0.497" /&gt;</t>
  </si>
  <si>
    <t>77.040" string="1" fret="5" /&gt;</t>
  </si>
  <si>
    <t>77.290" string="1" fret="5" /&gt;</t>
  </si>
  <si>
    <t>77.540" string="1" fret="5" /&gt;</t>
  </si>
  <si>
    <t>77.790" string="1" fret="5" /&gt;</t>
  </si>
  <si>
    <t>78.040" string="2" fret="5" /&gt;</t>
  </si>
  <si>
    <t>78.540" string="2" fret="3" sustain="0.497" /&gt;</t>
  </si>
  <si>
    <t>79.040" string="1" fret="5" /&gt;</t>
  </si>
  <si>
    <t>79.290" string="1" fret="5" /&gt;</t>
  </si>
  <si>
    <t>79.540" string="1" fret="5" /&gt;</t>
  </si>
  <si>
    <t>79.790" string="1" fret="5" /&gt;</t>
  </si>
  <si>
    <t>80.040" string="2" fret="5" /&gt;</t>
  </si>
  <si>
    <t>80.540" string="2" fret="3" sustain="0.497" /&gt;</t>
  </si>
  <si>
    <t>81.040" string="1" fret="5" /&gt;</t>
  </si>
  <si>
    <t>81.290" string="1" fret="5" /&gt;</t>
  </si>
  <si>
    <t>81.540" string="1" fret="5" /&gt;</t>
  </si>
  <si>
    <t>81.790" string="1" fret="5" /&gt;</t>
  </si>
  <si>
    <t>82.040" string="2" fret="5" /&gt;</t>
  </si>
  <si>
    <t>82.540" string="2" fret="3" sustain="0.497" /&gt;</t>
  </si>
  <si>
    <t>83.040" string="1" fret="5" /&gt;</t>
  </si>
  <si>
    <t>83.290" string="1" fret="5" /&gt;</t>
  </si>
  <si>
    <t>83.540" string="1" fret="5" /&gt;</t>
  </si>
  <si>
    <t>83.790" string="1" fret="5" /&gt;</t>
  </si>
  <si>
    <t>84.040" string="2" fret="5" sustain="0.747" /&gt;</t>
  </si>
  <si>
    <t>84.790" string="1" fret="5" /&gt;</t>
  </si>
  <si>
    <t>85.040" string="1" fret="5" /&gt;</t>
  </si>
  <si>
    <t>85.290" string="1" fret="5" /&gt;</t>
  </si>
  <si>
    <t>85.540" string="1" fret="5" /&gt;</t>
  </si>
  <si>
    <t>85.790" string="1" fret="5" /&gt;</t>
  </si>
  <si>
    <t>86.040" string="2" fret="5" /&gt;</t>
  </si>
  <si>
    <t>86.540" string="2" fret="3" sustain="0.497" /&gt;</t>
  </si>
  <si>
    <t>87.040" string="1" fret="5" /&gt;</t>
  </si>
  <si>
    <t>87.290" string="1" fret="5" /&gt;</t>
  </si>
  <si>
    <t>87.540" string="1" fret="5" /&gt;</t>
  </si>
  <si>
    <t>87.790" string="1" fret="5" /&gt;</t>
  </si>
  <si>
    <t>88.040" string="2" fret="5" /&gt;</t>
  </si>
  <si>
    <t>88.540" string="2" fret="3" sustain="0.497" /&gt;</t>
  </si>
  <si>
    <t>89.040" string="1" fret="5" /&gt;</t>
  </si>
  <si>
    <t>89.290" string="1" fret="5" /&gt;</t>
  </si>
  <si>
    <t>89.540" string="1" fret="5" /&gt;</t>
  </si>
  <si>
    <t>89.790" string="1" fret="5" /&gt;</t>
  </si>
  <si>
    <t>90.040" string="1" fret="3" /&gt;</t>
  </si>
  <si>
    <t>90.290" string="1" fret="3" /&gt;</t>
  </si>
  <si>
    <t>90.540" string="1" fret="5" sustain="3.497" /&gt;</t>
  </si>
  <si>
    <t>94.040" string="1" fret="3" /&gt;</t>
  </si>
  <si>
    <t>94.290" string="1" fret="3" /&gt;</t>
  </si>
  <si>
    <t>94.540" string="1" fret="5" sustain="3.497" /&gt;</t>
  </si>
  <si>
    <t>98.040" string="1" fret="3" /&gt;</t>
  </si>
  <si>
    <t>98.290" string="1" fret="3" /&gt;</t>
  </si>
  <si>
    <t>98.540" string="1" fret="5" sustain="0.497" /&gt;</t>
  </si>
  <si>
    <t>99.040" string="1" fret="5" /&gt;</t>
  </si>
  <si>
    <t>99.290" string="1" fret="5" /&gt;</t>
  </si>
  <si>
    <t>99.540" string="1" fret="5" /&gt;</t>
  </si>
  <si>
    <t>99.790" string="1" fret="5" /&gt;</t>
  </si>
  <si>
    <t>100.040" string="1" fret="5" /&gt;</t>
  </si>
  <si>
    <t>100.290" string="1" fret="5" /&gt;</t>
  </si>
  <si>
    <t>100.540" string="1" fret="5" /&gt;</t>
  </si>
  <si>
    <t>100.790" string="1" fret="5" /&gt;</t>
  </si>
  <si>
    <t>101.040" string="1" fret="5" /&gt;</t>
  </si>
  <si>
    <t>101.290" string="1" fret="5" /&gt;</t>
  </si>
  <si>
    <t>101.540" string="1" fret="5" /&gt;</t>
  </si>
  <si>
    <t>101.790" string="1" fret="5" /&gt;</t>
  </si>
  <si>
    <t>102.040" string="2" fret="5" /&gt;</t>
  </si>
  <si>
    <t>102.540" string="2" fret="3" sustain="0.497" /&gt;</t>
  </si>
  <si>
    <t>103.040" string="1" fret="5" /&gt;</t>
  </si>
  <si>
    <t>103.290" string="1" fret="5" /&gt;</t>
  </si>
  <si>
    <t>103.540" string="1" fret="5" /&gt;</t>
  </si>
  <si>
    <t>103.790" string="1" fret="5" /&gt;</t>
  </si>
  <si>
    <t>104.040" string="1" fret="5" /&gt;</t>
  </si>
  <si>
    <t>104.290" string="1" fret="5" /&gt;</t>
  </si>
  <si>
    <t>104.540" string="1" fret="5" /&gt;</t>
  </si>
  <si>
    <t>104.790" string="1" fret="5" /&gt;</t>
  </si>
  <si>
    <t>105.040" string="1" fret="5" /&gt;</t>
  </si>
  <si>
    <t>105.290" string="1" fret="5" /&gt;</t>
  </si>
  <si>
    <t>105.540" string="1" fret="5" /&gt;</t>
  </si>
  <si>
    <t>105.790" string="1" fret="5" /&gt;</t>
  </si>
  <si>
    <t>106.040" string="2" fret="5" /&gt;</t>
  </si>
  <si>
    <t>106.540" string="2" fret="3" sustain="0.497" /&gt;</t>
  </si>
  <si>
    <t>107.040" string="1" fret="5" /&gt;</t>
  </si>
  <si>
    <t>107.290" string="1" fret="5" /&gt;</t>
  </si>
  <si>
    <t>107.540" string="1" fret="5" /&gt;</t>
  </si>
  <si>
    <t>107.790" string="1" fret="5" /&gt;</t>
  </si>
  <si>
    <t>108.040" string="1" fret="5" /&gt;</t>
  </si>
  <si>
    <t>108.290" string="1" fret="5" /&gt;</t>
  </si>
  <si>
    <t>108.540" string="1" fret="5" /&gt;</t>
  </si>
  <si>
    <t>108.790" string="1" fret="5" /&gt;</t>
  </si>
  <si>
    <t>109.040" string="1" fret="5" /&gt;</t>
  </si>
  <si>
    <t>109.290" string="1" fret="5" /&gt;</t>
  </si>
  <si>
    <t>109.540" string="1" fret="5" /&gt;</t>
  </si>
  <si>
    <t>109.790" string="1" fret="5" /&gt;</t>
  </si>
  <si>
    <t>110.040" string="2" fret="5" /&gt;</t>
  </si>
  <si>
    <t>110.540" string="2" fret="3" sustain="0.497" /&gt;</t>
  </si>
  <si>
    <t>111.040" string="1" fret="5" /&gt;</t>
  </si>
  <si>
    <t>111.290" string="1" fret="5" /&gt;</t>
  </si>
  <si>
    <t>111.540" string="1" fret="5" /&gt;</t>
  </si>
  <si>
    <t>111.790" string="1" fret="5" /&gt;</t>
  </si>
  <si>
    <t>112.040" string="1" fret="5" /&gt;</t>
  </si>
  <si>
    <t>112.290" string="1" fret="5" /&gt;</t>
  </si>
  <si>
    <t>112.540" string="1" fret="5" /&gt;</t>
  </si>
  <si>
    <t>112.790" string="1" fret="5" /&gt;</t>
  </si>
  <si>
    <t>113.040" string="1" fret="5" /&gt;</t>
  </si>
  <si>
    <t>113.290" string="1" fret="5" /&gt;</t>
  </si>
  <si>
    <t>113.540" string="1" fret="5" /&gt;</t>
  </si>
  <si>
    <t>113.790" string="1" fret="5" /&gt;</t>
  </si>
  <si>
    <t>114.040" string="2" fret="5" /&gt;</t>
  </si>
  <si>
    <t>114.540" string="2" fret="3" sustain="0.497" /&gt;</t>
  </si>
  <si>
    <t>115.040" string="1" fret="5" /&gt;</t>
  </si>
  <si>
    <t>115.290" string="1" fret="5" /&gt;</t>
  </si>
  <si>
    <t>115.540" string="1" fret="5" /&gt;</t>
  </si>
  <si>
    <t>115.790" string="1" fret="5" /&gt;</t>
  </si>
  <si>
    <t>116.040" string="1" fret="5" /&gt;</t>
  </si>
  <si>
    <t>116.290" string="1" fret="5" /&gt;</t>
  </si>
  <si>
    <t>116.540" string="1" fret="5" /&gt;</t>
  </si>
  <si>
    <t>116.790" string="1" fret="5" /&gt;</t>
  </si>
  <si>
    <t>117.040" string="1" fret="5" /&gt;</t>
  </si>
  <si>
    <t>117.290" string="1" fret="5" /&gt;</t>
  </si>
  <si>
    <t>117.540" string="1" fret="5" /&gt;</t>
  </si>
  <si>
    <t>117.790" string="1" fret="5" /&gt;</t>
  </si>
  <si>
    <t>118.040" string="2" fret="5" /&gt;</t>
  </si>
  <si>
    <t>118.540" string="2" fret="3" sustain="0.497" /&gt;</t>
  </si>
  <si>
    <t>119.040" string="1" fret="5" /&gt;</t>
  </si>
  <si>
    <t>119.290" string="1" fret="5" /&gt;</t>
  </si>
  <si>
    <t>119.540" string="1" fret="5" /&gt;</t>
  </si>
  <si>
    <t>119.790" string="1" fret="5" /&gt;</t>
  </si>
  <si>
    <t>120.040" string="1" fret="5" /&gt;</t>
  </si>
  <si>
    <t>120.290" string="1" fret="5" /&gt;</t>
  </si>
  <si>
    <t>120.540" string="1" fret="5" /&gt;</t>
  </si>
  <si>
    <t>120.790" string="1" fret="5" /&gt;</t>
  </si>
  <si>
    <t>121.040" string="1" fret="5" /&gt;</t>
  </si>
  <si>
    <t>121.290" string="1" fret="5" /&gt;</t>
  </si>
  <si>
    <t>121.540" string="1" fret="5" /&gt;</t>
  </si>
  <si>
    <t>121.790" string="1" fret="5" /&gt;</t>
  </si>
  <si>
    <t>122.040" string="2" fret="5" /&gt;</t>
  </si>
  <si>
    <t>122.540" string="2" fret="3" sustain="0.497" /&gt;</t>
  </si>
  <si>
    <t>123.040" string="1" fret="5" /&gt;</t>
  </si>
  <si>
    <t>123.290" string="1" fret="5" /&gt;</t>
  </si>
  <si>
    <t>123.540" string="1" fret="5" /&gt;</t>
  </si>
  <si>
    <t>123.790" string="1" fret="5" /&gt;</t>
  </si>
  <si>
    <t>124.040" string="1" fret="5" /&gt;</t>
  </si>
  <si>
    <t>124.290" string="1" fret="5" /&gt;</t>
  </si>
  <si>
    <t>124.540" string="1" fret="5" /&gt;</t>
  </si>
  <si>
    <t>124.790" string="1" fret="5" /&gt;</t>
  </si>
  <si>
    <t>125.040" string="1" fret="5" /&gt;</t>
  </si>
  <si>
    <t>125.290" string="1" fret="5" /&gt;</t>
  </si>
  <si>
    <t>125.540" string="1" fret="5" /&gt;</t>
  </si>
  <si>
    <t>125.790" string="1" fret="5" /&gt;</t>
  </si>
  <si>
    <t>126.040" string="2" fret="5" /&gt;</t>
  </si>
  <si>
    <t>126.540" string="2" fret="3" sustain="0.497" /&gt;</t>
  </si>
  <si>
    <t>127.040" string="1" fret="5" /&gt;</t>
  </si>
  <si>
    <t>127.290" string="1" fret="5" /&gt;</t>
  </si>
  <si>
    <t>127.540" string="1" fret="5" /&gt;</t>
  </si>
  <si>
    <t>127.790" string="1" fret="5" /&gt;</t>
  </si>
  <si>
    <t>128.040" string="1" fret="5" /&gt;</t>
  </si>
  <si>
    <t>128.290" string="1" fret="5" /&gt;</t>
  </si>
  <si>
    <t>128.540" string="1" fret="5" /&gt;</t>
  </si>
  <si>
    <t>128.790" string="1" fret="5" /&gt;</t>
  </si>
  <si>
    <t>129.040" string="1" fret="5" /&gt;</t>
  </si>
  <si>
    <t>129.290" string="1" fret="5" /&gt;</t>
  </si>
  <si>
    <t>129.540" string="1" fret="5" /&gt;</t>
  </si>
  <si>
    <t>129.790" string="1" fret="5" /&gt;</t>
  </si>
  <si>
    <t>130.040" string="2" fret="5" /&gt;</t>
  </si>
  <si>
    <t>130.540" string="2" fret="3" sustain="0.497" /&gt;</t>
  </si>
  <si>
    <t>131.040" string="1" fret="5" /&gt;</t>
  </si>
  <si>
    <t>131.290" string="1" fret="5" /&gt;</t>
  </si>
  <si>
    <t>131.540" string="1" fret="5" /&gt;</t>
  </si>
  <si>
    <t>131.790" string="1" fret="5" /&gt;</t>
  </si>
  <si>
    <t>132.040" string="2" fret="5" /&gt;</t>
  </si>
  <si>
    <t>132.540" string="2" fret="3" sustain="0.497" /&gt;</t>
  </si>
  <si>
    <t>133.040" string="1" fret="5" /&gt;</t>
  </si>
  <si>
    <t>133.290" string="1" fret="5" /&gt;</t>
  </si>
  <si>
    <t>133.540" string="1" fret="5" /&gt;</t>
  </si>
  <si>
    <t>133.790" string="1" fret="5" /&gt;</t>
  </si>
  <si>
    <t>134.040" string="2" fret="5" /&gt;</t>
  </si>
  <si>
    <t>134.540" string="2" fret="3" sustain="0.497" /&gt;</t>
  </si>
  <si>
    <t>135.040" string="1" fret="5" /&gt;</t>
  </si>
  <si>
    <t>135.290" string="1" fret="5" /&gt;</t>
  </si>
  <si>
    <t>135.540" string="1" fret="5" /&gt;</t>
  </si>
  <si>
    <t>135.790" string="1" fret="5" /&gt;</t>
  </si>
  <si>
    <t>136.040" string="2" fret="5" /&gt;</t>
  </si>
  <si>
    <t>136.540" string="2" fret="3" sustain="0.497" /&gt;</t>
  </si>
  <si>
    <t>137.040" string="1" fret="5" /&gt;</t>
  </si>
  <si>
    <t>137.290" string="1" fret="5" /&gt;</t>
  </si>
  <si>
    <t>137.540" string="1" fret="5" /&gt;</t>
  </si>
  <si>
    <t>137.790" string="1" fret="5" /&gt;</t>
  </si>
  <si>
    <t>138.040" string="2" fret="5" /&gt;</t>
  </si>
  <si>
    <t>138.540" string="2" fret="3" sustain="0.497" /&gt;</t>
  </si>
  <si>
    <t>139.040" string="1" fret="5" /&gt;</t>
  </si>
  <si>
    <t>139.290" string="1" fret="5" /&gt;</t>
  </si>
  <si>
    <t>139.540" string="1" fret="5" /&gt;</t>
  </si>
  <si>
    <t>139.790" string="1" fret="5" /&gt;</t>
  </si>
  <si>
    <t>140.040" string="2" fret="5" /&gt;</t>
  </si>
  <si>
    <t>140.540" string="2" fret="3" sustain="0.497" /&gt;</t>
  </si>
  <si>
    <t>141.040" string="1" fret="5" /&gt;</t>
  </si>
  <si>
    <t>141.290" string="1" fret="5" /&gt;</t>
  </si>
  <si>
    <t>141.540" string="1" fret="5" /&gt;</t>
  </si>
  <si>
    <t>141.790" string="1" fret="5" /&gt;</t>
  </si>
  <si>
    <t>142.040" string="2" fret="5" /&gt;</t>
  </si>
  <si>
    <t>142.540" string="2" fret="3" sustain="0.497" /&gt;</t>
  </si>
  <si>
    <t>143.040" string="1" fret="5" /&gt;</t>
  </si>
  <si>
    <t>143.290" string="1" fret="5" /&gt;</t>
  </si>
  <si>
    <t>143.540" string="1" fret="5" /&gt;</t>
  </si>
  <si>
    <t>143.790" string="1" fret="5" /&gt;</t>
  </si>
  <si>
    <t>144.040" string="2" fret="5" /&gt;</t>
  </si>
  <si>
    <t>144.540" string="2" fret="3" sustain="0.497" /&gt;</t>
  </si>
  <si>
    <t>145.040" string="1" fret="5" /&gt;</t>
  </si>
  <si>
    <t>145.290" string="1" fret="5" /&gt;</t>
  </si>
  <si>
    <t>145.540" string="1" fret="5" /&gt;</t>
  </si>
  <si>
    <t>145.790" string="1" fret="5" /&gt;</t>
  </si>
  <si>
    <t>146.040" string="0" fret="3" /&gt;</t>
  </si>
  <si>
    <t>146.290" string="0" fret="3" /&gt;</t>
  </si>
  <si>
    <t>146.540" string="0" fret="5" sustain="0.497" /&gt;</t>
  </si>
  <si>
    <t>147.040" string="0" fret="5" /&gt;</t>
  </si>
  <si>
    <t>147.290" string="0" fret="5" /&gt;</t>
  </si>
  <si>
    <t>147.540" string="0" fret="5" /&gt;</t>
  </si>
  <si>
    <t>147.790" string="0" fret="5" /&gt;</t>
  </si>
  <si>
    <t>148.040" string="0" fret="3" /&gt;</t>
  </si>
  <si>
    <t>148.290" string="0" fret="3" /&gt;</t>
  </si>
  <si>
    <t>148.540" string="0" fret="5" sustain="0.497" /&gt;</t>
  </si>
  <si>
    <t>149.040" string="0" fret="5" /&gt;</t>
  </si>
  <si>
    <t>149.290" string="0" fret="5" /&gt;</t>
  </si>
  <si>
    <t>149.540" string="0" fret="5" /&gt;</t>
  </si>
  <si>
    <t>149.790" string="0" fret="5" /&gt;</t>
  </si>
  <si>
    <t>150.040" string="0" fret="3" /&gt;</t>
  </si>
  <si>
    <t>150.290" string="0" fret="3" /&gt;</t>
  </si>
  <si>
    <t>150.540" string="0" fret="5" sustain="0.497" /&gt;</t>
  </si>
  <si>
    <t>151.040" string="0" fret="5" /&gt;</t>
  </si>
  <si>
    <t>151.290" string="0" fret="5" /&gt;</t>
  </si>
  <si>
    <t>151.540" string="0" fret="5" /&gt;</t>
  </si>
  <si>
    <t>151.790" string="0" fret="5" /&gt;</t>
  </si>
  <si>
    <t>152.040" string="0" fret="3" /&gt;</t>
  </si>
  <si>
    <t>152.290" string="0" fret="3" /&gt;</t>
  </si>
  <si>
    <t>152.540" string="0" fret="5" sustain="0.497" /&gt;</t>
  </si>
  <si>
    <t>153.040" string="0" fret="5" /&gt;</t>
  </si>
  <si>
    <t>153.290" string="0" fret="5" /&gt;</t>
  </si>
  <si>
    <t>153.540" string="0" fret="5" /&gt;</t>
  </si>
  <si>
    <t>153.790" string="0" fret="5" /&gt;</t>
  </si>
  <si>
    <t>154.040" string="0" fret="5" /&gt;</t>
  </si>
  <si>
    <t>154.290" string="0" fret="5" /&gt;</t>
  </si>
  <si>
    <t>154.540" string="0" fret="5" /&gt;</t>
  </si>
  <si>
    <t>155.040" string="1" fret="3" /&gt;</t>
  </si>
  <si>
    <t>155.290" string="1" fret="5" /&gt;</t>
  </si>
  <si>
    <t>155.540" string="2" fret="3" /&gt;</t>
  </si>
  <si>
    <t>155.790" string="2" fret="5" /&gt;</t>
  </si>
  <si>
    <t>156.540" string="1" fret="3" /&gt;</t>
  </si>
  <si>
    <t>156.790" string="1" fret="5" /&gt;</t>
  </si>
  <si>
    <t>157.040" string="2" fret="3" /&gt;</t>
  </si>
  <si>
    <t>157.290" string="2" fret="5" /&gt;</t>
  </si>
  <si>
    <t>158.040" string="2" fret="5" /&gt;</t>
  </si>
  <si>
    <t>158.540" string="2" fret="3" sustain="0.497" /&gt;</t>
  </si>
  <si>
    <t>159.040" string="1" fret="3" /&gt;</t>
  </si>
  <si>
    <t>159.290" string="1" fret="5" /&gt;</t>
  </si>
  <si>
    <t>159.540" string="2" fret="3" /&gt;</t>
  </si>
  <si>
    <t>159.790" string="2" fret="5" /&gt;</t>
  </si>
  <si>
    <t>160.540" string="1" fret="3" /&gt;</t>
  </si>
  <si>
    <t>160.790" string="1" fret="5" /&gt;</t>
  </si>
  <si>
    <t>161.040" string="2" fret="3" /&gt;</t>
  </si>
  <si>
    <t>161.290" string="2" fret="5" /&gt;</t>
  </si>
  <si>
    <t>162.040" string="2" fret="5" /&gt;</t>
  </si>
  <si>
    <t>162.540" string="2" fret="3" sustain="0.497" /&gt;</t>
  </si>
  <si>
    <t>163.040" string="1" fret="3" /&gt;</t>
  </si>
  <si>
    <t>163.290" string="1" fret="5" /&gt;</t>
  </si>
  <si>
    <t>163.540" string="2" fret="3" /&gt;</t>
  </si>
  <si>
    <t>163.790" string="2" fret="5" /&gt;</t>
  </si>
  <si>
    <t>164.540" string="1" fret="3" /&gt;</t>
  </si>
  <si>
    <t>164.790" string="1" fret="5" /&gt;</t>
  </si>
  <si>
    <t>165.040" string="2" fret="3" /&gt;</t>
  </si>
  <si>
    <t>165.290" string="2" fret="5" /&gt;</t>
  </si>
  <si>
    <t>166.040" string="2" fret="5" /&gt;</t>
  </si>
  <si>
    <t>166.540" string="2" fret="3" sustain="0.497" /&gt;</t>
  </si>
  <si>
    <t>167.040" string="1" fret="3" /&gt;</t>
  </si>
  <si>
    <t>167.290" string="1" fret="5" /&gt;</t>
  </si>
  <si>
    <t>167.540" string="2" fret="3" /&gt;</t>
  </si>
  <si>
    <t>167.790" string="2" fret="5" /&gt;</t>
  </si>
  <si>
    <t>168.540" string="1" fret="3" /&gt;</t>
  </si>
  <si>
    <t>168.790" string="1" fret="5" /&gt;</t>
  </si>
  <si>
    <t>169.040" string="2" fret="3" /&gt;</t>
  </si>
  <si>
    <t>169.290" string="2" fret="5" /&gt;</t>
  </si>
  <si>
    <t>170.040" string="2" fret="5" /&gt;</t>
  </si>
  <si>
    <t>170.540" string="2" fret="3" sustain="0.497" /&gt;</t>
  </si>
  <si>
    <t>171.040" string="1" fret="5" /&gt;</t>
  </si>
  <si>
    <t>171.290" string="1" fret="5" /&gt;</t>
  </si>
  <si>
    <t>171.540" string="1" fret="5" /&gt;</t>
  </si>
  <si>
    <t>171.790" string="1" fret="5" /&gt;</t>
  </si>
  <si>
    <t>172.040" string="1" fret="5" /&gt;</t>
  </si>
  <si>
    <t>172.290" string="1" fret="5" /&gt;</t>
  </si>
  <si>
    <t>172.540" string="1" fret="5" /&gt;</t>
  </si>
  <si>
    <t>172.790" string="1" fret="5" /&gt;</t>
  </si>
  <si>
    <t>173.040" string="1" fret="5" /&gt;</t>
  </si>
  <si>
    <t>173.290" string="1" fret="5" /&gt;</t>
  </si>
  <si>
    <t>173.540" string="1" fret="5" /&gt;</t>
  </si>
  <si>
    <t>173.790" string="1" fret="5" /&gt;</t>
  </si>
  <si>
    <t>174.040" string="2" fret="5" /&gt;</t>
  </si>
  <si>
    <t>174.540" string="2" fret="3" sustain="0.497" /&gt;</t>
  </si>
  <si>
    <t>175.040" string="1" fret="5" /&gt;</t>
  </si>
  <si>
    <t>175.290" string="1" fret="5" /&gt;</t>
  </si>
  <si>
    <t>175.540" string="1" fret="5" /&gt;</t>
  </si>
  <si>
    <t>175.790" string="1" fret="5" /&gt;</t>
  </si>
  <si>
    <t>176.040" string="1" fret="5" /&gt;</t>
  </si>
  <si>
    <t>176.290" string="1" fret="5" /&gt;</t>
  </si>
  <si>
    <t>176.540" string="1" fret="5" /&gt;</t>
  </si>
  <si>
    <t>176.790" string="1" fret="5" /&gt;</t>
  </si>
  <si>
    <t>177.040" string="1" fret="5" /&gt;</t>
  </si>
  <si>
    <t>177.290" string="1" fret="5" /&gt;</t>
  </si>
  <si>
    <t>177.540" string="1" fret="5" /&gt;</t>
  </si>
  <si>
    <t>177.790" string="1" fret="5" /&gt;</t>
  </si>
  <si>
    <t>178.040" string="2" fret="5" /&gt;</t>
  </si>
  <si>
    <t>178.540" string="2" fret="3" sustain="0.497" /&gt;</t>
  </si>
  <si>
    <t>179.040" string="1" fret="5" /&gt;</t>
  </si>
  <si>
    <t>179.290" string="1" fret="5" /&gt;</t>
  </si>
  <si>
    <t>179.540" string="1" fret="5" /&gt;</t>
  </si>
  <si>
    <t>179.790" string="1" fret="5" /&gt;</t>
  </si>
  <si>
    <t>180.040" string="1" fret="5" /&gt;</t>
  </si>
  <si>
    <t>180.290" string="1" fret="5" /&gt;</t>
  </si>
  <si>
    <t>180.540" string="1" fret="5" /&gt;</t>
  </si>
  <si>
    <t>180.790" string="1" fret="5" /&gt;</t>
  </si>
  <si>
    <t>181.040" string="1" fret="5" /&gt;</t>
  </si>
  <si>
    <t>181.290" string="1" fret="5" /&gt;</t>
  </si>
  <si>
    <t>181.540" string="1" fret="5" /&gt;</t>
  </si>
  <si>
    <t>181.790" string="1" fret="5" /&gt;</t>
  </si>
  <si>
    <t>182.040" string="2" fret="5" /&gt;</t>
  </si>
  <si>
    <t>182.540" string="2" fret="3" sustain="0.497" /&gt;</t>
  </si>
  <si>
    <t>183.040" string="1" fret="5" /&gt;</t>
  </si>
  <si>
    <t>183.290" string="1" fret="5" /&gt;</t>
  </si>
  <si>
    <t>183.540" string="1" fret="5" /&gt;</t>
  </si>
  <si>
    <t>183.790" string="1" fret="5" /&gt;</t>
  </si>
  <si>
    <t>184.040" string="1" fret="5" /&gt;</t>
  </si>
  <si>
    <t>184.290" string="1" fret="5" /&gt;</t>
  </si>
  <si>
    <t>184.540" string="1" fret="5" /&gt;</t>
  </si>
  <si>
    <t>184.790" string="1" fret="5" /&gt;</t>
  </si>
  <si>
    <t>185.040" string="1" fret="5" /&gt;</t>
  </si>
  <si>
    <t>185.290" string="1" fret="5" /&gt;</t>
  </si>
  <si>
    <t>185.540" string="1" fret="5" /&gt;</t>
  </si>
  <si>
    <t>185.790" string="1" fret="5" /&gt;</t>
  </si>
  <si>
    <t>186.040" string="2" fret="5" /&gt;</t>
  </si>
  <si>
    <t>186.540" string="2" fret="3" sustain="0.497" /&gt;</t>
  </si>
  <si>
    <t>187.040" string="1" fret="5" /&gt;</t>
  </si>
  <si>
    <t>187.290" string="1" fret="5" /&gt;</t>
  </si>
  <si>
    <t>187.540" string="1" fret="5" /&gt;</t>
  </si>
  <si>
    <t>187.790" string="1" fret="5" /&gt;</t>
  </si>
  <si>
    <t>188.040" string="2" fret="5" /&gt;</t>
  </si>
  <si>
    <t>188.540" string="2" fret="3" sustain="0.497" /&gt;</t>
  </si>
  <si>
    <t>189.040" string="1" fret="5" /&gt;</t>
  </si>
  <si>
    <t>189.290" string="1" fret="5" /&gt;</t>
  </si>
  <si>
    <t>189.540" string="1" fret="5" /&gt;</t>
  </si>
  <si>
    <t>189.790" string="1" fret="5" /&gt;</t>
  </si>
  <si>
    <t>190.040" string="2" fret="5" /&gt;</t>
  </si>
  <si>
    <t>190.540" string="2" fret="3" sustain="0.497" /&gt;</t>
  </si>
  <si>
    <t>191.040" string="1" fret="5" /&gt;</t>
  </si>
  <si>
    <t>191.290" string="1" fret="5" /&gt;</t>
  </si>
  <si>
    <t>191.540" string="1" fret="5" /&gt;</t>
  </si>
  <si>
    <t>191.790" string="1" fret="5" /&gt;</t>
  </si>
  <si>
    <t>192.040" string="2" fret="5" /&gt;</t>
  </si>
  <si>
    <t>192.540" string="2" fret="3" sustain="0.497" /&gt;</t>
  </si>
  <si>
    <t>193.040" string="1" fret="5" /&gt;</t>
  </si>
  <si>
    <t>193.290" string="1" fret="5" /&gt;</t>
  </si>
  <si>
    <t>193.540" string="1" fret="5" /&gt;</t>
  </si>
  <si>
    <t>193.790" string="1" fret="5" /&gt;</t>
  </si>
  <si>
    <t>194.040" string="2" fret="5" /&gt;</t>
  </si>
  <si>
    <t>194.540" string="2" fret="3" sustain="0.497" /&gt;</t>
  </si>
  <si>
    <t>195.040" string="1" fret="5" /&gt;</t>
  </si>
  <si>
    <t>195.290" string="1" fret="5" /&gt;</t>
  </si>
  <si>
    <t>195.540" string="1" fret="5" /&gt;</t>
  </si>
  <si>
    <t>195.790" string="1" fret="5" /&gt;</t>
  </si>
  <si>
    <t>196.040" string="2" fret="5" sustain="0.997" /&gt;</t>
  </si>
  <si>
    <t>197.040" string="1" fret="5" /&gt;</t>
  </si>
  <si>
    <t>197.290" string="1" fret="5" /&gt;</t>
  </si>
  <si>
    <t>197.540" string="1" fret="5" /&gt;</t>
  </si>
  <si>
    <t>197.790" string="1" fret="5" /&gt;</t>
  </si>
  <si>
    <t>198.040" string="2" fret="5" /&gt;</t>
  </si>
  <si>
    <t>198.540" string="2" fret="3" sustain="0.497" /&gt;</t>
  </si>
  <si>
    <t>199.040" string="1" fret="5" /&gt;</t>
  </si>
  <si>
    <t>199.290" string="1" fret="5" /&gt;</t>
  </si>
  <si>
    <t>199.540" string="1" fret="5" /&gt;</t>
  </si>
  <si>
    <t>199.790" string="1" fret="5" /&gt;</t>
  </si>
  <si>
    <t>200.040" string="2" fret="5" /&gt;</t>
  </si>
  <si>
    <t>200.540" string="2" fret="3" sustain="0.497" /&gt;</t>
  </si>
  <si>
    <t>201.040" string="1" fret="5" /&gt;</t>
  </si>
  <si>
    <t>201.290" string="1" fret="5" /&gt;</t>
  </si>
  <si>
    <t>201.540" string="1" fret="5" /&gt;</t>
  </si>
  <si>
    <t>201.790" string="1" fret="5" /&gt;</t>
  </si>
  <si>
    <t>202.040" string="2" fret="5" /&gt;</t>
  </si>
  <si>
    <t>202.540" string="2" fret="3" sustain="0.497" /&gt;</t>
  </si>
  <si>
    <t>203.040" string="1" fret="5" /&gt;</t>
  </si>
  <si>
    <t>203.290" string="1" fret="5" /&gt;</t>
  </si>
  <si>
    <t>203.540" string="1" fret="5" /&gt;</t>
  </si>
  <si>
    <t>203.790" string="1" fret="5" /&gt;</t>
  </si>
  <si>
    <t>204.040" string="2" fret="5" /&gt;</t>
  </si>
  <si>
    <t>204.540" string="2" fret="3" sustain="0.497" /&gt;</t>
  </si>
  <si>
    <t>205.040" string="1" fret="5" /&gt;</t>
  </si>
  <si>
    <t>205.290" string="1" fret="5" /&gt;</t>
  </si>
  <si>
    <t>205.540" string="1" fret="5" /&gt;</t>
  </si>
  <si>
    <t>205.790" string="1" fret="5" /&gt;</t>
  </si>
  <si>
    <t>206.040" string="2" fret="5" /&gt;</t>
  </si>
  <si>
    <t>206.540" string="2" fret="3" sustain="0.497" /&gt;</t>
  </si>
  <si>
    <t>207.040" string="1" fret="5" /&gt;</t>
  </si>
  <si>
    <t>207.290" string="1" fret="5" /&gt;</t>
  </si>
  <si>
    <t>207.540" string="1" fret="5" /&gt;</t>
  </si>
  <si>
    <t>207.790" string="1" fret="5" /&gt;</t>
  </si>
  <si>
    <t>208.040" string="2" fret="5" /&gt;</t>
  </si>
  <si>
    <t>208.540" string="2" fret="3" sustain="0.497" /&gt;</t>
  </si>
  <si>
    <t>209.040" string="1" fret="5" /&gt;</t>
  </si>
  <si>
    <t>209.290" string="1" fret="5" /&gt;</t>
  </si>
  <si>
    <t>209.540" string="1" fret="5" /&gt;</t>
  </si>
  <si>
    <t>209.790" string="1" fret="5" /&gt;</t>
  </si>
  <si>
    <t>210.040" string="2" fret="5" /&gt;</t>
  </si>
  <si>
    <t>210.540" string="2" fret="3" sustain="0.497" /&gt;</t>
  </si>
  <si>
    <t>211.040" string="1" fret="5" /&gt;</t>
  </si>
  <si>
    <t>211.290" string="1" fret="5" /&gt;</t>
  </si>
  <si>
    <t>211.540" string="1" fret="5" /&gt;</t>
  </si>
  <si>
    <t>211.790" string="1" fret="5" /&gt;</t>
  </si>
  <si>
    <t>212.040" string="2" fret="5" sustain="0.997" /&gt;</t>
  </si>
  <si>
    <t>213.040" string="1" fret="5" /&gt;</t>
  </si>
  <si>
    <t>213.290" string="1" fret="5" /&gt;</t>
  </si>
  <si>
    <t>213.540" string="1" fret="5" /&gt;</t>
  </si>
  <si>
    <t>213.790" string="1" fret="5" /&gt;</t>
  </si>
  <si>
    <t>214.040" string="2" fret="5" /&gt;</t>
  </si>
  <si>
    <t>214.540" string="2" fret="3" sustain="0.497" /&gt;</t>
  </si>
  <si>
    <t>215.040" string="1" fret="5" /&gt;</t>
  </si>
  <si>
    <t>215.290" string="1" fret="5" /&gt;</t>
  </si>
  <si>
    <t>215.540" string="1" fret="5" /&gt;</t>
  </si>
  <si>
    <t>215.790" string="1" fret="5" /&gt;</t>
  </si>
  <si>
    <t>216.040" string="2" fret="5" /&gt;</t>
  </si>
  <si>
    <t>216.540" string="2" fret="3" sustain="0.497" /&gt;</t>
  </si>
  <si>
    <t>217.040" string="1" fret="5" /&gt;</t>
  </si>
  <si>
    <t>217.290" string="1" fret="5" /&gt;</t>
  </si>
  <si>
    <t>217.540" string="1" fret="5" /&gt;</t>
  </si>
  <si>
    <t>217.790" string="1" fret="5" /&gt;</t>
  </si>
  <si>
    <t>218.040" string="1" fret="3" /&gt;</t>
  </si>
  <si>
    <t>218.290" string="1" fret="3" /&gt;</t>
  </si>
  <si>
    <t>218.540" string="1" fret="5" sustain="2.250" /&gt;</t>
  </si>
  <si>
    <t>87.000</t>
  </si>
  <si>
    <t>26.540" string="1" fret="5" sustain="0.21" /&gt;</t>
  </si>
  <si>
    <t>28.540" string="2" fret="3" sustain="0.21" /&gt;</t>
  </si>
  <si>
    <t>30.540" string="2" fret="3" sustain="0.21" /&gt;</t>
  </si>
  <si>
    <t>32.540" string="2" fret="3" sustain="0.21" /&gt;</t>
  </si>
  <si>
    <t>34.540" string="2" fret="3" sustain="0.21" /&gt;</t>
  </si>
  <si>
    <t>38.540" string="2" fret="3" sustain="0.21" /&gt;</t>
  </si>
  <si>
    <t>40.540" string="2" fret="3" sustain="0.21" /&gt;</t>
  </si>
  <si>
    <t>42.540" string="2" fret="3" sustain="0.21" /&gt;</t>
  </si>
  <si>
    <t>46.540" string="2" fret="3" sustain="0.21" /&gt;</t>
  </si>
  <si>
    <t>50.540" string="2" fret="3" sustain="0.21" /&gt;</t>
  </si>
  <si>
    <t>54.540" string="2" fret="3" sustain="0.21" /&gt;</t>
  </si>
  <si>
    <t>58.540" string="2" fret="3" sustain="0.21" /&gt;</t>
  </si>
  <si>
    <t>62.540" string="2" fret="3" sustain="0.21" /&gt;</t>
  </si>
  <si>
    <t>66.540" string="2" fret="3" sustain="0.21" /&gt;</t>
  </si>
  <si>
    <t>70.540" string="2" fret="3" sustain="0.21" /&gt;</t>
  </si>
  <si>
    <t>74.540" string="2" fret="3" sustain="0.21" /&gt;</t>
  </si>
  <si>
    <t>76.540" string="2" fret="3" sustain="0.21" /&gt;</t>
  </si>
  <si>
    <t>78.540" string="2" fret="3" sustain="0.21" /&gt;</t>
  </si>
  <si>
    <t>80.540" string="2" fret="3" sustain="0.21" /&gt;</t>
  </si>
  <si>
    <t>82.540" string="2" fret="3" sustain="0.21" /&gt;</t>
  </si>
  <si>
    <t>86.540" string="2" fret="3" sustain="0.21" /&gt;</t>
  </si>
  <si>
    <t>88.540" string="2" fret="3" sustain="0.21" /&gt;</t>
  </si>
  <si>
    <t>98.540" string="1" fret="5" sustain="0.21" /&gt;</t>
  </si>
  <si>
    <t>102.540" string="2" fret="3" sustain="0.21" /&gt;</t>
  </si>
  <si>
    <t>106.540" string="2" fret="3" sustain="0.21" /&gt;</t>
  </si>
  <si>
    <t>110.540" string="2" fret="3" sustain="0.21" /&gt;</t>
  </si>
  <si>
    <t>114.540" string="2" fret="3" sustain="0.21" /&gt;</t>
  </si>
  <si>
    <t>118.540" string="2" fret="3" sustain="0.21" /&gt;</t>
  </si>
  <si>
    <t>122.540" string="2" fret="3" sustain="0.21" /&gt;</t>
  </si>
  <si>
    <t>126.540" string="2" fret="3" sustain="0.21" /&gt;</t>
  </si>
  <si>
    <t>130.540" string="2" fret="3" sustain="0.21" /&gt;</t>
  </si>
  <si>
    <t>132.540" string="2" fret="3" sustain="0.21" /&gt;</t>
  </si>
  <si>
    <t>134.540" string="2" fret="3" sustain="0.21" /&gt;</t>
  </si>
  <si>
    <t>136.540" string="2" fret="3" sustain="0.21" /&gt;</t>
  </si>
  <si>
    <t>138.540" string="2" fret="3" sustain="0.21" /&gt;</t>
  </si>
  <si>
    <t>140.540" string="2" fret="3" sustain="0.21" /&gt;</t>
  </si>
  <si>
    <t>142.540" string="2" fret="3" sustain="0.21" /&gt;</t>
  </si>
  <si>
    <t>144.540" string="2" fret="3" sustain="0.21" /&gt;</t>
  </si>
  <si>
    <t>146.540" string="0" fret="5" sustain="0.21" /&gt;</t>
  </si>
  <si>
    <t>148.540" string="0" fret="5" sustain="0.21" /&gt;</t>
  </si>
  <si>
    <t>150.540" string="0" fret="5" sustain="0.21" /&gt;</t>
  </si>
  <si>
    <t>152.540" string="0" fret="5" sustain="0.21" /&gt;</t>
  </si>
  <si>
    <t>158.540" string="2" fret="3" sustain="0.21" /&gt;</t>
  </si>
  <si>
    <t>162.540" string="2" fret="3" sustain="0.21" /&gt;</t>
  </si>
  <si>
    <t>166.540" string="2" fret="3" sustain="0.21" /&gt;</t>
  </si>
  <si>
    <t>170.540" string="2" fret="3" sustain="0.21" /&gt;</t>
  </si>
  <si>
    <t>174.540" string="2" fret="3" sustain="0.21" /&gt;</t>
  </si>
  <si>
    <t>178.540" string="2" fret="3" sustain="0.21" /&gt;</t>
  </si>
  <si>
    <t>182.540" string="2" fret="3" sustain="0.21" /&gt;</t>
  </si>
  <si>
    <t>186.540" string="2" fret="3" sustain="0.21" /&gt;</t>
  </si>
  <si>
    <t>188.540" string="2" fret="3" sustain="0.21" /&gt;</t>
  </si>
  <si>
    <t>190.540" string="2" fret="3" sustain="0.21" /&gt;</t>
  </si>
  <si>
    <t>192.540" string="2" fret="3" sustain="0.21" /&gt;</t>
  </si>
  <si>
    <t>194.540" string="2" fret="3" sustain="0.21" /&gt;</t>
  </si>
  <si>
    <t>198.540" string="2" fret="3" sustain="0.21" /&gt;</t>
  </si>
  <si>
    <t>200.540" string="2" fret="3" sustain="0.21" /&gt;</t>
  </si>
  <si>
    <t>202.540" string="2" fret="3" sustain="0.21" /&gt;</t>
  </si>
  <si>
    <t>204.540" string="2" fret="3" sustain="0.21" /&gt;</t>
  </si>
  <si>
    <t>206.540" string="2" fret="3" sustain="0.21" /&gt;</t>
  </si>
  <si>
    <t>208.540" string="2" fret="3" sustain="0.21" /&gt;</t>
  </si>
  <si>
    <t>210.540" string="2" fret="3" sustain="0.21" /&gt;</t>
  </si>
  <si>
    <t>214.540" string="2" fret="3" sustain="0.21" /&gt;</t>
  </si>
  <si>
    <t>216.540" string="2" fret="3" sustain="0.21" /&gt;</t>
  </si>
  <si>
    <t>36.040" string="2" fret="5" sustain="0.5" /&gt;</t>
  </si>
  <si>
    <t>84.040" string="2" fret="5" sustain="0.5" /&gt;</t>
  </si>
  <si>
    <t>10.540" string="1" fret="5" sustain="3" /&gt;</t>
  </si>
  <si>
    <t>14.540" string="1" fret="5" sustain="3" /&gt;</t>
  </si>
  <si>
    <t>18.540" string="1" fret="5" sustain="3" /&gt;</t>
  </si>
  <si>
    <t>22.540" string="1" fret="5" sustain="3" /&gt;</t>
  </si>
  <si>
    <t>90.540" string="1" fret="5" sustain="3" /&gt;</t>
  </si>
  <si>
    <t>94.540" string="1" fret="5" sustain="3" /&gt;</t>
  </si>
  <si>
    <t>196.040" string="2" fret="5" sustain="0.3" /&gt;</t>
  </si>
  <si>
    <t>212.040" string="2" fret="5" sustain="0.1" /&gt;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</si>
</sst>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2" borderId="2" xfId="0" applyNumberFormat="1" applyFont="1" applyFill="1" applyBorder="1"/>
    <xf numFmtId="0" fontId="0" fillId="2" borderId="3" xfId="0" applyNumberFormat="1" applyFont="1" applyFill="1" applyBorder="1"/>
    <xf numFmtId="0" fontId="0" fillId="0" borderId="1" xfId="0" applyNumberFormat="1" applyFont="1" applyBorder="1"/>
    <xf numFmtId="0" fontId="0" fillId="0" borderId="3" xfId="0" applyNumberFormat="1" applyFont="1" applyBorder="1"/>
    <xf numFmtId="0" fontId="0" fillId="3" borderId="0" xfId="0" applyFill="1"/>
    <xf numFmtId="164" fontId="0" fillId="2" borderId="2" xfId="0" applyNumberFormat="1" applyFont="1" applyFill="1" applyBorder="1"/>
    <xf numFmtId="164" fontId="0" fillId="2" borderId="2" xfId="0" quotePrefix="1" applyNumberFormat="1" applyFont="1" applyFill="1" applyBorder="1"/>
    <xf numFmtId="0" fontId="2" fillId="0" borderId="0" xfId="0" applyNumberFormat="1" applyFont="1"/>
    <xf numFmtId="0" fontId="2" fillId="3" borderId="0" xfId="0" applyFont="1" applyFill="1"/>
    <xf numFmtId="0" fontId="2" fillId="0" borderId="1" xfId="0" applyNumberFormat="1" applyFont="1" applyBorder="1"/>
    <xf numFmtId="0" fontId="2" fillId="2" borderId="2" xfId="0" applyNumberFormat="1" applyFont="1" applyFill="1" applyBorder="1"/>
    <xf numFmtId="0" fontId="2" fillId="0" borderId="3" xfId="0" applyNumberFormat="1" applyFont="1" applyBorder="1"/>
    <xf numFmtId="0" fontId="2" fillId="0" borderId="0" xfId="0" applyFon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3FC547E6-0390-4D44-812A-E647D2220649}" autoFormatId="16" applyNumberFormats="0" applyBorderFormats="0" applyFontFormats="0" applyPatternFormats="0" applyAlignmentFormats="0" applyWidthHeightFormats="0">
  <queryTableRefresh nextId="10">
    <queryTableFields count="9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6B8F20BD-1FCC-4B9D-9E5F-D68634CA65DC}" autoFormatId="16" applyNumberFormats="0" applyBorderFormats="0" applyFontFormats="0" applyPatternFormats="0" applyAlignmentFormats="0" applyWidthHeightFormats="0">
  <queryTableRefresh nextId="13">
    <queryTableFields count="10">
      <queryTableField id="1" name="Column1.1" tableColumnId="1"/>
      <queryTableField id="12" dataBound="0" tableColumnId="12"/>
      <queryTableField id="11" dataBound="0" tableColumnId="11"/>
      <queryTableField id="10" dataBound="0" tableColumnId="10"/>
      <queryTableField id="9" dataBound="0" tableColumnId="9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</queryTableFields>
    <queryTableDeletedFields count="2">
      <deletedField name="Column2"/>
      <deletedField name="Column3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214BE13-B569-4AB9-940A-3E89CBD04326}" autoFormatId="16" applyNumberFormats="0" applyBorderFormats="0" applyFontFormats="0" applyPatternFormats="0" applyAlignmentFormats="0" applyWidthHeightFormats="0">
  <queryTableRefresh nextId="3">
    <queryTableFields count="2">
      <queryTableField id="1" name="Column1.1" tableColumnId="1"/>
      <queryTableField id="2" name="Column1.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E2FD65-F8CF-4F95-8DC9-FFB0A27A5BBB}" name="chitar" displayName="chitar" ref="A1:I373" tableType="queryTable" totalsRowShown="0">
  <autoFilter ref="A1:I373" xr:uid="{D36AC0AB-783F-4BE7-916D-4F212D340D12}"/>
  <tableColumns count="9">
    <tableColumn id="1" xr3:uid="{B26FC205-D4B8-46B6-9B95-1009A95C6D5A}" uniqueName="1" name="Column1.1" queryTableFieldId="1" dataDxfId="16"/>
    <tableColumn id="2" xr3:uid="{40B6FE99-43A2-4A22-8EFD-5317EA0EDE38}" uniqueName="2" name="Column1.2" queryTableFieldId="2"/>
    <tableColumn id="3" xr3:uid="{0BAD7C5B-D43B-44FC-B11B-CE22ACE8B4EA}" uniqueName="3" name="Column1.3" queryTableFieldId="3" dataDxfId="15"/>
    <tableColumn id="4" xr3:uid="{1F259EEC-007F-4BDD-8D1D-73B45B481A7A}" uniqueName="4" name="Column1.4" queryTableFieldId="4"/>
    <tableColumn id="5" xr3:uid="{EC661119-54E3-4AC5-8021-444846F2F3D4}" uniqueName="5" name="Column1.5" queryTableFieldId="5" dataDxfId="14"/>
    <tableColumn id="6" xr3:uid="{92934280-61E1-48D7-9CDA-EB13A19D3E59}" uniqueName="6" name="Column1.6" queryTableFieldId="6"/>
    <tableColumn id="7" xr3:uid="{F45153B3-582B-4823-8FE3-A5256E223515}" uniqueName="7" name="Column1.7" queryTableFieldId="7" dataDxfId="13"/>
    <tableColumn id="8" xr3:uid="{18F88114-4829-45F9-A3D1-F11DB55E89F1}" uniqueName="8" name="Column1.8" queryTableFieldId="8"/>
    <tableColumn id="9" xr3:uid="{5D07C0FE-019C-47D1-BCAC-D48A270DA064}" uniqueName="9" name="Column1.9" queryTableFieldId="9" dataDxf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9C1E05-B07F-4F95-ADF0-91AB2EA4F5EB}" name="chitar__3" displayName="chitar__3" ref="A1:J614" tableType="queryTable" totalsRowShown="0">
  <autoFilter ref="A1:J614" xr:uid="{8F43A200-E240-493D-8E09-388568052D7A}"/>
  <tableColumns count="10">
    <tableColumn id="1" xr3:uid="{A2D2D6A0-F817-4AF7-B97A-814D3868B8DC}" uniqueName="1" name="Column1.1" queryTableFieldId="1" dataDxfId="11"/>
    <tableColumn id="12" xr3:uid="{17C6317F-91B3-4ECD-8B4C-1BB843BC7203}" uniqueName="12" name="Column1.15" queryTableFieldId="12" dataDxfId="10">
      <calculatedColumnFormula>VALUE(C2)</calculatedColumnFormula>
    </tableColumn>
    <tableColumn id="11" xr3:uid="{DA30FE8D-3176-4327-91AC-D24E86B8D895}" uniqueName="11" name="Column1.14" queryTableFieldId="11" dataDxfId="9">
      <calculatedColumnFormula>SUBSTITUTE(D2,"""","")</calculatedColumnFormula>
    </tableColumn>
    <tableColumn id="10" xr3:uid="{7A951E18-68D8-4CCF-9B4A-4B18D3848487}" uniqueName="10" name="Column1.13" queryTableFieldId="10" dataDxfId="8">
      <calculatedColumnFormula>LEFT(F2,7)</calculatedColumnFormula>
    </tableColumn>
    <tableColumn id="9" xr3:uid="{AF59A783-826F-4149-9F5D-7DF808E7EF5C}" uniqueName="9" name="Column1.12" queryTableFieldId="9" dataDxfId="7">
      <calculatedColumnFormula>RIGHT(chitar__3[[#This Row],[Column1.2]],LEN(chitar__3[[#This Row],[Column1.2]])-7)</calculatedColumnFormula>
    </tableColumn>
    <tableColumn id="2" xr3:uid="{4739F759-3103-4EB6-B4F4-978A2964C3A7}" uniqueName="2" name="Column1.2" queryTableFieldId="2" dataDxfId="6"/>
    <tableColumn id="3" xr3:uid="{30856F9F-3CB5-4AF7-9ADD-D454C76633A4}" uniqueName="3" name="Column1.3" queryTableFieldId="3" dataDxfId="5"/>
    <tableColumn id="4" xr3:uid="{79F63A6B-D189-4A17-BA95-AC65A48DFD95}" uniqueName="4" name="Column1.4" queryTableFieldId="4" dataDxfId="4"/>
    <tableColumn id="5" xr3:uid="{3C0CC310-C805-424E-B586-50A9B53C68C8}" uniqueName="5" name="Column1.5" queryTableFieldId="5" dataDxfId="3"/>
    <tableColumn id="6" xr3:uid="{D2BD194B-712C-4F35-AB10-6D7900779D4C}" uniqueName="6" name="Column1.6" queryTableFieldId="6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AD2FD4-DA9D-4554-AC11-74D59B5EDFD4}" name="bass__2" displayName="bass__2" ref="A1:B611" tableType="queryTable" totalsRowShown="0">
  <autoFilter ref="A1:B611" xr:uid="{D0C11F3A-11FB-4E15-8884-D498BF190694}"/>
  <tableColumns count="2">
    <tableColumn id="1" xr3:uid="{5EEDE3E9-93B6-4CE0-8413-4DE750896D68}" uniqueName="1" name="Column1.1" queryTableFieldId="1" dataDxfId="1"/>
    <tableColumn id="2" xr3:uid="{63983FF5-E820-4A47-BC17-5CFB8EEF205D}" uniqueName="2" name="Column1.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55215-1AC0-41ED-B4E9-6F1E8D513DEF}">
  <dimension ref="A1:I373"/>
  <sheetViews>
    <sheetView workbookViewId="0">
      <selection activeCell="G3" sqref="G3"/>
    </sheetView>
  </sheetViews>
  <sheetFormatPr defaultRowHeight="14.25" x14ac:dyDescent="0.45"/>
  <cols>
    <col min="1" max="1" width="14.06640625" bestFit="1" customWidth="1"/>
    <col min="2" max="9" width="11.73046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s="1" t="s">
        <v>14</v>
      </c>
      <c r="C2" s="1"/>
      <c r="E2" s="1"/>
      <c r="G2" s="1"/>
      <c r="I2" s="1"/>
    </row>
    <row r="3" spans="1:9" x14ac:dyDescent="0.45">
      <c r="A3" s="1" t="s">
        <v>12</v>
      </c>
      <c r="B3">
        <v>25.08</v>
      </c>
      <c r="C3" s="1" t="s">
        <v>9</v>
      </c>
      <c r="D3">
        <v>0</v>
      </c>
      <c r="E3" s="1" t="s">
        <v>10</v>
      </c>
      <c r="F3">
        <v>10</v>
      </c>
      <c r="G3" s="1" t="s">
        <v>15</v>
      </c>
      <c r="H3">
        <v>1</v>
      </c>
      <c r="I3" s="1" t="s">
        <v>11</v>
      </c>
    </row>
    <row r="4" spans="1:9" x14ac:dyDescent="0.45">
      <c r="A4" s="1" t="s">
        <v>12</v>
      </c>
      <c r="B4">
        <v>25.32</v>
      </c>
      <c r="C4" s="1" t="s">
        <v>9</v>
      </c>
      <c r="D4">
        <v>0</v>
      </c>
      <c r="E4" s="1" t="s">
        <v>10</v>
      </c>
      <c r="F4">
        <v>10</v>
      </c>
      <c r="G4" s="1" t="s">
        <v>15</v>
      </c>
      <c r="H4">
        <v>1</v>
      </c>
      <c r="I4" s="1" t="s">
        <v>11</v>
      </c>
    </row>
    <row r="5" spans="1:9" x14ac:dyDescent="0.45">
      <c r="A5" s="1" t="s">
        <v>12</v>
      </c>
      <c r="B5">
        <v>25.56</v>
      </c>
      <c r="C5" s="1" t="s">
        <v>9</v>
      </c>
      <c r="D5">
        <v>0</v>
      </c>
      <c r="E5" s="1" t="s">
        <v>10</v>
      </c>
      <c r="F5">
        <v>10</v>
      </c>
      <c r="G5" s="1" t="s">
        <v>15</v>
      </c>
      <c r="H5">
        <v>1</v>
      </c>
      <c r="I5" s="1" t="s">
        <v>11</v>
      </c>
    </row>
    <row r="6" spans="1:9" x14ac:dyDescent="0.45">
      <c r="A6" s="1" t="s">
        <v>12</v>
      </c>
      <c r="B6">
        <v>26.78</v>
      </c>
      <c r="C6" s="1" t="s">
        <v>9</v>
      </c>
      <c r="D6">
        <v>0</v>
      </c>
      <c r="E6" s="1" t="s">
        <v>10</v>
      </c>
      <c r="F6">
        <v>10</v>
      </c>
      <c r="G6" s="1" t="s">
        <v>15</v>
      </c>
      <c r="H6">
        <v>1</v>
      </c>
      <c r="I6" s="1" t="s">
        <v>11</v>
      </c>
    </row>
    <row r="7" spans="1:9" x14ac:dyDescent="0.45">
      <c r="A7" s="1" t="s">
        <v>12</v>
      </c>
      <c r="B7">
        <v>27.02</v>
      </c>
      <c r="C7" s="1" t="s">
        <v>9</v>
      </c>
      <c r="D7">
        <v>0</v>
      </c>
      <c r="E7" s="1" t="s">
        <v>10</v>
      </c>
      <c r="F7">
        <v>10</v>
      </c>
      <c r="G7" s="1" t="s">
        <v>15</v>
      </c>
      <c r="H7">
        <v>1</v>
      </c>
      <c r="I7" s="1" t="s">
        <v>11</v>
      </c>
    </row>
    <row r="8" spans="1:9" x14ac:dyDescent="0.45">
      <c r="A8" s="1" t="s">
        <v>12</v>
      </c>
      <c r="B8">
        <v>27.26</v>
      </c>
      <c r="C8" s="1" t="s">
        <v>9</v>
      </c>
      <c r="D8">
        <v>0</v>
      </c>
      <c r="E8" s="1" t="s">
        <v>10</v>
      </c>
      <c r="F8">
        <v>10</v>
      </c>
      <c r="G8" s="1" t="s">
        <v>15</v>
      </c>
      <c r="H8">
        <v>1</v>
      </c>
      <c r="I8" s="1" t="s">
        <v>11</v>
      </c>
    </row>
    <row r="9" spans="1:9" x14ac:dyDescent="0.45">
      <c r="A9" s="1" t="s">
        <v>12</v>
      </c>
      <c r="B9">
        <v>28.451000000000001</v>
      </c>
      <c r="C9" s="1" t="s">
        <v>9</v>
      </c>
      <c r="D9">
        <v>0</v>
      </c>
      <c r="E9" s="1" t="s">
        <v>10</v>
      </c>
      <c r="F9">
        <v>10</v>
      </c>
      <c r="G9" s="1" t="s">
        <v>15</v>
      </c>
      <c r="H9">
        <v>1</v>
      </c>
      <c r="I9" s="1" t="s">
        <v>11</v>
      </c>
    </row>
    <row r="10" spans="1:9" x14ac:dyDescent="0.45">
      <c r="A10" s="1" t="s">
        <v>12</v>
      </c>
      <c r="B10">
        <v>28.690999999999999</v>
      </c>
      <c r="C10" s="1" t="s">
        <v>9</v>
      </c>
      <c r="D10">
        <v>0</v>
      </c>
      <c r="E10" s="1" t="s">
        <v>10</v>
      </c>
      <c r="F10">
        <v>10</v>
      </c>
      <c r="G10" s="1" t="s">
        <v>15</v>
      </c>
      <c r="H10">
        <v>1</v>
      </c>
      <c r="I10" s="1" t="s">
        <v>11</v>
      </c>
    </row>
    <row r="11" spans="1:9" x14ac:dyDescent="0.45">
      <c r="A11" s="1" t="s">
        <v>12</v>
      </c>
      <c r="B11">
        <v>28.931000000000001</v>
      </c>
      <c r="C11" s="1" t="s">
        <v>9</v>
      </c>
      <c r="D11">
        <v>0</v>
      </c>
      <c r="E11" s="1" t="s">
        <v>10</v>
      </c>
      <c r="F11">
        <v>10</v>
      </c>
      <c r="G11" s="1" t="s">
        <v>15</v>
      </c>
      <c r="H11">
        <v>1</v>
      </c>
      <c r="I11" s="1" t="s">
        <v>11</v>
      </c>
    </row>
    <row r="12" spans="1:9" x14ac:dyDescent="0.45">
      <c r="A12" s="1" t="s">
        <v>12</v>
      </c>
      <c r="B12">
        <v>30.212</v>
      </c>
      <c r="C12" s="1" t="s">
        <v>9</v>
      </c>
      <c r="D12">
        <v>0</v>
      </c>
      <c r="E12" s="1" t="s">
        <v>10</v>
      </c>
      <c r="F12">
        <v>10</v>
      </c>
      <c r="G12" s="1" t="s">
        <v>15</v>
      </c>
      <c r="H12">
        <v>1</v>
      </c>
      <c r="I12" s="1" t="s">
        <v>11</v>
      </c>
    </row>
    <row r="13" spans="1:9" x14ac:dyDescent="0.45">
      <c r="A13" s="1" t="s">
        <v>12</v>
      </c>
      <c r="B13">
        <v>30.452000000000002</v>
      </c>
      <c r="C13" s="1" t="s">
        <v>9</v>
      </c>
      <c r="D13">
        <v>0</v>
      </c>
      <c r="E13" s="1" t="s">
        <v>10</v>
      </c>
      <c r="F13">
        <v>10</v>
      </c>
      <c r="G13" s="1" t="s">
        <v>15</v>
      </c>
      <c r="H13">
        <v>1</v>
      </c>
      <c r="I13" s="1" t="s">
        <v>11</v>
      </c>
    </row>
    <row r="14" spans="1:9" x14ac:dyDescent="0.45">
      <c r="A14" s="1" t="s">
        <v>12</v>
      </c>
      <c r="B14">
        <v>30.692</v>
      </c>
      <c r="C14" s="1" t="s">
        <v>9</v>
      </c>
      <c r="D14">
        <v>0</v>
      </c>
      <c r="E14" s="1" t="s">
        <v>10</v>
      </c>
      <c r="F14">
        <v>10</v>
      </c>
      <c r="G14" s="1" t="s">
        <v>15</v>
      </c>
      <c r="H14">
        <v>1</v>
      </c>
      <c r="I14" s="1" t="s">
        <v>11</v>
      </c>
    </row>
    <row r="15" spans="1:9" x14ac:dyDescent="0.45">
      <c r="A15" s="1" t="s">
        <v>12</v>
      </c>
      <c r="B15">
        <v>31.981999999999999</v>
      </c>
      <c r="C15" s="1" t="s">
        <v>9</v>
      </c>
      <c r="D15">
        <v>0</v>
      </c>
      <c r="E15" s="1" t="s">
        <v>10</v>
      </c>
      <c r="F15">
        <v>10</v>
      </c>
      <c r="G15" s="1" t="s">
        <v>15</v>
      </c>
      <c r="H15">
        <v>1</v>
      </c>
      <c r="I15" s="1" t="s">
        <v>11</v>
      </c>
    </row>
    <row r="16" spans="1:9" x14ac:dyDescent="0.45">
      <c r="A16" s="1" t="s">
        <v>12</v>
      </c>
      <c r="B16">
        <v>32.222999999999999</v>
      </c>
      <c r="C16" s="1" t="s">
        <v>9</v>
      </c>
      <c r="D16">
        <v>0</v>
      </c>
      <c r="E16" s="1" t="s">
        <v>10</v>
      </c>
      <c r="F16">
        <v>10</v>
      </c>
      <c r="G16" s="1" t="s">
        <v>15</v>
      </c>
      <c r="H16">
        <v>1</v>
      </c>
      <c r="I16" s="1" t="s">
        <v>11</v>
      </c>
    </row>
    <row r="17" spans="1:9" x14ac:dyDescent="0.45">
      <c r="A17" s="1" t="s">
        <v>12</v>
      </c>
      <c r="B17">
        <v>32.462000000000003</v>
      </c>
      <c r="C17" s="1" t="s">
        <v>9</v>
      </c>
      <c r="D17">
        <v>0</v>
      </c>
      <c r="E17" s="1" t="s">
        <v>10</v>
      </c>
      <c r="F17">
        <v>10</v>
      </c>
      <c r="G17" s="1" t="s">
        <v>15</v>
      </c>
      <c r="H17">
        <v>1</v>
      </c>
      <c r="I17" s="1" t="s">
        <v>11</v>
      </c>
    </row>
    <row r="18" spans="1:9" x14ac:dyDescent="0.45">
      <c r="A18" s="1" t="s">
        <v>12</v>
      </c>
      <c r="B18">
        <v>33.692</v>
      </c>
      <c r="C18" s="1" t="s">
        <v>9</v>
      </c>
      <c r="D18">
        <v>0</v>
      </c>
      <c r="E18" s="1" t="s">
        <v>10</v>
      </c>
      <c r="F18">
        <v>10</v>
      </c>
      <c r="G18" s="1" t="s">
        <v>15</v>
      </c>
      <c r="H18">
        <v>1</v>
      </c>
      <c r="I18" s="1" t="s">
        <v>11</v>
      </c>
    </row>
    <row r="19" spans="1:9" x14ac:dyDescent="0.45">
      <c r="A19" s="1" t="s">
        <v>12</v>
      </c>
      <c r="B19">
        <v>33.932000000000002</v>
      </c>
      <c r="C19" s="1" t="s">
        <v>9</v>
      </c>
      <c r="D19">
        <v>0</v>
      </c>
      <c r="E19" s="1" t="s">
        <v>10</v>
      </c>
      <c r="F19">
        <v>10</v>
      </c>
      <c r="G19" s="1" t="s">
        <v>15</v>
      </c>
      <c r="H19">
        <v>1</v>
      </c>
      <c r="I19" s="1" t="s">
        <v>11</v>
      </c>
    </row>
    <row r="20" spans="1:9" x14ac:dyDescent="0.45">
      <c r="A20" s="1" t="s">
        <v>12</v>
      </c>
      <c r="B20">
        <v>34.171999999999997</v>
      </c>
      <c r="C20" s="1" t="s">
        <v>9</v>
      </c>
      <c r="D20">
        <v>0</v>
      </c>
      <c r="E20" s="1" t="s">
        <v>10</v>
      </c>
      <c r="F20">
        <v>10</v>
      </c>
      <c r="G20" s="1" t="s">
        <v>15</v>
      </c>
      <c r="H20">
        <v>1</v>
      </c>
      <c r="I20" s="1" t="s">
        <v>11</v>
      </c>
    </row>
    <row r="21" spans="1:9" x14ac:dyDescent="0.45">
      <c r="A21" s="1" t="s">
        <v>12</v>
      </c>
      <c r="B21">
        <v>35.402000000000001</v>
      </c>
      <c r="C21" s="1" t="s">
        <v>9</v>
      </c>
      <c r="D21">
        <v>0</v>
      </c>
      <c r="E21" s="1" t="s">
        <v>10</v>
      </c>
      <c r="F21">
        <v>10</v>
      </c>
      <c r="G21" s="1" t="s">
        <v>15</v>
      </c>
      <c r="H21">
        <v>1</v>
      </c>
      <c r="I21" s="1" t="s">
        <v>11</v>
      </c>
    </row>
    <row r="22" spans="1:9" x14ac:dyDescent="0.45">
      <c r="A22" s="1" t="s">
        <v>12</v>
      </c>
      <c r="B22">
        <v>35.642000000000003</v>
      </c>
      <c r="C22" s="1" t="s">
        <v>9</v>
      </c>
      <c r="D22">
        <v>0</v>
      </c>
      <c r="E22" s="1" t="s">
        <v>10</v>
      </c>
      <c r="F22">
        <v>10</v>
      </c>
      <c r="G22" s="1" t="s">
        <v>15</v>
      </c>
      <c r="H22">
        <v>1</v>
      </c>
      <c r="I22" s="1" t="s">
        <v>11</v>
      </c>
    </row>
    <row r="23" spans="1:9" x14ac:dyDescent="0.45">
      <c r="A23" s="1" t="s">
        <v>12</v>
      </c>
      <c r="B23">
        <v>35.881999999999998</v>
      </c>
      <c r="C23" s="1" t="s">
        <v>9</v>
      </c>
      <c r="D23">
        <v>0</v>
      </c>
      <c r="E23" s="1" t="s">
        <v>10</v>
      </c>
      <c r="F23">
        <v>10</v>
      </c>
      <c r="G23" s="1" t="s">
        <v>15</v>
      </c>
      <c r="H23">
        <v>1</v>
      </c>
      <c r="I23" s="1" t="s">
        <v>11</v>
      </c>
    </row>
    <row r="24" spans="1:9" x14ac:dyDescent="0.45">
      <c r="A24" s="1" t="s">
        <v>12</v>
      </c>
      <c r="B24">
        <v>37.116999999999997</v>
      </c>
      <c r="C24" s="1" t="s">
        <v>9</v>
      </c>
      <c r="D24">
        <v>0</v>
      </c>
      <c r="E24" s="1" t="s">
        <v>10</v>
      </c>
      <c r="F24">
        <v>10</v>
      </c>
      <c r="G24" s="1" t="s">
        <v>15</v>
      </c>
      <c r="H24">
        <v>1</v>
      </c>
      <c r="I24" s="1" t="s">
        <v>11</v>
      </c>
    </row>
    <row r="25" spans="1:9" x14ac:dyDescent="0.45">
      <c r="A25" s="1" t="s">
        <v>12</v>
      </c>
      <c r="B25">
        <v>37.356999999999999</v>
      </c>
      <c r="C25" s="1" t="s">
        <v>9</v>
      </c>
      <c r="D25">
        <v>0</v>
      </c>
      <c r="E25" s="1" t="s">
        <v>10</v>
      </c>
      <c r="F25">
        <v>10</v>
      </c>
      <c r="G25" s="1" t="s">
        <v>15</v>
      </c>
      <c r="H25">
        <v>1</v>
      </c>
      <c r="I25" s="1" t="s">
        <v>11</v>
      </c>
    </row>
    <row r="26" spans="1:9" x14ac:dyDescent="0.45">
      <c r="A26" s="1" t="s">
        <v>12</v>
      </c>
      <c r="B26">
        <v>37.597000000000001</v>
      </c>
      <c r="C26" s="1" t="s">
        <v>9</v>
      </c>
      <c r="D26">
        <v>0</v>
      </c>
      <c r="E26" s="1" t="s">
        <v>10</v>
      </c>
      <c r="F26">
        <v>10</v>
      </c>
      <c r="G26" s="1" t="s">
        <v>15</v>
      </c>
      <c r="H26">
        <v>1</v>
      </c>
      <c r="I26" s="1" t="s">
        <v>11</v>
      </c>
    </row>
    <row r="27" spans="1:9" x14ac:dyDescent="0.45">
      <c r="A27" s="1" t="s">
        <v>12</v>
      </c>
      <c r="B27">
        <v>38.896999999999998</v>
      </c>
      <c r="C27" s="1" t="s">
        <v>9</v>
      </c>
      <c r="D27">
        <v>0</v>
      </c>
      <c r="E27" s="1" t="s">
        <v>10</v>
      </c>
      <c r="F27">
        <v>10</v>
      </c>
      <c r="G27" s="1" t="s">
        <v>15</v>
      </c>
      <c r="H27">
        <v>1</v>
      </c>
      <c r="I27" s="1" t="s">
        <v>11</v>
      </c>
    </row>
    <row r="28" spans="1:9" x14ac:dyDescent="0.45">
      <c r="A28" s="1" t="s">
        <v>12</v>
      </c>
      <c r="B28">
        <v>39.127000000000002</v>
      </c>
      <c r="C28" s="1" t="s">
        <v>9</v>
      </c>
      <c r="D28">
        <v>0</v>
      </c>
      <c r="E28" s="1" t="s">
        <v>10</v>
      </c>
      <c r="F28">
        <v>10</v>
      </c>
      <c r="G28" s="1" t="s">
        <v>15</v>
      </c>
      <c r="H28">
        <v>1</v>
      </c>
      <c r="I28" s="1" t="s">
        <v>11</v>
      </c>
    </row>
    <row r="29" spans="1:9" x14ac:dyDescent="0.45">
      <c r="A29" s="1" t="s">
        <v>12</v>
      </c>
      <c r="B29">
        <v>39.356999999999999</v>
      </c>
      <c r="C29" s="1" t="s">
        <v>9</v>
      </c>
      <c r="D29">
        <v>0</v>
      </c>
      <c r="E29" s="1" t="s">
        <v>10</v>
      </c>
      <c r="F29">
        <v>10</v>
      </c>
      <c r="G29" s="1" t="s">
        <v>15</v>
      </c>
      <c r="H29">
        <v>1</v>
      </c>
      <c r="I29" s="1" t="s">
        <v>11</v>
      </c>
    </row>
    <row r="30" spans="1:9" x14ac:dyDescent="0.45">
      <c r="A30" s="1" t="s">
        <v>12</v>
      </c>
      <c r="B30">
        <v>39.58</v>
      </c>
      <c r="C30" s="1" t="s">
        <v>9</v>
      </c>
      <c r="D30">
        <v>0</v>
      </c>
      <c r="E30" s="1" t="s">
        <v>10</v>
      </c>
      <c r="F30">
        <v>10</v>
      </c>
      <c r="G30" s="1" t="s">
        <v>15</v>
      </c>
      <c r="H30">
        <v>1</v>
      </c>
      <c r="I30" s="1" t="s">
        <v>11</v>
      </c>
    </row>
    <row r="31" spans="1:9" x14ac:dyDescent="0.45">
      <c r="A31" s="1" t="s">
        <v>12</v>
      </c>
      <c r="B31">
        <v>39.81</v>
      </c>
      <c r="C31" s="1" t="s">
        <v>9</v>
      </c>
      <c r="D31">
        <v>0</v>
      </c>
      <c r="E31" s="1" t="s">
        <v>10</v>
      </c>
      <c r="F31">
        <v>10</v>
      </c>
      <c r="G31" s="1" t="s">
        <v>15</v>
      </c>
      <c r="H31">
        <v>1</v>
      </c>
      <c r="I31" s="1" t="s">
        <v>11</v>
      </c>
    </row>
    <row r="32" spans="1:9" x14ac:dyDescent="0.45">
      <c r="A32" s="1" t="s">
        <v>12</v>
      </c>
      <c r="B32">
        <v>40.04</v>
      </c>
      <c r="C32" s="1" t="s">
        <v>9</v>
      </c>
      <c r="D32">
        <v>0</v>
      </c>
      <c r="E32" s="1" t="s">
        <v>10</v>
      </c>
      <c r="F32">
        <v>10</v>
      </c>
      <c r="G32" s="1" t="s">
        <v>15</v>
      </c>
      <c r="H32">
        <v>1</v>
      </c>
      <c r="I32" s="1" t="s">
        <v>11</v>
      </c>
    </row>
    <row r="33" spans="1:9" x14ac:dyDescent="0.45">
      <c r="A33" s="1" t="s">
        <v>12</v>
      </c>
      <c r="B33">
        <v>40.270000000000003</v>
      </c>
      <c r="C33" s="1" t="s">
        <v>9</v>
      </c>
      <c r="D33">
        <v>0</v>
      </c>
      <c r="E33" s="1" t="s">
        <v>10</v>
      </c>
      <c r="F33">
        <v>10</v>
      </c>
      <c r="G33" s="1" t="s">
        <v>15</v>
      </c>
      <c r="H33">
        <v>1</v>
      </c>
      <c r="I33" s="1" t="s">
        <v>11</v>
      </c>
    </row>
    <row r="34" spans="1:9" x14ac:dyDescent="0.45">
      <c r="A34" s="1" t="s">
        <v>12</v>
      </c>
      <c r="B34">
        <v>40.5</v>
      </c>
      <c r="C34" s="1" t="s">
        <v>9</v>
      </c>
      <c r="D34">
        <v>0</v>
      </c>
      <c r="E34" s="1" t="s">
        <v>10</v>
      </c>
      <c r="F34">
        <v>10</v>
      </c>
      <c r="G34" s="1" t="s">
        <v>15</v>
      </c>
      <c r="H34">
        <v>1</v>
      </c>
      <c r="I34" s="1" t="s">
        <v>11</v>
      </c>
    </row>
    <row r="35" spans="1:9" x14ac:dyDescent="0.45">
      <c r="A35" s="1" t="s">
        <v>12</v>
      </c>
      <c r="B35">
        <v>40.729999999999997</v>
      </c>
      <c r="C35" s="1" t="s">
        <v>9</v>
      </c>
      <c r="D35">
        <v>0</v>
      </c>
      <c r="E35" s="1" t="s">
        <v>10</v>
      </c>
      <c r="F35">
        <v>10</v>
      </c>
      <c r="G35" s="1" t="s">
        <v>15</v>
      </c>
      <c r="H35">
        <v>1</v>
      </c>
      <c r="I35" s="1" t="s">
        <v>11</v>
      </c>
    </row>
    <row r="36" spans="1:9" x14ac:dyDescent="0.45">
      <c r="A36" s="1" t="s">
        <v>12</v>
      </c>
      <c r="B36">
        <v>40.96</v>
      </c>
      <c r="C36" s="1" t="s">
        <v>9</v>
      </c>
      <c r="D36">
        <v>0</v>
      </c>
      <c r="E36" s="1" t="s">
        <v>10</v>
      </c>
      <c r="F36">
        <v>10</v>
      </c>
      <c r="G36" s="1" t="s">
        <v>15</v>
      </c>
      <c r="H36">
        <v>1</v>
      </c>
      <c r="I36" s="1" t="s">
        <v>11</v>
      </c>
    </row>
    <row r="37" spans="1:9" x14ac:dyDescent="0.45">
      <c r="A37" s="1" t="s">
        <v>12</v>
      </c>
      <c r="B37">
        <v>41.19</v>
      </c>
      <c r="C37" s="1" t="s">
        <v>9</v>
      </c>
      <c r="D37">
        <v>0</v>
      </c>
      <c r="E37" s="1" t="s">
        <v>10</v>
      </c>
      <c r="F37">
        <v>10</v>
      </c>
      <c r="G37" s="1" t="s">
        <v>15</v>
      </c>
      <c r="H37">
        <v>1</v>
      </c>
      <c r="I37" s="1" t="s">
        <v>11</v>
      </c>
    </row>
    <row r="38" spans="1:9" x14ac:dyDescent="0.45">
      <c r="A38" s="1" t="s">
        <v>12</v>
      </c>
      <c r="B38">
        <v>42.411999999999999</v>
      </c>
      <c r="C38" s="1" t="s">
        <v>9</v>
      </c>
      <c r="D38">
        <v>0</v>
      </c>
      <c r="E38" s="1" t="s">
        <v>10</v>
      </c>
      <c r="F38">
        <v>10</v>
      </c>
      <c r="G38" s="1" t="s">
        <v>15</v>
      </c>
      <c r="H38">
        <v>1</v>
      </c>
      <c r="I38" s="1" t="s">
        <v>11</v>
      </c>
    </row>
    <row r="39" spans="1:9" x14ac:dyDescent="0.45">
      <c r="A39" s="1" t="s">
        <v>12</v>
      </c>
      <c r="B39">
        <v>42.642000000000003</v>
      </c>
      <c r="C39" s="1" t="s">
        <v>9</v>
      </c>
      <c r="D39">
        <v>0</v>
      </c>
      <c r="E39" s="1" t="s">
        <v>10</v>
      </c>
      <c r="F39">
        <v>10</v>
      </c>
      <c r="G39" s="1" t="s">
        <v>15</v>
      </c>
      <c r="H39">
        <v>1</v>
      </c>
      <c r="I39" s="1" t="s">
        <v>11</v>
      </c>
    </row>
    <row r="40" spans="1:9" x14ac:dyDescent="0.45">
      <c r="A40" s="1" t="s">
        <v>12</v>
      </c>
      <c r="B40">
        <v>42.872</v>
      </c>
      <c r="C40" s="1" t="s">
        <v>9</v>
      </c>
      <c r="D40">
        <v>0</v>
      </c>
      <c r="E40" s="1" t="s">
        <v>10</v>
      </c>
      <c r="F40">
        <v>10</v>
      </c>
      <c r="G40" s="1" t="s">
        <v>15</v>
      </c>
      <c r="H40">
        <v>1</v>
      </c>
      <c r="I40" s="1" t="s">
        <v>11</v>
      </c>
    </row>
    <row r="41" spans="1:9" x14ac:dyDescent="0.45">
      <c r="A41" s="1" t="s">
        <v>12</v>
      </c>
      <c r="B41">
        <v>43.094999999999999</v>
      </c>
      <c r="C41" s="1" t="s">
        <v>9</v>
      </c>
      <c r="D41">
        <v>0</v>
      </c>
      <c r="E41" s="1" t="s">
        <v>10</v>
      </c>
      <c r="F41">
        <v>10</v>
      </c>
      <c r="G41" s="1" t="s">
        <v>15</v>
      </c>
      <c r="H41">
        <v>1</v>
      </c>
      <c r="I41" s="1" t="s">
        <v>11</v>
      </c>
    </row>
    <row r="42" spans="1:9" x14ac:dyDescent="0.45">
      <c r="A42" s="1" t="s">
        <v>12</v>
      </c>
      <c r="B42">
        <v>43.325000000000003</v>
      </c>
      <c r="C42" s="1" t="s">
        <v>9</v>
      </c>
      <c r="D42">
        <v>0</v>
      </c>
      <c r="E42" s="1" t="s">
        <v>10</v>
      </c>
      <c r="F42">
        <v>10</v>
      </c>
      <c r="G42" s="1" t="s">
        <v>15</v>
      </c>
      <c r="H42">
        <v>1</v>
      </c>
      <c r="I42" s="1" t="s">
        <v>11</v>
      </c>
    </row>
    <row r="43" spans="1:9" x14ac:dyDescent="0.45">
      <c r="A43" s="1" t="s">
        <v>12</v>
      </c>
      <c r="B43">
        <v>43.555</v>
      </c>
      <c r="C43" s="1" t="s">
        <v>9</v>
      </c>
      <c r="D43">
        <v>0</v>
      </c>
      <c r="E43" s="1" t="s">
        <v>10</v>
      </c>
      <c r="F43">
        <v>10</v>
      </c>
      <c r="G43" s="1" t="s">
        <v>15</v>
      </c>
      <c r="H43">
        <v>1</v>
      </c>
      <c r="I43" s="1" t="s">
        <v>11</v>
      </c>
    </row>
    <row r="44" spans="1:9" x14ac:dyDescent="0.45">
      <c r="A44" s="1" t="s">
        <v>12</v>
      </c>
      <c r="B44">
        <v>43.784999999999997</v>
      </c>
      <c r="C44" s="1" t="s">
        <v>9</v>
      </c>
      <c r="D44">
        <v>0</v>
      </c>
      <c r="E44" s="1" t="s">
        <v>10</v>
      </c>
      <c r="F44">
        <v>10</v>
      </c>
      <c r="G44" s="1" t="s">
        <v>15</v>
      </c>
      <c r="H44">
        <v>1</v>
      </c>
      <c r="I44" s="1" t="s">
        <v>11</v>
      </c>
    </row>
    <row r="45" spans="1:9" x14ac:dyDescent="0.45">
      <c r="A45" s="1" t="s">
        <v>12</v>
      </c>
      <c r="B45">
        <v>44.015000000000001</v>
      </c>
      <c r="C45" s="1" t="s">
        <v>9</v>
      </c>
      <c r="D45">
        <v>0</v>
      </c>
      <c r="E45" s="1" t="s">
        <v>10</v>
      </c>
      <c r="F45">
        <v>10</v>
      </c>
      <c r="G45" s="1" t="s">
        <v>15</v>
      </c>
      <c r="H45">
        <v>1</v>
      </c>
      <c r="I45" s="1" t="s">
        <v>11</v>
      </c>
    </row>
    <row r="46" spans="1:9" x14ac:dyDescent="0.45">
      <c r="A46" s="1" t="s">
        <v>12</v>
      </c>
      <c r="B46">
        <v>44.244999999999997</v>
      </c>
      <c r="C46" s="1" t="s">
        <v>9</v>
      </c>
      <c r="D46">
        <v>0</v>
      </c>
      <c r="E46" s="1" t="s">
        <v>10</v>
      </c>
      <c r="F46">
        <v>10</v>
      </c>
      <c r="G46" s="1" t="s">
        <v>15</v>
      </c>
      <c r="H46">
        <v>1</v>
      </c>
      <c r="I46" s="1" t="s">
        <v>11</v>
      </c>
    </row>
    <row r="47" spans="1:9" x14ac:dyDescent="0.45">
      <c r="A47" s="1" t="s">
        <v>12</v>
      </c>
      <c r="B47">
        <v>44.475000000000001</v>
      </c>
      <c r="C47" s="1" t="s">
        <v>9</v>
      </c>
      <c r="D47">
        <v>0</v>
      </c>
      <c r="E47" s="1" t="s">
        <v>10</v>
      </c>
      <c r="F47">
        <v>10</v>
      </c>
      <c r="G47" s="1" t="s">
        <v>15</v>
      </c>
      <c r="H47">
        <v>1</v>
      </c>
      <c r="I47" s="1" t="s">
        <v>11</v>
      </c>
    </row>
    <row r="48" spans="1:9" x14ac:dyDescent="0.45">
      <c r="A48" s="1" t="s">
        <v>12</v>
      </c>
      <c r="B48">
        <v>44.704999999999998</v>
      </c>
      <c r="C48" s="1" t="s">
        <v>9</v>
      </c>
      <c r="D48">
        <v>0</v>
      </c>
      <c r="E48" s="1" t="s">
        <v>10</v>
      </c>
      <c r="F48">
        <v>10</v>
      </c>
      <c r="G48" s="1" t="s">
        <v>15</v>
      </c>
      <c r="H48">
        <v>1</v>
      </c>
      <c r="I48" s="1" t="s">
        <v>11</v>
      </c>
    </row>
    <row r="49" spans="1:9" x14ac:dyDescent="0.45">
      <c r="A49" s="1" t="s">
        <v>12</v>
      </c>
      <c r="B49">
        <v>45.935000000000002</v>
      </c>
      <c r="C49" s="1" t="s">
        <v>9</v>
      </c>
      <c r="D49">
        <v>0</v>
      </c>
      <c r="E49" s="1" t="s">
        <v>10</v>
      </c>
      <c r="F49">
        <v>10</v>
      </c>
      <c r="G49" s="1" t="s">
        <v>15</v>
      </c>
      <c r="H49">
        <v>1</v>
      </c>
      <c r="I49" s="1" t="s">
        <v>11</v>
      </c>
    </row>
    <row r="50" spans="1:9" x14ac:dyDescent="0.45">
      <c r="A50" s="1" t="s">
        <v>12</v>
      </c>
      <c r="B50">
        <v>46.164999999999999</v>
      </c>
      <c r="C50" s="1" t="s">
        <v>9</v>
      </c>
      <c r="D50">
        <v>0</v>
      </c>
      <c r="E50" s="1" t="s">
        <v>10</v>
      </c>
      <c r="F50">
        <v>10</v>
      </c>
      <c r="G50" s="1" t="s">
        <v>15</v>
      </c>
      <c r="H50">
        <v>1</v>
      </c>
      <c r="I50" s="1" t="s">
        <v>11</v>
      </c>
    </row>
    <row r="51" spans="1:9" x14ac:dyDescent="0.45">
      <c r="A51" s="1" t="s">
        <v>12</v>
      </c>
      <c r="B51">
        <v>46.395000000000003</v>
      </c>
      <c r="C51" s="1" t="s">
        <v>9</v>
      </c>
      <c r="D51">
        <v>0</v>
      </c>
      <c r="E51" s="1" t="s">
        <v>10</v>
      </c>
      <c r="F51">
        <v>10</v>
      </c>
      <c r="G51" s="1" t="s">
        <v>15</v>
      </c>
      <c r="H51">
        <v>1</v>
      </c>
      <c r="I51" s="1" t="s">
        <v>11</v>
      </c>
    </row>
    <row r="52" spans="1:9" x14ac:dyDescent="0.45">
      <c r="A52" s="1" t="s">
        <v>12</v>
      </c>
      <c r="B52">
        <v>46.618000000000002</v>
      </c>
      <c r="C52" s="1" t="s">
        <v>9</v>
      </c>
      <c r="D52">
        <v>0</v>
      </c>
      <c r="E52" s="1" t="s">
        <v>10</v>
      </c>
      <c r="F52">
        <v>10</v>
      </c>
      <c r="G52" s="1" t="s">
        <v>15</v>
      </c>
      <c r="H52">
        <v>1</v>
      </c>
      <c r="I52" s="1" t="s">
        <v>11</v>
      </c>
    </row>
    <row r="53" spans="1:9" x14ac:dyDescent="0.45">
      <c r="A53" s="1" t="s">
        <v>12</v>
      </c>
      <c r="B53">
        <v>46.838000000000001</v>
      </c>
      <c r="C53" s="1" t="s">
        <v>9</v>
      </c>
      <c r="D53">
        <v>0</v>
      </c>
      <c r="E53" s="1" t="s">
        <v>10</v>
      </c>
      <c r="F53">
        <v>10</v>
      </c>
      <c r="G53" s="1" t="s">
        <v>15</v>
      </c>
      <c r="H53">
        <v>1</v>
      </c>
      <c r="I53" s="1" t="s">
        <v>11</v>
      </c>
    </row>
    <row r="54" spans="1:9" x14ac:dyDescent="0.45">
      <c r="A54" s="1" t="s">
        <v>12</v>
      </c>
      <c r="B54">
        <v>47.058</v>
      </c>
      <c r="C54" s="1" t="s">
        <v>9</v>
      </c>
      <c r="D54">
        <v>0</v>
      </c>
      <c r="E54" s="1" t="s">
        <v>10</v>
      </c>
      <c r="F54">
        <v>10</v>
      </c>
      <c r="G54" s="1" t="s">
        <v>15</v>
      </c>
      <c r="H54">
        <v>1</v>
      </c>
      <c r="I54" s="1" t="s">
        <v>11</v>
      </c>
    </row>
    <row r="55" spans="1:9" x14ac:dyDescent="0.45">
      <c r="A55" s="1" t="s">
        <v>12</v>
      </c>
      <c r="B55">
        <v>47.277999999999999</v>
      </c>
      <c r="C55" s="1" t="s">
        <v>9</v>
      </c>
      <c r="D55">
        <v>0</v>
      </c>
      <c r="E55" s="1" t="s">
        <v>10</v>
      </c>
      <c r="F55">
        <v>10</v>
      </c>
      <c r="G55" s="1" t="s">
        <v>15</v>
      </c>
      <c r="H55">
        <v>1</v>
      </c>
      <c r="I55" s="1" t="s">
        <v>11</v>
      </c>
    </row>
    <row r="56" spans="1:9" x14ac:dyDescent="0.45">
      <c r="A56" s="1" t="s">
        <v>12</v>
      </c>
      <c r="B56">
        <v>47.497999999999998</v>
      </c>
      <c r="C56" s="1" t="s">
        <v>9</v>
      </c>
      <c r="D56">
        <v>0</v>
      </c>
      <c r="E56" s="1" t="s">
        <v>10</v>
      </c>
      <c r="F56">
        <v>10</v>
      </c>
      <c r="G56" s="1" t="s">
        <v>15</v>
      </c>
      <c r="H56">
        <v>1</v>
      </c>
      <c r="I56" s="1" t="s">
        <v>11</v>
      </c>
    </row>
    <row r="57" spans="1:9" x14ac:dyDescent="0.45">
      <c r="A57" s="1" t="s">
        <v>12</v>
      </c>
      <c r="B57">
        <v>47.718000000000004</v>
      </c>
      <c r="C57" s="1" t="s">
        <v>9</v>
      </c>
      <c r="D57">
        <v>0</v>
      </c>
      <c r="E57" s="1" t="s">
        <v>10</v>
      </c>
      <c r="F57">
        <v>10</v>
      </c>
      <c r="G57" s="1" t="s">
        <v>15</v>
      </c>
      <c r="H57">
        <v>1</v>
      </c>
      <c r="I57" s="1" t="s">
        <v>11</v>
      </c>
    </row>
    <row r="58" spans="1:9" x14ac:dyDescent="0.45">
      <c r="A58" s="1" t="s">
        <v>12</v>
      </c>
      <c r="B58">
        <v>47.938000000000002</v>
      </c>
      <c r="C58" s="1" t="s">
        <v>9</v>
      </c>
      <c r="D58">
        <v>0</v>
      </c>
      <c r="E58" s="1" t="s">
        <v>10</v>
      </c>
      <c r="F58">
        <v>10</v>
      </c>
      <c r="G58" s="1" t="s">
        <v>15</v>
      </c>
      <c r="H58">
        <v>1</v>
      </c>
      <c r="I58" s="1" t="s">
        <v>11</v>
      </c>
    </row>
    <row r="59" spans="1:9" x14ac:dyDescent="0.45">
      <c r="A59" s="1" t="s">
        <v>12</v>
      </c>
      <c r="B59">
        <v>48.167999999999999</v>
      </c>
      <c r="C59" s="1" t="s">
        <v>9</v>
      </c>
      <c r="D59">
        <v>0</v>
      </c>
      <c r="E59" s="1" t="s">
        <v>10</v>
      </c>
      <c r="F59">
        <v>10</v>
      </c>
      <c r="G59" s="1" t="s">
        <v>15</v>
      </c>
      <c r="H59">
        <v>1</v>
      </c>
      <c r="I59" s="1" t="s">
        <v>11</v>
      </c>
    </row>
    <row r="60" spans="1:9" x14ac:dyDescent="0.45">
      <c r="A60" s="1" t="s">
        <v>12</v>
      </c>
      <c r="B60">
        <v>49.354999999999997</v>
      </c>
      <c r="C60" s="1" t="s">
        <v>9</v>
      </c>
      <c r="D60">
        <v>0</v>
      </c>
      <c r="E60" s="1" t="s">
        <v>10</v>
      </c>
      <c r="F60">
        <v>10</v>
      </c>
      <c r="G60" s="1" t="s">
        <v>15</v>
      </c>
      <c r="H60">
        <v>1</v>
      </c>
      <c r="I60" s="1" t="s">
        <v>11</v>
      </c>
    </row>
    <row r="61" spans="1:9" x14ac:dyDescent="0.45">
      <c r="A61" s="1" t="s">
        <v>12</v>
      </c>
      <c r="B61">
        <v>49.585000000000001</v>
      </c>
      <c r="C61" s="1" t="s">
        <v>9</v>
      </c>
      <c r="D61">
        <v>0</v>
      </c>
      <c r="E61" s="1" t="s">
        <v>10</v>
      </c>
      <c r="F61">
        <v>10</v>
      </c>
      <c r="G61" s="1" t="s">
        <v>15</v>
      </c>
      <c r="H61">
        <v>1</v>
      </c>
      <c r="I61" s="1" t="s">
        <v>11</v>
      </c>
    </row>
    <row r="62" spans="1:9" x14ac:dyDescent="0.45">
      <c r="A62" s="1" t="s">
        <v>12</v>
      </c>
      <c r="B62">
        <v>49.814999999999998</v>
      </c>
      <c r="C62" s="1" t="s">
        <v>9</v>
      </c>
      <c r="D62">
        <v>0</v>
      </c>
      <c r="E62" s="1" t="s">
        <v>10</v>
      </c>
      <c r="F62">
        <v>10</v>
      </c>
      <c r="G62" s="1" t="s">
        <v>15</v>
      </c>
      <c r="H62">
        <v>1</v>
      </c>
      <c r="I62" s="1" t="s">
        <v>11</v>
      </c>
    </row>
    <row r="63" spans="1:9" x14ac:dyDescent="0.45">
      <c r="A63" s="1" t="s">
        <v>12</v>
      </c>
      <c r="B63">
        <v>50.037999999999997</v>
      </c>
      <c r="C63" s="1" t="s">
        <v>9</v>
      </c>
      <c r="D63">
        <v>0</v>
      </c>
      <c r="E63" s="1" t="s">
        <v>10</v>
      </c>
      <c r="F63">
        <v>10</v>
      </c>
      <c r="G63" s="1" t="s">
        <v>15</v>
      </c>
      <c r="H63">
        <v>1</v>
      </c>
      <c r="I63" s="1" t="s">
        <v>11</v>
      </c>
    </row>
    <row r="64" spans="1:9" x14ac:dyDescent="0.45">
      <c r="A64" s="1" t="s">
        <v>12</v>
      </c>
      <c r="B64">
        <v>50.258000000000003</v>
      </c>
      <c r="C64" s="1" t="s">
        <v>9</v>
      </c>
      <c r="D64">
        <v>0</v>
      </c>
      <c r="E64" s="1" t="s">
        <v>10</v>
      </c>
      <c r="F64">
        <v>10</v>
      </c>
      <c r="G64" s="1" t="s">
        <v>15</v>
      </c>
      <c r="H64">
        <v>1</v>
      </c>
      <c r="I64" s="1" t="s">
        <v>11</v>
      </c>
    </row>
    <row r="65" spans="1:9" x14ac:dyDescent="0.45">
      <c r="A65" s="1" t="s">
        <v>12</v>
      </c>
      <c r="B65">
        <v>50.478000000000002</v>
      </c>
      <c r="C65" s="1" t="s">
        <v>9</v>
      </c>
      <c r="D65">
        <v>0</v>
      </c>
      <c r="E65" s="1" t="s">
        <v>10</v>
      </c>
      <c r="F65">
        <v>10</v>
      </c>
      <c r="G65" s="1" t="s">
        <v>15</v>
      </c>
      <c r="H65">
        <v>1</v>
      </c>
      <c r="I65" s="1" t="s">
        <v>11</v>
      </c>
    </row>
    <row r="66" spans="1:9" x14ac:dyDescent="0.45">
      <c r="A66" s="1" t="s">
        <v>12</v>
      </c>
      <c r="B66">
        <v>50.698</v>
      </c>
      <c r="C66" s="1" t="s">
        <v>9</v>
      </c>
      <c r="D66">
        <v>0</v>
      </c>
      <c r="E66" s="1" t="s">
        <v>10</v>
      </c>
      <c r="F66">
        <v>10</v>
      </c>
      <c r="G66" s="1" t="s">
        <v>15</v>
      </c>
      <c r="H66">
        <v>1</v>
      </c>
      <c r="I66" s="1" t="s">
        <v>11</v>
      </c>
    </row>
    <row r="67" spans="1:9" x14ac:dyDescent="0.45">
      <c r="A67" s="1" t="s">
        <v>12</v>
      </c>
      <c r="B67">
        <v>50.927999999999997</v>
      </c>
      <c r="C67" s="1" t="s">
        <v>9</v>
      </c>
      <c r="D67">
        <v>0</v>
      </c>
      <c r="E67" s="1" t="s">
        <v>10</v>
      </c>
      <c r="F67">
        <v>10</v>
      </c>
      <c r="G67" s="1" t="s">
        <v>15</v>
      </c>
      <c r="H67">
        <v>1</v>
      </c>
      <c r="I67" s="1" t="s">
        <v>11</v>
      </c>
    </row>
    <row r="68" spans="1:9" x14ac:dyDescent="0.45">
      <c r="A68" s="1" t="s">
        <v>12</v>
      </c>
      <c r="B68">
        <v>51.148000000000003</v>
      </c>
      <c r="C68" s="1" t="s">
        <v>9</v>
      </c>
      <c r="D68">
        <v>0</v>
      </c>
      <c r="E68" s="1" t="s">
        <v>10</v>
      </c>
      <c r="F68">
        <v>10</v>
      </c>
      <c r="G68" s="1" t="s">
        <v>15</v>
      </c>
      <c r="H68">
        <v>1</v>
      </c>
      <c r="I68" s="1" t="s">
        <v>11</v>
      </c>
    </row>
    <row r="69" spans="1:9" x14ac:dyDescent="0.45">
      <c r="A69" s="1" t="s">
        <v>12</v>
      </c>
      <c r="B69">
        <v>51.368000000000002</v>
      </c>
      <c r="C69" s="1" t="s">
        <v>9</v>
      </c>
      <c r="D69">
        <v>0</v>
      </c>
      <c r="E69" s="1" t="s">
        <v>10</v>
      </c>
      <c r="F69">
        <v>10</v>
      </c>
      <c r="G69" s="1" t="s">
        <v>15</v>
      </c>
      <c r="H69">
        <v>1</v>
      </c>
      <c r="I69" s="1" t="s">
        <v>11</v>
      </c>
    </row>
    <row r="70" spans="1:9" x14ac:dyDescent="0.45">
      <c r="A70" s="1" t="s">
        <v>12</v>
      </c>
      <c r="B70">
        <v>51.588000000000001</v>
      </c>
      <c r="C70" s="1" t="s">
        <v>9</v>
      </c>
      <c r="D70">
        <v>0</v>
      </c>
      <c r="E70" s="1" t="s">
        <v>10</v>
      </c>
      <c r="F70">
        <v>10</v>
      </c>
      <c r="G70" s="1" t="s">
        <v>15</v>
      </c>
      <c r="H70">
        <v>1</v>
      </c>
      <c r="I70" s="1" t="s">
        <v>11</v>
      </c>
    </row>
    <row r="71" spans="1:9" x14ac:dyDescent="0.45">
      <c r="A71" s="1" t="s">
        <v>12</v>
      </c>
      <c r="B71">
        <v>52.9</v>
      </c>
      <c r="C71" s="1" t="s">
        <v>9</v>
      </c>
      <c r="D71">
        <v>0</v>
      </c>
      <c r="E71" s="1" t="s">
        <v>10</v>
      </c>
      <c r="F71">
        <v>10</v>
      </c>
      <c r="G71" s="1" t="s">
        <v>15</v>
      </c>
      <c r="H71">
        <v>1</v>
      </c>
      <c r="I71" s="1" t="s">
        <v>11</v>
      </c>
    </row>
    <row r="72" spans="1:9" x14ac:dyDescent="0.45">
      <c r="A72" s="1" t="s">
        <v>12</v>
      </c>
      <c r="B72">
        <v>53.13</v>
      </c>
      <c r="C72" s="1" t="s">
        <v>9</v>
      </c>
      <c r="D72">
        <v>0</v>
      </c>
      <c r="E72" s="1" t="s">
        <v>10</v>
      </c>
      <c r="F72">
        <v>10</v>
      </c>
      <c r="G72" s="1" t="s">
        <v>15</v>
      </c>
      <c r="H72">
        <v>1</v>
      </c>
      <c r="I72" s="1" t="s">
        <v>11</v>
      </c>
    </row>
    <row r="73" spans="1:9" x14ac:dyDescent="0.45">
      <c r="A73" s="1" t="s">
        <v>12</v>
      </c>
      <c r="B73">
        <v>53.36</v>
      </c>
      <c r="C73" s="1" t="s">
        <v>9</v>
      </c>
      <c r="D73">
        <v>0</v>
      </c>
      <c r="E73" s="1" t="s">
        <v>10</v>
      </c>
      <c r="F73">
        <v>10</v>
      </c>
      <c r="G73" s="1" t="s">
        <v>15</v>
      </c>
      <c r="H73">
        <v>1</v>
      </c>
      <c r="I73" s="1" t="s">
        <v>11</v>
      </c>
    </row>
    <row r="74" spans="1:9" x14ac:dyDescent="0.45">
      <c r="A74" s="1" t="s">
        <v>12</v>
      </c>
      <c r="B74">
        <v>53.582999999999998</v>
      </c>
      <c r="C74" s="1" t="s">
        <v>9</v>
      </c>
      <c r="D74">
        <v>0</v>
      </c>
      <c r="E74" s="1" t="s">
        <v>10</v>
      </c>
      <c r="F74">
        <v>10</v>
      </c>
      <c r="G74" s="1" t="s">
        <v>15</v>
      </c>
      <c r="H74">
        <v>1</v>
      </c>
      <c r="I74" s="1" t="s">
        <v>11</v>
      </c>
    </row>
    <row r="75" spans="1:9" x14ac:dyDescent="0.45">
      <c r="A75" s="1" t="s">
        <v>12</v>
      </c>
      <c r="B75">
        <v>53.802999999999997</v>
      </c>
      <c r="C75" s="1" t="s">
        <v>9</v>
      </c>
      <c r="D75">
        <v>0</v>
      </c>
      <c r="E75" s="1" t="s">
        <v>10</v>
      </c>
      <c r="F75">
        <v>10</v>
      </c>
      <c r="G75" s="1" t="s">
        <v>15</v>
      </c>
      <c r="H75">
        <v>1</v>
      </c>
      <c r="I75" s="1" t="s">
        <v>11</v>
      </c>
    </row>
    <row r="76" spans="1:9" x14ac:dyDescent="0.45">
      <c r="A76" s="1" t="s">
        <v>12</v>
      </c>
      <c r="B76">
        <v>54.023000000000003</v>
      </c>
      <c r="C76" s="1" t="s">
        <v>9</v>
      </c>
      <c r="D76">
        <v>0</v>
      </c>
      <c r="E76" s="1" t="s">
        <v>10</v>
      </c>
      <c r="F76">
        <v>10</v>
      </c>
      <c r="G76" s="1" t="s">
        <v>15</v>
      </c>
      <c r="H76">
        <v>1</v>
      </c>
      <c r="I76" s="1" t="s">
        <v>11</v>
      </c>
    </row>
    <row r="77" spans="1:9" x14ac:dyDescent="0.45">
      <c r="A77" s="1" t="s">
        <v>12</v>
      </c>
      <c r="B77">
        <v>54.243000000000002</v>
      </c>
      <c r="C77" s="1" t="s">
        <v>9</v>
      </c>
      <c r="D77">
        <v>0</v>
      </c>
      <c r="E77" s="1" t="s">
        <v>10</v>
      </c>
      <c r="F77">
        <v>10</v>
      </c>
      <c r="G77" s="1" t="s">
        <v>15</v>
      </c>
      <c r="H77">
        <v>1</v>
      </c>
      <c r="I77" s="1" t="s">
        <v>11</v>
      </c>
    </row>
    <row r="78" spans="1:9" x14ac:dyDescent="0.45">
      <c r="A78" s="1" t="s">
        <v>12</v>
      </c>
      <c r="B78">
        <v>54.472999999999999</v>
      </c>
      <c r="C78" s="1" t="s">
        <v>9</v>
      </c>
      <c r="D78">
        <v>0</v>
      </c>
      <c r="E78" s="1" t="s">
        <v>10</v>
      </c>
      <c r="F78">
        <v>10</v>
      </c>
      <c r="G78" s="1" t="s">
        <v>15</v>
      </c>
      <c r="H78">
        <v>1</v>
      </c>
      <c r="I78" s="1" t="s">
        <v>11</v>
      </c>
    </row>
    <row r="79" spans="1:9" x14ac:dyDescent="0.45">
      <c r="A79" s="1" t="s">
        <v>12</v>
      </c>
      <c r="B79">
        <v>54.692999999999998</v>
      </c>
      <c r="C79" s="1" t="s">
        <v>9</v>
      </c>
      <c r="D79">
        <v>0</v>
      </c>
      <c r="E79" s="1" t="s">
        <v>10</v>
      </c>
      <c r="F79">
        <v>10</v>
      </c>
      <c r="G79" s="1" t="s">
        <v>15</v>
      </c>
      <c r="H79">
        <v>1</v>
      </c>
      <c r="I79" s="1" t="s">
        <v>11</v>
      </c>
    </row>
    <row r="80" spans="1:9" x14ac:dyDescent="0.45">
      <c r="A80" s="1" t="s">
        <v>12</v>
      </c>
      <c r="B80">
        <v>54.912999999999997</v>
      </c>
      <c r="C80" s="1" t="s">
        <v>9</v>
      </c>
      <c r="D80">
        <v>0</v>
      </c>
      <c r="E80" s="1" t="s">
        <v>10</v>
      </c>
      <c r="F80">
        <v>10</v>
      </c>
      <c r="G80" s="1" t="s">
        <v>15</v>
      </c>
      <c r="H80">
        <v>1</v>
      </c>
      <c r="I80" s="1" t="s">
        <v>11</v>
      </c>
    </row>
    <row r="81" spans="1:9" x14ac:dyDescent="0.45">
      <c r="A81" s="1" t="s">
        <v>12</v>
      </c>
      <c r="B81">
        <v>55.133000000000003</v>
      </c>
      <c r="C81" s="1" t="s">
        <v>9</v>
      </c>
      <c r="D81">
        <v>0</v>
      </c>
      <c r="E81" s="1" t="s">
        <v>10</v>
      </c>
      <c r="F81">
        <v>10</v>
      </c>
      <c r="G81" s="1" t="s">
        <v>15</v>
      </c>
      <c r="H81">
        <v>1</v>
      </c>
      <c r="I81" s="1" t="s">
        <v>11</v>
      </c>
    </row>
    <row r="82" spans="1:9" x14ac:dyDescent="0.45">
      <c r="A82" s="1" t="s">
        <v>12</v>
      </c>
      <c r="B82">
        <v>56.37</v>
      </c>
      <c r="C82" s="1" t="s">
        <v>9</v>
      </c>
      <c r="D82">
        <v>0</v>
      </c>
      <c r="E82" s="1" t="s">
        <v>10</v>
      </c>
      <c r="F82">
        <v>10</v>
      </c>
      <c r="G82" s="1" t="s">
        <v>15</v>
      </c>
      <c r="H82">
        <v>1</v>
      </c>
      <c r="I82" s="1" t="s">
        <v>11</v>
      </c>
    </row>
    <row r="83" spans="1:9" x14ac:dyDescent="0.45">
      <c r="A83" s="1" t="s">
        <v>12</v>
      </c>
      <c r="B83">
        <v>56.6</v>
      </c>
      <c r="C83" s="1" t="s">
        <v>9</v>
      </c>
      <c r="D83">
        <v>0</v>
      </c>
      <c r="E83" s="1" t="s">
        <v>10</v>
      </c>
      <c r="F83">
        <v>10</v>
      </c>
      <c r="G83" s="1" t="s">
        <v>15</v>
      </c>
      <c r="H83">
        <v>1</v>
      </c>
      <c r="I83" s="1" t="s">
        <v>11</v>
      </c>
    </row>
    <row r="84" spans="1:9" x14ac:dyDescent="0.45">
      <c r="A84" s="1" t="s">
        <v>12</v>
      </c>
      <c r="B84">
        <v>56.83</v>
      </c>
      <c r="C84" s="1" t="s">
        <v>9</v>
      </c>
      <c r="D84">
        <v>0</v>
      </c>
      <c r="E84" s="1" t="s">
        <v>10</v>
      </c>
      <c r="F84">
        <v>10</v>
      </c>
      <c r="G84" s="1" t="s">
        <v>15</v>
      </c>
      <c r="H84">
        <v>1</v>
      </c>
      <c r="I84" s="1" t="s">
        <v>11</v>
      </c>
    </row>
    <row r="85" spans="1:9" x14ac:dyDescent="0.45">
      <c r="A85" s="1" t="s">
        <v>12</v>
      </c>
      <c r="B85">
        <v>57.052999999999997</v>
      </c>
      <c r="C85" s="1" t="s">
        <v>9</v>
      </c>
      <c r="D85">
        <v>0</v>
      </c>
      <c r="E85" s="1" t="s">
        <v>10</v>
      </c>
      <c r="F85">
        <v>10</v>
      </c>
      <c r="G85" s="1" t="s">
        <v>15</v>
      </c>
      <c r="H85">
        <v>1</v>
      </c>
      <c r="I85" s="1" t="s">
        <v>11</v>
      </c>
    </row>
    <row r="86" spans="1:9" x14ac:dyDescent="0.45">
      <c r="A86" s="1" t="s">
        <v>12</v>
      </c>
      <c r="B86">
        <v>57.273000000000003</v>
      </c>
      <c r="C86" s="1" t="s">
        <v>9</v>
      </c>
      <c r="D86">
        <v>0</v>
      </c>
      <c r="E86" s="1" t="s">
        <v>10</v>
      </c>
      <c r="F86">
        <v>10</v>
      </c>
      <c r="G86" s="1" t="s">
        <v>15</v>
      </c>
      <c r="H86">
        <v>1</v>
      </c>
      <c r="I86" s="1" t="s">
        <v>11</v>
      </c>
    </row>
    <row r="87" spans="1:9" x14ac:dyDescent="0.45">
      <c r="A87" s="1" t="s">
        <v>12</v>
      </c>
      <c r="B87">
        <v>57.493000000000002</v>
      </c>
      <c r="C87" s="1" t="s">
        <v>9</v>
      </c>
      <c r="D87">
        <v>0</v>
      </c>
      <c r="E87" s="1" t="s">
        <v>10</v>
      </c>
      <c r="F87">
        <v>10</v>
      </c>
      <c r="G87" s="1" t="s">
        <v>15</v>
      </c>
      <c r="H87">
        <v>1</v>
      </c>
      <c r="I87" s="1" t="s">
        <v>11</v>
      </c>
    </row>
    <row r="88" spans="1:9" x14ac:dyDescent="0.45">
      <c r="A88" s="1" t="s">
        <v>12</v>
      </c>
      <c r="B88">
        <v>57.713000000000001</v>
      </c>
      <c r="C88" s="1" t="s">
        <v>9</v>
      </c>
      <c r="D88">
        <v>0</v>
      </c>
      <c r="E88" s="1" t="s">
        <v>10</v>
      </c>
      <c r="F88">
        <v>10</v>
      </c>
      <c r="G88" s="1" t="s">
        <v>15</v>
      </c>
      <c r="H88">
        <v>1</v>
      </c>
      <c r="I88" s="1" t="s">
        <v>11</v>
      </c>
    </row>
    <row r="89" spans="1:9" x14ac:dyDescent="0.45">
      <c r="A89" s="1" t="s">
        <v>12</v>
      </c>
      <c r="B89">
        <v>57.942999999999998</v>
      </c>
      <c r="C89" s="1" t="s">
        <v>9</v>
      </c>
      <c r="D89">
        <v>0</v>
      </c>
      <c r="E89" s="1" t="s">
        <v>10</v>
      </c>
      <c r="F89">
        <v>10</v>
      </c>
      <c r="G89" s="1" t="s">
        <v>15</v>
      </c>
      <c r="H89">
        <v>1</v>
      </c>
      <c r="I89" s="1" t="s">
        <v>11</v>
      </c>
    </row>
    <row r="90" spans="1:9" x14ac:dyDescent="0.45">
      <c r="A90" s="1" t="s">
        <v>12</v>
      </c>
      <c r="B90">
        <v>58.162999999999997</v>
      </c>
      <c r="C90" s="1" t="s">
        <v>9</v>
      </c>
      <c r="D90">
        <v>0</v>
      </c>
      <c r="E90" s="1" t="s">
        <v>10</v>
      </c>
      <c r="F90">
        <v>10</v>
      </c>
      <c r="G90" s="1" t="s">
        <v>15</v>
      </c>
      <c r="H90">
        <v>1</v>
      </c>
      <c r="I90" s="1" t="s">
        <v>11</v>
      </c>
    </row>
    <row r="91" spans="1:9" x14ac:dyDescent="0.45">
      <c r="A91" s="1" t="s">
        <v>12</v>
      </c>
      <c r="B91">
        <v>58.383000000000003</v>
      </c>
      <c r="C91" s="1" t="s">
        <v>9</v>
      </c>
      <c r="D91">
        <v>0</v>
      </c>
      <c r="E91" s="1" t="s">
        <v>10</v>
      </c>
      <c r="F91">
        <v>10</v>
      </c>
      <c r="G91" s="1" t="s">
        <v>15</v>
      </c>
      <c r="H91">
        <v>1</v>
      </c>
      <c r="I91" s="1" t="s">
        <v>11</v>
      </c>
    </row>
    <row r="92" spans="1:9" x14ac:dyDescent="0.45">
      <c r="A92" s="1" t="s">
        <v>12</v>
      </c>
      <c r="B92">
        <v>58.603000000000002</v>
      </c>
      <c r="C92" s="1" t="s">
        <v>9</v>
      </c>
      <c r="D92">
        <v>0</v>
      </c>
      <c r="E92" s="1" t="s">
        <v>10</v>
      </c>
      <c r="F92">
        <v>10</v>
      </c>
      <c r="G92" s="1" t="s">
        <v>15</v>
      </c>
      <c r="H92">
        <v>1</v>
      </c>
      <c r="I92" s="1" t="s">
        <v>11</v>
      </c>
    </row>
    <row r="93" spans="1:9" x14ac:dyDescent="0.45">
      <c r="A93" s="1" t="s">
        <v>12</v>
      </c>
      <c r="B93">
        <v>59.875999999999998</v>
      </c>
      <c r="C93" s="1" t="s">
        <v>9</v>
      </c>
      <c r="D93">
        <v>0</v>
      </c>
      <c r="E93" s="1" t="s">
        <v>10</v>
      </c>
      <c r="F93">
        <v>10</v>
      </c>
      <c r="G93" s="1" t="s">
        <v>15</v>
      </c>
      <c r="H93">
        <v>1</v>
      </c>
      <c r="I93" s="1" t="s">
        <v>11</v>
      </c>
    </row>
    <row r="94" spans="1:9" x14ac:dyDescent="0.45">
      <c r="A94" s="1" t="s">
        <v>12</v>
      </c>
      <c r="B94">
        <v>60.106000000000002</v>
      </c>
      <c r="C94" s="1" t="s">
        <v>9</v>
      </c>
      <c r="D94">
        <v>0</v>
      </c>
      <c r="E94" s="1" t="s">
        <v>10</v>
      </c>
      <c r="F94">
        <v>10</v>
      </c>
      <c r="G94" s="1" t="s">
        <v>15</v>
      </c>
      <c r="H94">
        <v>1</v>
      </c>
      <c r="I94" s="1" t="s">
        <v>11</v>
      </c>
    </row>
    <row r="95" spans="1:9" x14ac:dyDescent="0.45">
      <c r="A95" s="1" t="s">
        <v>12</v>
      </c>
      <c r="B95">
        <v>60.335999999999999</v>
      </c>
      <c r="C95" s="1" t="s">
        <v>9</v>
      </c>
      <c r="D95">
        <v>0</v>
      </c>
      <c r="E95" s="1" t="s">
        <v>10</v>
      </c>
      <c r="F95">
        <v>10</v>
      </c>
      <c r="G95" s="1" t="s">
        <v>15</v>
      </c>
      <c r="H95">
        <v>1</v>
      </c>
      <c r="I95" s="1" t="s">
        <v>11</v>
      </c>
    </row>
    <row r="96" spans="1:9" x14ac:dyDescent="0.45">
      <c r="A96" s="1" t="s">
        <v>12</v>
      </c>
      <c r="B96">
        <v>60.558999999999997</v>
      </c>
      <c r="C96" s="1" t="s">
        <v>9</v>
      </c>
      <c r="D96">
        <v>0</v>
      </c>
      <c r="E96" s="1" t="s">
        <v>10</v>
      </c>
      <c r="F96">
        <v>10</v>
      </c>
      <c r="G96" s="1" t="s">
        <v>15</v>
      </c>
      <c r="H96">
        <v>1</v>
      </c>
      <c r="I96" s="1" t="s">
        <v>11</v>
      </c>
    </row>
    <row r="97" spans="1:9" x14ac:dyDescent="0.45">
      <c r="A97" s="1" t="s">
        <v>12</v>
      </c>
      <c r="B97">
        <v>60.779000000000003</v>
      </c>
      <c r="C97" s="1" t="s">
        <v>9</v>
      </c>
      <c r="D97">
        <v>0</v>
      </c>
      <c r="E97" s="1" t="s">
        <v>10</v>
      </c>
      <c r="F97">
        <v>10</v>
      </c>
      <c r="G97" s="1" t="s">
        <v>15</v>
      </c>
      <c r="H97">
        <v>1</v>
      </c>
      <c r="I97" s="1" t="s">
        <v>11</v>
      </c>
    </row>
    <row r="98" spans="1:9" x14ac:dyDescent="0.45">
      <c r="A98" s="1" t="s">
        <v>12</v>
      </c>
      <c r="B98">
        <v>60.999000000000002</v>
      </c>
      <c r="C98" s="1" t="s">
        <v>9</v>
      </c>
      <c r="D98">
        <v>0</v>
      </c>
      <c r="E98" s="1" t="s">
        <v>10</v>
      </c>
      <c r="F98">
        <v>10</v>
      </c>
      <c r="G98" s="1" t="s">
        <v>15</v>
      </c>
      <c r="H98">
        <v>1</v>
      </c>
      <c r="I98" s="1" t="s">
        <v>11</v>
      </c>
    </row>
    <row r="99" spans="1:9" x14ac:dyDescent="0.45">
      <c r="A99" s="1" t="s">
        <v>12</v>
      </c>
      <c r="B99">
        <v>61.219000000000001</v>
      </c>
      <c r="C99" s="1" t="s">
        <v>9</v>
      </c>
      <c r="D99">
        <v>0</v>
      </c>
      <c r="E99" s="1" t="s">
        <v>10</v>
      </c>
      <c r="F99">
        <v>10</v>
      </c>
      <c r="G99" s="1" t="s">
        <v>15</v>
      </c>
      <c r="H99">
        <v>1</v>
      </c>
      <c r="I99" s="1" t="s">
        <v>11</v>
      </c>
    </row>
    <row r="100" spans="1:9" x14ac:dyDescent="0.45">
      <c r="A100" s="1" t="s">
        <v>12</v>
      </c>
      <c r="B100">
        <v>61.448999999999998</v>
      </c>
      <c r="C100" s="1" t="s">
        <v>9</v>
      </c>
      <c r="D100">
        <v>0</v>
      </c>
      <c r="E100" s="1" t="s">
        <v>10</v>
      </c>
      <c r="F100">
        <v>10</v>
      </c>
      <c r="G100" s="1" t="s">
        <v>15</v>
      </c>
      <c r="H100">
        <v>1</v>
      </c>
      <c r="I100" s="1" t="s">
        <v>11</v>
      </c>
    </row>
    <row r="101" spans="1:9" x14ac:dyDescent="0.45">
      <c r="A101" s="1" t="s">
        <v>12</v>
      </c>
      <c r="B101">
        <v>61.668999999999997</v>
      </c>
      <c r="C101" s="1" t="s">
        <v>9</v>
      </c>
      <c r="D101">
        <v>0</v>
      </c>
      <c r="E101" s="1" t="s">
        <v>10</v>
      </c>
      <c r="F101">
        <v>10</v>
      </c>
      <c r="G101" s="1" t="s">
        <v>15</v>
      </c>
      <c r="H101">
        <v>1</v>
      </c>
      <c r="I101" s="1" t="s">
        <v>11</v>
      </c>
    </row>
    <row r="102" spans="1:9" x14ac:dyDescent="0.45">
      <c r="A102" s="1" t="s">
        <v>12</v>
      </c>
      <c r="B102">
        <v>61.889000000000003</v>
      </c>
      <c r="C102" s="1" t="s">
        <v>9</v>
      </c>
      <c r="D102">
        <v>0</v>
      </c>
      <c r="E102" s="1" t="s">
        <v>10</v>
      </c>
      <c r="F102">
        <v>10</v>
      </c>
      <c r="G102" s="1" t="s">
        <v>15</v>
      </c>
      <c r="H102">
        <v>1</v>
      </c>
      <c r="I102" s="1" t="s">
        <v>11</v>
      </c>
    </row>
    <row r="103" spans="1:9" x14ac:dyDescent="0.45">
      <c r="A103" s="1" t="s">
        <v>12</v>
      </c>
      <c r="B103">
        <v>62.109000000000002</v>
      </c>
      <c r="C103" s="1" t="s">
        <v>9</v>
      </c>
      <c r="D103">
        <v>0</v>
      </c>
      <c r="E103" s="1" t="s">
        <v>10</v>
      </c>
      <c r="F103">
        <v>10</v>
      </c>
      <c r="G103" s="1" t="s">
        <v>15</v>
      </c>
      <c r="H103">
        <v>1</v>
      </c>
      <c r="I103" s="1" t="s">
        <v>11</v>
      </c>
    </row>
    <row r="104" spans="1:9" x14ac:dyDescent="0.45">
      <c r="A104" s="1" t="s">
        <v>12</v>
      </c>
      <c r="B104">
        <v>63.359000000000002</v>
      </c>
      <c r="C104" s="1" t="s">
        <v>9</v>
      </c>
      <c r="D104">
        <v>0</v>
      </c>
      <c r="E104" s="1" t="s">
        <v>10</v>
      </c>
      <c r="F104">
        <v>10</v>
      </c>
      <c r="G104" s="1" t="s">
        <v>15</v>
      </c>
      <c r="H104">
        <v>1</v>
      </c>
      <c r="I104" s="1" t="s">
        <v>11</v>
      </c>
    </row>
    <row r="105" spans="1:9" x14ac:dyDescent="0.45">
      <c r="A105" s="1" t="s">
        <v>12</v>
      </c>
      <c r="B105">
        <v>63.588999999999999</v>
      </c>
      <c r="C105" s="1" t="s">
        <v>9</v>
      </c>
      <c r="D105">
        <v>0</v>
      </c>
      <c r="E105" s="1" t="s">
        <v>10</v>
      </c>
      <c r="F105">
        <v>10</v>
      </c>
      <c r="G105" s="1" t="s">
        <v>15</v>
      </c>
      <c r="H105">
        <v>1</v>
      </c>
      <c r="I105" s="1" t="s">
        <v>11</v>
      </c>
    </row>
    <row r="106" spans="1:9" x14ac:dyDescent="0.45">
      <c r="A106" s="1" t="s">
        <v>12</v>
      </c>
      <c r="B106">
        <v>63.819000000000003</v>
      </c>
      <c r="C106" s="1" t="s">
        <v>9</v>
      </c>
      <c r="D106">
        <v>0</v>
      </c>
      <c r="E106" s="1" t="s">
        <v>10</v>
      </c>
      <c r="F106">
        <v>10</v>
      </c>
      <c r="G106" s="1" t="s">
        <v>15</v>
      </c>
      <c r="H106">
        <v>1</v>
      </c>
      <c r="I106" s="1" t="s">
        <v>11</v>
      </c>
    </row>
    <row r="107" spans="1:9" x14ac:dyDescent="0.45">
      <c r="A107" s="1" t="s">
        <v>12</v>
      </c>
      <c r="B107">
        <v>64.042000000000002</v>
      </c>
      <c r="C107" s="1" t="s">
        <v>9</v>
      </c>
      <c r="D107">
        <v>0</v>
      </c>
      <c r="E107" s="1" t="s">
        <v>10</v>
      </c>
      <c r="F107">
        <v>10</v>
      </c>
      <c r="G107" s="1" t="s">
        <v>15</v>
      </c>
      <c r="H107">
        <v>1</v>
      </c>
      <c r="I107" s="1" t="s">
        <v>11</v>
      </c>
    </row>
    <row r="108" spans="1:9" x14ac:dyDescent="0.45">
      <c r="A108" s="1" t="s">
        <v>12</v>
      </c>
      <c r="B108">
        <v>64.262</v>
      </c>
      <c r="C108" s="1" t="s">
        <v>9</v>
      </c>
      <c r="D108">
        <v>0</v>
      </c>
      <c r="E108" s="1" t="s">
        <v>10</v>
      </c>
      <c r="F108">
        <v>10</v>
      </c>
      <c r="G108" s="1" t="s">
        <v>15</v>
      </c>
      <c r="H108">
        <v>1</v>
      </c>
      <c r="I108" s="1" t="s">
        <v>11</v>
      </c>
    </row>
    <row r="109" spans="1:9" x14ac:dyDescent="0.45">
      <c r="A109" s="1" t="s">
        <v>12</v>
      </c>
      <c r="B109">
        <v>64.481999999999999</v>
      </c>
      <c r="C109" s="1" t="s">
        <v>9</v>
      </c>
      <c r="D109">
        <v>0</v>
      </c>
      <c r="E109" s="1" t="s">
        <v>10</v>
      </c>
      <c r="F109">
        <v>10</v>
      </c>
      <c r="G109" s="1" t="s">
        <v>15</v>
      </c>
      <c r="H109">
        <v>1</v>
      </c>
      <c r="I109" s="1" t="s">
        <v>11</v>
      </c>
    </row>
    <row r="110" spans="1:9" x14ac:dyDescent="0.45">
      <c r="A110" s="1" t="s">
        <v>12</v>
      </c>
      <c r="B110">
        <v>64.701999999999998</v>
      </c>
      <c r="C110" s="1" t="s">
        <v>9</v>
      </c>
      <c r="D110">
        <v>0</v>
      </c>
      <c r="E110" s="1" t="s">
        <v>10</v>
      </c>
      <c r="F110">
        <v>10</v>
      </c>
      <c r="G110" s="1" t="s">
        <v>15</v>
      </c>
      <c r="H110">
        <v>1</v>
      </c>
      <c r="I110" s="1" t="s">
        <v>11</v>
      </c>
    </row>
    <row r="111" spans="1:9" x14ac:dyDescent="0.45">
      <c r="A111" s="1" t="s">
        <v>12</v>
      </c>
      <c r="B111">
        <v>64.932000000000002</v>
      </c>
      <c r="C111" s="1" t="s">
        <v>9</v>
      </c>
      <c r="D111">
        <v>0</v>
      </c>
      <c r="E111" s="1" t="s">
        <v>10</v>
      </c>
      <c r="F111">
        <v>10</v>
      </c>
      <c r="G111" s="1" t="s">
        <v>15</v>
      </c>
      <c r="H111">
        <v>1</v>
      </c>
      <c r="I111" s="1" t="s">
        <v>11</v>
      </c>
    </row>
    <row r="112" spans="1:9" x14ac:dyDescent="0.45">
      <c r="A112" s="1" t="s">
        <v>12</v>
      </c>
      <c r="B112">
        <v>65.152000000000001</v>
      </c>
      <c r="C112" s="1" t="s">
        <v>9</v>
      </c>
      <c r="D112">
        <v>0</v>
      </c>
      <c r="E112" s="1" t="s">
        <v>10</v>
      </c>
      <c r="F112">
        <v>10</v>
      </c>
      <c r="G112" s="1" t="s">
        <v>15</v>
      </c>
      <c r="H112">
        <v>1</v>
      </c>
      <c r="I112" s="1" t="s">
        <v>11</v>
      </c>
    </row>
    <row r="113" spans="1:9" x14ac:dyDescent="0.45">
      <c r="A113" s="1" t="s">
        <v>12</v>
      </c>
      <c r="B113">
        <v>65.372</v>
      </c>
      <c r="C113" s="1" t="s">
        <v>9</v>
      </c>
      <c r="D113">
        <v>0</v>
      </c>
      <c r="E113" s="1" t="s">
        <v>10</v>
      </c>
      <c r="F113">
        <v>10</v>
      </c>
      <c r="G113" s="1" t="s">
        <v>15</v>
      </c>
      <c r="H113">
        <v>1</v>
      </c>
      <c r="I113" s="1" t="s">
        <v>11</v>
      </c>
    </row>
    <row r="114" spans="1:9" x14ac:dyDescent="0.45">
      <c r="A114" s="1" t="s">
        <v>12</v>
      </c>
      <c r="B114">
        <v>65.591999999999999</v>
      </c>
      <c r="C114" s="1" t="s">
        <v>9</v>
      </c>
      <c r="D114">
        <v>0</v>
      </c>
      <c r="E114" s="1" t="s">
        <v>10</v>
      </c>
      <c r="F114">
        <v>10</v>
      </c>
      <c r="G114" s="1" t="s">
        <v>15</v>
      </c>
      <c r="H114">
        <v>1</v>
      </c>
      <c r="I114" s="1" t="s">
        <v>11</v>
      </c>
    </row>
    <row r="115" spans="1:9" x14ac:dyDescent="0.45">
      <c r="A115" s="1" t="s">
        <v>12</v>
      </c>
      <c r="B115">
        <v>66.7</v>
      </c>
      <c r="C115" s="1" t="s">
        <v>9</v>
      </c>
      <c r="D115">
        <v>0</v>
      </c>
      <c r="E115" s="1" t="s">
        <v>10</v>
      </c>
      <c r="F115">
        <v>10</v>
      </c>
      <c r="G115" s="1" t="s">
        <v>15</v>
      </c>
      <c r="H115">
        <v>1</v>
      </c>
      <c r="I115" s="1" t="s">
        <v>11</v>
      </c>
    </row>
    <row r="116" spans="1:9" x14ac:dyDescent="0.45">
      <c r="A116" s="1" t="s">
        <v>12</v>
      </c>
      <c r="B116">
        <v>66.930000000000007</v>
      </c>
      <c r="C116" s="1" t="s">
        <v>9</v>
      </c>
      <c r="D116">
        <v>0</v>
      </c>
      <c r="E116" s="1" t="s">
        <v>10</v>
      </c>
      <c r="F116">
        <v>10</v>
      </c>
      <c r="G116" s="1" t="s">
        <v>15</v>
      </c>
      <c r="H116">
        <v>1</v>
      </c>
      <c r="I116" s="1" t="s">
        <v>11</v>
      </c>
    </row>
    <row r="117" spans="1:9" x14ac:dyDescent="0.45">
      <c r="A117" s="1" t="s">
        <v>12</v>
      </c>
      <c r="B117">
        <v>67.165000000000006</v>
      </c>
      <c r="C117" s="1" t="s">
        <v>9</v>
      </c>
      <c r="D117">
        <v>0</v>
      </c>
      <c r="E117" s="1" t="s">
        <v>10</v>
      </c>
      <c r="F117">
        <v>10</v>
      </c>
      <c r="G117" s="1" t="s">
        <v>15</v>
      </c>
      <c r="H117">
        <v>1</v>
      </c>
      <c r="I117" s="1" t="s">
        <v>11</v>
      </c>
    </row>
    <row r="118" spans="1:9" x14ac:dyDescent="0.45">
      <c r="A118" s="1" t="s">
        <v>12</v>
      </c>
      <c r="B118">
        <v>68.52</v>
      </c>
      <c r="C118" s="1" t="s">
        <v>9</v>
      </c>
      <c r="D118">
        <v>0</v>
      </c>
      <c r="E118" s="1" t="s">
        <v>10</v>
      </c>
      <c r="F118">
        <v>10</v>
      </c>
      <c r="G118" s="1" t="s">
        <v>15</v>
      </c>
      <c r="H118">
        <v>1</v>
      </c>
      <c r="I118" s="1" t="s">
        <v>11</v>
      </c>
    </row>
    <row r="119" spans="1:9" x14ac:dyDescent="0.45">
      <c r="A119" s="1" t="s">
        <v>12</v>
      </c>
      <c r="B119">
        <v>68.75</v>
      </c>
      <c r="C119" s="1" t="s">
        <v>9</v>
      </c>
      <c r="D119">
        <v>0</v>
      </c>
      <c r="E119" s="1" t="s">
        <v>10</v>
      </c>
      <c r="F119">
        <v>10</v>
      </c>
      <c r="G119" s="1" t="s">
        <v>15</v>
      </c>
      <c r="H119">
        <v>1</v>
      </c>
      <c r="I119" s="1" t="s">
        <v>11</v>
      </c>
    </row>
    <row r="120" spans="1:9" x14ac:dyDescent="0.45">
      <c r="A120" s="1" t="s">
        <v>12</v>
      </c>
      <c r="B120">
        <v>68.98</v>
      </c>
      <c r="C120" s="1" t="s">
        <v>9</v>
      </c>
      <c r="D120">
        <v>0</v>
      </c>
      <c r="E120" s="1" t="s">
        <v>10</v>
      </c>
      <c r="F120">
        <v>10</v>
      </c>
      <c r="G120" s="1" t="s">
        <v>15</v>
      </c>
      <c r="H120">
        <v>1</v>
      </c>
      <c r="I120" s="1" t="s">
        <v>11</v>
      </c>
    </row>
    <row r="121" spans="1:9" x14ac:dyDescent="0.45">
      <c r="A121" s="1" t="s">
        <v>12</v>
      </c>
      <c r="B121">
        <v>70.277000000000001</v>
      </c>
      <c r="C121" s="1" t="s">
        <v>9</v>
      </c>
      <c r="D121">
        <v>0</v>
      </c>
      <c r="E121" s="1" t="s">
        <v>10</v>
      </c>
      <c r="F121">
        <v>10</v>
      </c>
      <c r="G121" s="1" t="s">
        <v>15</v>
      </c>
      <c r="H121">
        <v>1</v>
      </c>
      <c r="I121" s="1" t="s">
        <v>11</v>
      </c>
    </row>
    <row r="122" spans="1:9" x14ac:dyDescent="0.45">
      <c r="A122" s="1" t="s">
        <v>12</v>
      </c>
      <c r="B122">
        <v>70.507000000000005</v>
      </c>
      <c r="C122" s="1" t="s">
        <v>9</v>
      </c>
      <c r="D122">
        <v>0</v>
      </c>
      <c r="E122" s="1" t="s">
        <v>10</v>
      </c>
      <c r="F122">
        <v>10</v>
      </c>
      <c r="G122" s="1" t="s">
        <v>15</v>
      </c>
      <c r="H122">
        <v>1</v>
      </c>
      <c r="I122" s="1" t="s">
        <v>11</v>
      </c>
    </row>
    <row r="123" spans="1:9" x14ac:dyDescent="0.45">
      <c r="A123" s="1" t="s">
        <v>12</v>
      </c>
      <c r="B123">
        <v>70.736999999999995</v>
      </c>
      <c r="C123" s="1" t="s">
        <v>9</v>
      </c>
      <c r="D123">
        <v>0</v>
      </c>
      <c r="E123" s="1" t="s">
        <v>10</v>
      </c>
      <c r="F123">
        <v>10</v>
      </c>
      <c r="G123" s="1" t="s">
        <v>15</v>
      </c>
      <c r="H123">
        <v>1</v>
      </c>
      <c r="I123" s="1" t="s">
        <v>11</v>
      </c>
    </row>
    <row r="124" spans="1:9" x14ac:dyDescent="0.45">
      <c r="A124" s="1" t="s">
        <v>12</v>
      </c>
      <c r="B124">
        <v>72.02</v>
      </c>
      <c r="C124" s="1" t="s">
        <v>9</v>
      </c>
      <c r="D124">
        <v>0</v>
      </c>
      <c r="E124" s="1" t="s">
        <v>10</v>
      </c>
      <c r="F124">
        <v>10</v>
      </c>
      <c r="G124" s="1" t="s">
        <v>15</v>
      </c>
      <c r="H124">
        <v>1</v>
      </c>
      <c r="I124" s="1" t="s">
        <v>11</v>
      </c>
    </row>
    <row r="125" spans="1:9" x14ac:dyDescent="0.45">
      <c r="A125" s="1" t="s">
        <v>12</v>
      </c>
      <c r="B125">
        <v>72.251999999999995</v>
      </c>
      <c r="C125" s="1" t="s">
        <v>9</v>
      </c>
      <c r="D125">
        <v>0</v>
      </c>
      <c r="E125" s="1" t="s">
        <v>10</v>
      </c>
      <c r="F125">
        <v>10</v>
      </c>
      <c r="G125" s="1" t="s">
        <v>15</v>
      </c>
      <c r="H125">
        <v>1</v>
      </c>
      <c r="I125" s="1" t="s">
        <v>11</v>
      </c>
    </row>
    <row r="126" spans="1:9" x14ac:dyDescent="0.45">
      <c r="A126" s="1" t="s">
        <v>12</v>
      </c>
      <c r="B126">
        <v>72.481999999999999</v>
      </c>
      <c r="C126" s="1" t="s">
        <v>9</v>
      </c>
      <c r="D126">
        <v>0</v>
      </c>
      <c r="E126" s="1" t="s">
        <v>10</v>
      </c>
      <c r="F126">
        <v>10</v>
      </c>
      <c r="G126" s="1" t="s">
        <v>15</v>
      </c>
      <c r="H126">
        <v>1</v>
      </c>
      <c r="I126" s="1" t="s">
        <v>11</v>
      </c>
    </row>
    <row r="127" spans="1:9" x14ac:dyDescent="0.45">
      <c r="A127" s="1" t="s">
        <v>12</v>
      </c>
      <c r="B127">
        <v>73.747</v>
      </c>
      <c r="C127" s="1" t="s">
        <v>9</v>
      </c>
      <c r="D127">
        <v>0</v>
      </c>
      <c r="E127" s="1" t="s">
        <v>10</v>
      </c>
      <c r="F127">
        <v>10</v>
      </c>
      <c r="G127" s="1" t="s">
        <v>15</v>
      </c>
      <c r="H127">
        <v>1</v>
      </c>
      <c r="I127" s="1" t="s">
        <v>11</v>
      </c>
    </row>
    <row r="128" spans="1:9" x14ac:dyDescent="0.45">
      <c r="A128" s="1" t="s">
        <v>12</v>
      </c>
      <c r="B128">
        <v>73.977000000000004</v>
      </c>
      <c r="C128" s="1" t="s">
        <v>9</v>
      </c>
      <c r="D128">
        <v>0</v>
      </c>
      <c r="E128" s="1" t="s">
        <v>10</v>
      </c>
      <c r="F128">
        <v>10</v>
      </c>
      <c r="G128" s="1" t="s">
        <v>15</v>
      </c>
      <c r="H128">
        <v>1</v>
      </c>
      <c r="I128" s="1" t="s">
        <v>11</v>
      </c>
    </row>
    <row r="129" spans="1:9" x14ac:dyDescent="0.45">
      <c r="A129" s="1" t="s">
        <v>12</v>
      </c>
      <c r="B129">
        <v>74.206999999999994</v>
      </c>
      <c r="C129" s="1" t="s">
        <v>9</v>
      </c>
      <c r="D129">
        <v>0</v>
      </c>
      <c r="E129" s="1" t="s">
        <v>10</v>
      </c>
      <c r="F129">
        <v>10</v>
      </c>
      <c r="G129" s="1" t="s">
        <v>15</v>
      </c>
      <c r="H129">
        <v>1</v>
      </c>
      <c r="I129" s="1" t="s">
        <v>11</v>
      </c>
    </row>
    <row r="130" spans="1:9" x14ac:dyDescent="0.45">
      <c r="A130" s="1" t="s">
        <v>12</v>
      </c>
      <c r="B130">
        <v>75.481999999999999</v>
      </c>
      <c r="C130" s="1" t="s">
        <v>9</v>
      </c>
      <c r="D130">
        <v>0</v>
      </c>
      <c r="E130" s="1" t="s">
        <v>10</v>
      </c>
      <c r="F130">
        <v>10</v>
      </c>
      <c r="G130" s="1" t="s">
        <v>15</v>
      </c>
      <c r="H130">
        <v>1</v>
      </c>
      <c r="I130" s="1" t="s">
        <v>11</v>
      </c>
    </row>
    <row r="131" spans="1:9" x14ac:dyDescent="0.45">
      <c r="A131" s="1" t="s">
        <v>12</v>
      </c>
      <c r="B131">
        <v>75.712000000000003</v>
      </c>
      <c r="C131" s="1" t="s">
        <v>9</v>
      </c>
      <c r="D131">
        <v>0</v>
      </c>
      <c r="E131" s="1" t="s">
        <v>10</v>
      </c>
      <c r="F131">
        <v>10</v>
      </c>
      <c r="G131" s="1" t="s">
        <v>15</v>
      </c>
      <c r="H131">
        <v>1</v>
      </c>
      <c r="I131" s="1" t="s">
        <v>11</v>
      </c>
    </row>
    <row r="132" spans="1:9" x14ac:dyDescent="0.45">
      <c r="A132" s="1" t="s">
        <v>12</v>
      </c>
      <c r="B132">
        <v>75.941999999999993</v>
      </c>
      <c r="C132" s="1" t="s">
        <v>9</v>
      </c>
      <c r="D132">
        <v>0</v>
      </c>
      <c r="E132" s="1" t="s">
        <v>10</v>
      </c>
      <c r="F132">
        <v>10</v>
      </c>
      <c r="G132" s="1" t="s">
        <v>15</v>
      </c>
      <c r="H132">
        <v>1</v>
      </c>
      <c r="I132" s="1" t="s">
        <v>11</v>
      </c>
    </row>
    <row r="133" spans="1:9" x14ac:dyDescent="0.45">
      <c r="A133" s="1" t="s">
        <v>12</v>
      </c>
      <c r="B133">
        <v>77.215000000000003</v>
      </c>
      <c r="C133" s="1" t="s">
        <v>9</v>
      </c>
      <c r="D133">
        <v>0</v>
      </c>
      <c r="E133" s="1" t="s">
        <v>10</v>
      </c>
      <c r="F133">
        <v>10</v>
      </c>
      <c r="G133" s="1" t="s">
        <v>15</v>
      </c>
      <c r="H133">
        <v>1</v>
      </c>
      <c r="I133" s="1" t="s">
        <v>11</v>
      </c>
    </row>
    <row r="134" spans="1:9" x14ac:dyDescent="0.45">
      <c r="A134" s="1" t="s">
        <v>12</v>
      </c>
      <c r="B134">
        <v>77.444999999999993</v>
      </c>
      <c r="C134" s="1" t="s">
        <v>9</v>
      </c>
      <c r="D134">
        <v>0</v>
      </c>
      <c r="E134" s="1" t="s">
        <v>10</v>
      </c>
      <c r="F134">
        <v>10</v>
      </c>
      <c r="G134" s="1" t="s">
        <v>15</v>
      </c>
      <c r="H134">
        <v>1</v>
      </c>
      <c r="I134" s="1" t="s">
        <v>11</v>
      </c>
    </row>
    <row r="135" spans="1:9" x14ac:dyDescent="0.45">
      <c r="A135" s="1" t="s">
        <v>12</v>
      </c>
      <c r="B135">
        <v>77.674999999999997</v>
      </c>
      <c r="C135" s="1" t="s">
        <v>9</v>
      </c>
      <c r="D135">
        <v>0</v>
      </c>
      <c r="E135" s="1" t="s">
        <v>10</v>
      </c>
      <c r="F135">
        <v>10</v>
      </c>
      <c r="G135" s="1" t="s">
        <v>15</v>
      </c>
      <c r="H135">
        <v>1</v>
      </c>
      <c r="I135" s="1" t="s">
        <v>11</v>
      </c>
    </row>
    <row r="136" spans="1:9" x14ac:dyDescent="0.45">
      <c r="A136" s="1" t="s">
        <v>12</v>
      </c>
      <c r="B136">
        <v>78.941999999999993</v>
      </c>
      <c r="C136" s="1" t="s">
        <v>9</v>
      </c>
      <c r="D136">
        <v>0</v>
      </c>
      <c r="E136" s="1" t="s">
        <v>10</v>
      </c>
      <c r="F136">
        <v>10</v>
      </c>
      <c r="G136" s="1" t="s">
        <v>15</v>
      </c>
      <c r="H136">
        <v>1</v>
      </c>
      <c r="I136" s="1" t="s">
        <v>11</v>
      </c>
    </row>
    <row r="137" spans="1:9" x14ac:dyDescent="0.45">
      <c r="A137" s="1" t="s">
        <v>12</v>
      </c>
      <c r="B137">
        <v>79.171999999999997</v>
      </c>
      <c r="C137" s="1" t="s">
        <v>9</v>
      </c>
      <c r="D137">
        <v>0</v>
      </c>
      <c r="E137" s="1" t="s">
        <v>10</v>
      </c>
      <c r="F137">
        <v>10</v>
      </c>
      <c r="G137" s="1" t="s">
        <v>15</v>
      </c>
      <c r="H137">
        <v>1</v>
      </c>
      <c r="I137" s="1" t="s">
        <v>11</v>
      </c>
    </row>
    <row r="138" spans="1:9" x14ac:dyDescent="0.45">
      <c r="A138" s="1" t="s">
        <v>12</v>
      </c>
      <c r="B138">
        <v>79.402000000000001</v>
      </c>
      <c r="C138" s="1" t="s">
        <v>9</v>
      </c>
      <c r="D138">
        <v>0</v>
      </c>
      <c r="E138" s="1" t="s">
        <v>10</v>
      </c>
      <c r="F138">
        <v>10</v>
      </c>
      <c r="G138" s="1" t="s">
        <v>15</v>
      </c>
      <c r="H138">
        <v>1</v>
      </c>
      <c r="I138" s="1" t="s">
        <v>11</v>
      </c>
    </row>
    <row r="139" spans="1:9" x14ac:dyDescent="0.45">
      <c r="A139" s="1" t="s">
        <v>12</v>
      </c>
      <c r="B139">
        <v>87.67</v>
      </c>
      <c r="C139" s="1" t="s">
        <v>9</v>
      </c>
      <c r="D139">
        <v>0</v>
      </c>
      <c r="E139" s="1" t="s">
        <v>10</v>
      </c>
      <c r="F139">
        <v>10</v>
      </c>
      <c r="G139" s="1" t="s">
        <v>15</v>
      </c>
      <c r="H139">
        <v>1</v>
      </c>
      <c r="I139" s="1" t="s">
        <v>11</v>
      </c>
    </row>
    <row r="140" spans="1:9" x14ac:dyDescent="0.45">
      <c r="A140" s="1" t="s">
        <v>12</v>
      </c>
      <c r="B140">
        <v>87.9</v>
      </c>
      <c r="C140" s="1" t="s">
        <v>9</v>
      </c>
      <c r="D140">
        <v>0</v>
      </c>
      <c r="E140" s="1" t="s">
        <v>10</v>
      </c>
      <c r="F140">
        <v>10</v>
      </c>
      <c r="G140" s="1" t="s">
        <v>15</v>
      </c>
      <c r="H140">
        <v>1</v>
      </c>
      <c r="I140" s="1" t="s">
        <v>11</v>
      </c>
    </row>
    <row r="141" spans="1:9" x14ac:dyDescent="0.45">
      <c r="A141" s="1" t="s">
        <v>12</v>
      </c>
      <c r="B141">
        <v>88.13</v>
      </c>
      <c r="C141" s="1" t="s">
        <v>9</v>
      </c>
      <c r="D141">
        <v>0</v>
      </c>
      <c r="E141" s="1" t="s">
        <v>10</v>
      </c>
      <c r="F141">
        <v>10</v>
      </c>
      <c r="G141" s="1" t="s">
        <v>15</v>
      </c>
      <c r="H141">
        <v>1</v>
      </c>
      <c r="I141" s="1" t="s">
        <v>11</v>
      </c>
    </row>
    <row r="142" spans="1:9" x14ac:dyDescent="0.45">
      <c r="A142" s="1" t="s">
        <v>12</v>
      </c>
      <c r="B142">
        <v>88.36</v>
      </c>
      <c r="C142" s="1" t="s">
        <v>9</v>
      </c>
      <c r="D142">
        <v>0</v>
      </c>
      <c r="E142" s="1" t="s">
        <v>10</v>
      </c>
      <c r="F142">
        <v>10</v>
      </c>
      <c r="G142" s="1" t="s">
        <v>15</v>
      </c>
      <c r="H142">
        <v>1</v>
      </c>
      <c r="I142" s="1" t="s">
        <v>11</v>
      </c>
    </row>
    <row r="143" spans="1:9" x14ac:dyDescent="0.45">
      <c r="A143" s="1" t="s">
        <v>12</v>
      </c>
      <c r="B143">
        <v>88.590999999999994</v>
      </c>
      <c r="C143" s="1" t="s">
        <v>9</v>
      </c>
      <c r="D143">
        <v>0</v>
      </c>
      <c r="E143" s="1" t="s">
        <v>10</v>
      </c>
      <c r="F143">
        <v>10</v>
      </c>
      <c r="G143" s="1" t="s">
        <v>15</v>
      </c>
      <c r="H143">
        <v>1</v>
      </c>
      <c r="I143" s="1" t="s">
        <v>11</v>
      </c>
    </row>
    <row r="144" spans="1:9" x14ac:dyDescent="0.45">
      <c r="A144" s="1" t="s">
        <v>12</v>
      </c>
      <c r="B144">
        <v>88.820999999999998</v>
      </c>
      <c r="C144" s="1" t="s">
        <v>9</v>
      </c>
      <c r="D144">
        <v>0</v>
      </c>
      <c r="E144" s="1" t="s">
        <v>10</v>
      </c>
      <c r="F144">
        <v>10</v>
      </c>
      <c r="G144" s="1" t="s">
        <v>15</v>
      </c>
      <c r="H144">
        <v>1</v>
      </c>
      <c r="I144" s="1" t="s">
        <v>11</v>
      </c>
    </row>
    <row r="145" spans="1:9" x14ac:dyDescent="0.45">
      <c r="A145" s="1" t="s">
        <v>12</v>
      </c>
      <c r="B145">
        <v>89.051000000000002</v>
      </c>
      <c r="C145" s="1" t="s">
        <v>9</v>
      </c>
      <c r="D145">
        <v>0</v>
      </c>
      <c r="E145" s="1" t="s">
        <v>10</v>
      </c>
      <c r="F145">
        <v>10</v>
      </c>
      <c r="G145" s="1" t="s">
        <v>15</v>
      </c>
      <c r="H145">
        <v>1</v>
      </c>
      <c r="I145" s="1" t="s">
        <v>11</v>
      </c>
    </row>
    <row r="146" spans="1:9" x14ac:dyDescent="0.45">
      <c r="A146" s="1" t="s">
        <v>12</v>
      </c>
      <c r="B146">
        <v>89.281000000000006</v>
      </c>
      <c r="C146" s="1" t="s">
        <v>9</v>
      </c>
      <c r="D146">
        <v>0</v>
      </c>
      <c r="E146" s="1" t="s">
        <v>10</v>
      </c>
      <c r="F146">
        <v>10</v>
      </c>
      <c r="G146" s="1" t="s">
        <v>15</v>
      </c>
      <c r="H146">
        <v>1</v>
      </c>
      <c r="I146" s="1" t="s">
        <v>11</v>
      </c>
    </row>
    <row r="147" spans="1:9" x14ac:dyDescent="0.45">
      <c r="A147" s="1" t="s">
        <v>12</v>
      </c>
      <c r="B147">
        <v>89.51</v>
      </c>
      <c r="C147" s="1" t="s">
        <v>9</v>
      </c>
      <c r="D147">
        <v>0</v>
      </c>
      <c r="E147" s="1" t="s">
        <v>10</v>
      </c>
      <c r="F147">
        <v>10</v>
      </c>
      <c r="G147" s="1" t="s">
        <v>15</v>
      </c>
      <c r="H147">
        <v>1</v>
      </c>
      <c r="I147" s="1" t="s">
        <v>11</v>
      </c>
    </row>
    <row r="148" spans="1:9" x14ac:dyDescent="0.45">
      <c r="A148" s="1" t="s">
        <v>12</v>
      </c>
      <c r="B148">
        <v>89.74</v>
      </c>
      <c r="C148" s="1" t="s">
        <v>9</v>
      </c>
      <c r="D148">
        <v>0</v>
      </c>
      <c r="E148" s="1" t="s">
        <v>10</v>
      </c>
      <c r="F148">
        <v>10</v>
      </c>
      <c r="G148" s="1" t="s">
        <v>15</v>
      </c>
      <c r="H148">
        <v>1</v>
      </c>
      <c r="I148" s="1" t="s">
        <v>11</v>
      </c>
    </row>
    <row r="149" spans="1:9" x14ac:dyDescent="0.45">
      <c r="A149" s="1" t="s">
        <v>12</v>
      </c>
      <c r="B149">
        <v>91.057000000000002</v>
      </c>
      <c r="C149" s="1" t="s">
        <v>9</v>
      </c>
      <c r="D149">
        <v>0</v>
      </c>
      <c r="E149" s="1" t="s">
        <v>10</v>
      </c>
      <c r="F149">
        <v>10</v>
      </c>
      <c r="G149" s="1" t="s">
        <v>15</v>
      </c>
      <c r="H149">
        <v>1</v>
      </c>
      <c r="I149" s="1" t="s">
        <v>11</v>
      </c>
    </row>
    <row r="150" spans="1:9" x14ac:dyDescent="0.45">
      <c r="A150" s="1" t="s">
        <v>12</v>
      </c>
      <c r="B150">
        <v>91.287000000000006</v>
      </c>
      <c r="C150" s="1" t="s">
        <v>9</v>
      </c>
      <c r="D150">
        <v>0</v>
      </c>
      <c r="E150" s="1" t="s">
        <v>10</v>
      </c>
      <c r="F150">
        <v>10</v>
      </c>
      <c r="G150" s="1" t="s">
        <v>15</v>
      </c>
      <c r="H150">
        <v>1</v>
      </c>
      <c r="I150" s="1" t="s">
        <v>11</v>
      </c>
    </row>
    <row r="151" spans="1:9" x14ac:dyDescent="0.45">
      <c r="A151" s="1" t="s">
        <v>12</v>
      </c>
      <c r="B151">
        <v>91.516999999999996</v>
      </c>
      <c r="C151" s="1" t="s">
        <v>9</v>
      </c>
      <c r="D151">
        <v>0</v>
      </c>
      <c r="E151" s="1" t="s">
        <v>10</v>
      </c>
      <c r="F151">
        <v>10</v>
      </c>
      <c r="G151" s="1" t="s">
        <v>15</v>
      </c>
      <c r="H151">
        <v>1</v>
      </c>
      <c r="I151" s="1" t="s">
        <v>11</v>
      </c>
    </row>
    <row r="152" spans="1:9" x14ac:dyDescent="0.45">
      <c r="A152" s="1" t="s">
        <v>12</v>
      </c>
      <c r="B152">
        <v>91.742999999999995</v>
      </c>
      <c r="C152" s="1" t="s">
        <v>9</v>
      </c>
      <c r="D152">
        <v>0</v>
      </c>
      <c r="E152" s="1" t="s">
        <v>10</v>
      </c>
      <c r="F152">
        <v>10</v>
      </c>
      <c r="G152" s="1" t="s">
        <v>15</v>
      </c>
      <c r="H152">
        <v>1</v>
      </c>
      <c r="I152" s="1" t="s">
        <v>11</v>
      </c>
    </row>
    <row r="153" spans="1:9" x14ac:dyDescent="0.45">
      <c r="A153" s="1" t="s">
        <v>12</v>
      </c>
      <c r="B153">
        <v>91.974000000000004</v>
      </c>
      <c r="C153" s="1" t="s">
        <v>9</v>
      </c>
      <c r="D153">
        <v>0</v>
      </c>
      <c r="E153" s="1" t="s">
        <v>10</v>
      </c>
      <c r="F153">
        <v>10</v>
      </c>
      <c r="G153" s="1" t="s">
        <v>15</v>
      </c>
      <c r="H153">
        <v>1</v>
      </c>
      <c r="I153" s="1" t="s">
        <v>11</v>
      </c>
    </row>
    <row r="154" spans="1:9" x14ac:dyDescent="0.45">
      <c r="A154" s="1" t="s">
        <v>12</v>
      </c>
      <c r="B154">
        <v>92.203999999999994</v>
      </c>
      <c r="C154" s="1" t="s">
        <v>9</v>
      </c>
      <c r="D154">
        <v>0</v>
      </c>
      <c r="E154" s="1" t="s">
        <v>10</v>
      </c>
      <c r="F154">
        <v>10</v>
      </c>
      <c r="G154" s="1" t="s">
        <v>15</v>
      </c>
      <c r="H154">
        <v>1</v>
      </c>
      <c r="I154" s="1" t="s">
        <v>11</v>
      </c>
    </row>
    <row r="155" spans="1:9" x14ac:dyDescent="0.45">
      <c r="A155" s="1" t="s">
        <v>12</v>
      </c>
      <c r="B155">
        <v>92.433999999999997</v>
      </c>
      <c r="C155" s="1" t="s">
        <v>9</v>
      </c>
      <c r="D155">
        <v>0</v>
      </c>
      <c r="E155" s="1" t="s">
        <v>10</v>
      </c>
      <c r="F155">
        <v>10</v>
      </c>
      <c r="G155" s="1" t="s">
        <v>15</v>
      </c>
      <c r="H155">
        <v>1</v>
      </c>
      <c r="I155" s="1" t="s">
        <v>11</v>
      </c>
    </row>
    <row r="156" spans="1:9" x14ac:dyDescent="0.45">
      <c r="A156" s="1" t="s">
        <v>12</v>
      </c>
      <c r="B156">
        <v>92.664000000000001</v>
      </c>
      <c r="C156" s="1" t="s">
        <v>9</v>
      </c>
      <c r="D156">
        <v>0</v>
      </c>
      <c r="E156" s="1" t="s">
        <v>10</v>
      </c>
      <c r="F156">
        <v>10</v>
      </c>
      <c r="G156" s="1" t="s">
        <v>15</v>
      </c>
      <c r="H156">
        <v>1</v>
      </c>
      <c r="I156" s="1" t="s">
        <v>11</v>
      </c>
    </row>
    <row r="157" spans="1:9" x14ac:dyDescent="0.45">
      <c r="A157" s="1" t="s">
        <v>12</v>
      </c>
      <c r="B157">
        <v>92.893000000000001</v>
      </c>
      <c r="C157" s="1" t="s">
        <v>9</v>
      </c>
      <c r="D157">
        <v>0</v>
      </c>
      <c r="E157" s="1" t="s">
        <v>10</v>
      </c>
      <c r="F157">
        <v>10</v>
      </c>
      <c r="G157" s="1" t="s">
        <v>15</v>
      </c>
      <c r="H157">
        <v>1</v>
      </c>
      <c r="I157" s="1" t="s">
        <v>11</v>
      </c>
    </row>
    <row r="158" spans="1:9" x14ac:dyDescent="0.45">
      <c r="A158" s="1" t="s">
        <v>12</v>
      </c>
      <c r="B158">
        <v>93.123000000000005</v>
      </c>
      <c r="C158" s="1" t="s">
        <v>9</v>
      </c>
      <c r="D158">
        <v>0</v>
      </c>
      <c r="E158" s="1" t="s">
        <v>10</v>
      </c>
      <c r="F158">
        <v>10</v>
      </c>
      <c r="G158" s="1" t="s">
        <v>15</v>
      </c>
      <c r="H158">
        <v>1</v>
      </c>
      <c r="I158" s="1" t="s">
        <v>11</v>
      </c>
    </row>
    <row r="159" spans="1:9" x14ac:dyDescent="0.45">
      <c r="A159" s="1" t="s">
        <v>12</v>
      </c>
      <c r="B159">
        <v>93.355999999999995</v>
      </c>
      <c r="C159" s="1" t="s">
        <v>9</v>
      </c>
      <c r="D159">
        <v>0</v>
      </c>
      <c r="E159" s="1" t="s">
        <v>10</v>
      </c>
      <c r="F159">
        <v>10</v>
      </c>
      <c r="G159" s="1" t="s">
        <v>15</v>
      </c>
      <c r="H159">
        <v>1</v>
      </c>
      <c r="I159" s="1" t="s">
        <v>11</v>
      </c>
    </row>
    <row r="160" spans="1:9" x14ac:dyDescent="0.45">
      <c r="A160" s="1" t="s">
        <v>12</v>
      </c>
      <c r="B160">
        <v>94.616</v>
      </c>
      <c r="C160" s="1" t="s">
        <v>9</v>
      </c>
      <c r="D160">
        <v>0</v>
      </c>
      <c r="E160" s="1" t="s">
        <v>10</v>
      </c>
      <c r="F160">
        <v>10</v>
      </c>
      <c r="G160" s="1" t="s">
        <v>15</v>
      </c>
      <c r="H160">
        <v>1</v>
      </c>
      <c r="I160" s="1" t="s">
        <v>11</v>
      </c>
    </row>
    <row r="161" spans="1:9" x14ac:dyDescent="0.45">
      <c r="A161" s="1" t="s">
        <v>12</v>
      </c>
      <c r="B161">
        <v>94.835999999999999</v>
      </c>
      <c r="C161" s="1" t="s">
        <v>9</v>
      </c>
      <c r="D161">
        <v>0</v>
      </c>
      <c r="E161" s="1" t="s">
        <v>10</v>
      </c>
      <c r="F161">
        <v>10</v>
      </c>
      <c r="G161" s="1" t="s">
        <v>15</v>
      </c>
      <c r="H161">
        <v>1</v>
      </c>
      <c r="I161" s="1" t="s">
        <v>11</v>
      </c>
    </row>
    <row r="162" spans="1:9" x14ac:dyDescent="0.45">
      <c r="A162" s="1" t="s">
        <v>12</v>
      </c>
      <c r="B162">
        <v>95.066000000000003</v>
      </c>
      <c r="C162" s="1" t="s">
        <v>9</v>
      </c>
      <c r="D162">
        <v>0</v>
      </c>
      <c r="E162" s="1" t="s">
        <v>10</v>
      </c>
      <c r="F162">
        <v>10</v>
      </c>
      <c r="G162" s="1" t="s">
        <v>15</v>
      </c>
      <c r="H162">
        <v>1</v>
      </c>
      <c r="I162" s="1" t="s">
        <v>11</v>
      </c>
    </row>
    <row r="163" spans="1:9" x14ac:dyDescent="0.45">
      <c r="A163" s="1" t="s">
        <v>12</v>
      </c>
      <c r="B163">
        <v>95.292000000000002</v>
      </c>
      <c r="C163" s="1" t="s">
        <v>9</v>
      </c>
      <c r="D163">
        <v>0</v>
      </c>
      <c r="E163" s="1" t="s">
        <v>10</v>
      </c>
      <c r="F163">
        <v>10</v>
      </c>
      <c r="G163" s="1" t="s">
        <v>15</v>
      </c>
      <c r="H163">
        <v>1</v>
      </c>
      <c r="I163" s="1" t="s">
        <v>11</v>
      </c>
    </row>
    <row r="164" spans="1:9" x14ac:dyDescent="0.45">
      <c r="A164" s="1" t="s">
        <v>12</v>
      </c>
      <c r="B164">
        <v>95.522999999999996</v>
      </c>
      <c r="C164" s="1" t="s">
        <v>9</v>
      </c>
      <c r="D164">
        <v>0</v>
      </c>
      <c r="E164" s="1" t="s">
        <v>10</v>
      </c>
      <c r="F164">
        <v>10</v>
      </c>
      <c r="G164" s="1" t="s">
        <v>15</v>
      </c>
      <c r="H164">
        <v>1</v>
      </c>
      <c r="I164" s="1" t="s">
        <v>11</v>
      </c>
    </row>
    <row r="165" spans="1:9" x14ac:dyDescent="0.45">
      <c r="A165" s="1" t="s">
        <v>12</v>
      </c>
      <c r="B165">
        <v>95.753</v>
      </c>
      <c r="C165" s="1" t="s">
        <v>9</v>
      </c>
      <c r="D165">
        <v>0</v>
      </c>
      <c r="E165" s="1" t="s">
        <v>10</v>
      </c>
      <c r="F165">
        <v>10</v>
      </c>
      <c r="G165" s="1" t="s">
        <v>15</v>
      </c>
      <c r="H165">
        <v>1</v>
      </c>
      <c r="I165" s="1" t="s">
        <v>11</v>
      </c>
    </row>
    <row r="166" spans="1:9" x14ac:dyDescent="0.45">
      <c r="A166" s="1" t="s">
        <v>12</v>
      </c>
      <c r="B166">
        <v>95.983000000000004</v>
      </c>
      <c r="C166" s="1" t="s">
        <v>9</v>
      </c>
      <c r="D166">
        <v>0</v>
      </c>
      <c r="E166" s="1" t="s">
        <v>10</v>
      </c>
      <c r="F166">
        <v>10</v>
      </c>
      <c r="G166" s="1" t="s">
        <v>15</v>
      </c>
      <c r="H166">
        <v>1</v>
      </c>
      <c r="I166" s="1" t="s">
        <v>11</v>
      </c>
    </row>
    <row r="167" spans="1:9" x14ac:dyDescent="0.45">
      <c r="A167" s="1" t="s">
        <v>12</v>
      </c>
      <c r="B167">
        <v>96.212999999999994</v>
      </c>
      <c r="C167" s="1" t="s">
        <v>9</v>
      </c>
      <c r="D167">
        <v>0</v>
      </c>
      <c r="E167" s="1" t="s">
        <v>10</v>
      </c>
      <c r="F167">
        <v>10</v>
      </c>
      <c r="G167" s="1" t="s">
        <v>15</v>
      </c>
      <c r="H167">
        <v>1</v>
      </c>
      <c r="I167" s="1" t="s">
        <v>11</v>
      </c>
    </row>
    <row r="168" spans="1:9" x14ac:dyDescent="0.45">
      <c r="A168" s="1" t="s">
        <v>12</v>
      </c>
      <c r="B168">
        <v>96.441999999999993</v>
      </c>
      <c r="C168" s="1" t="s">
        <v>9</v>
      </c>
      <c r="D168">
        <v>0</v>
      </c>
      <c r="E168" s="1" t="s">
        <v>10</v>
      </c>
      <c r="F168">
        <v>10</v>
      </c>
      <c r="G168" s="1" t="s">
        <v>15</v>
      </c>
      <c r="H168">
        <v>1</v>
      </c>
      <c r="I168" s="1" t="s">
        <v>11</v>
      </c>
    </row>
    <row r="169" spans="1:9" x14ac:dyDescent="0.45">
      <c r="A169" s="1" t="s">
        <v>12</v>
      </c>
      <c r="B169">
        <v>96.671999999999997</v>
      </c>
      <c r="C169" s="1" t="s">
        <v>9</v>
      </c>
      <c r="D169">
        <v>0</v>
      </c>
      <c r="E169" s="1" t="s">
        <v>10</v>
      </c>
      <c r="F169">
        <v>10</v>
      </c>
      <c r="G169" s="1" t="s">
        <v>15</v>
      </c>
      <c r="H169">
        <v>1</v>
      </c>
      <c r="I169" s="1" t="s">
        <v>11</v>
      </c>
    </row>
    <row r="170" spans="1:9" x14ac:dyDescent="0.45">
      <c r="A170" s="1" t="s">
        <v>12</v>
      </c>
      <c r="B170">
        <v>96.906000000000006</v>
      </c>
      <c r="C170" s="1" t="s">
        <v>9</v>
      </c>
      <c r="D170">
        <v>0</v>
      </c>
      <c r="E170" s="1" t="s">
        <v>10</v>
      </c>
      <c r="F170">
        <v>10</v>
      </c>
      <c r="G170" s="1" t="s">
        <v>15</v>
      </c>
      <c r="H170">
        <v>1</v>
      </c>
      <c r="I170" s="1" t="s">
        <v>11</v>
      </c>
    </row>
    <row r="171" spans="1:9" x14ac:dyDescent="0.45">
      <c r="A171" s="1" t="s">
        <v>12</v>
      </c>
      <c r="B171">
        <v>98.096000000000004</v>
      </c>
      <c r="C171" s="1" t="s">
        <v>9</v>
      </c>
      <c r="D171">
        <v>0</v>
      </c>
      <c r="E171" s="1" t="s">
        <v>10</v>
      </c>
      <c r="F171">
        <v>10</v>
      </c>
      <c r="G171" s="1" t="s">
        <v>15</v>
      </c>
      <c r="H171">
        <v>1</v>
      </c>
      <c r="I171" s="1" t="s">
        <v>11</v>
      </c>
    </row>
    <row r="172" spans="1:9" x14ac:dyDescent="0.45">
      <c r="A172" s="1" t="s">
        <v>12</v>
      </c>
      <c r="B172">
        <v>98.316000000000003</v>
      </c>
      <c r="C172" s="1" t="s">
        <v>9</v>
      </c>
      <c r="D172">
        <v>0</v>
      </c>
      <c r="E172" s="1" t="s">
        <v>10</v>
      </c>
      <c r="F172">
        <v>10</v>
      </c>
      <c r="G172" s="1" t="s">
        <v>15</v>
      </c>
      <c r="H172">
        <v>1</v>
      </c>
      <c r="I172" s="1" t="s">
        <v>11</v>
      </c>
    </row>
    <row r="173" spans="1:9" x14ac:dyDescent="0.45">
      <c r="A173" s="1" t="s">
        <v>12</v>
      </c>
      <c r="B173">
        <v>98.536000000000001</v>
      </c>
      <c r="C173" s="1" t="s">
        <v>9</v>
      </c>
      <c r="D173">
        <v>0</v>
      </c>
      <c r="E173" s="1" t="s">
        <v>10</v>
      </c>
      <c r="F173">
        <v>10</v>
      </c>
      <c r="G173" s="1" t="s">
        <v>15</v>
      </c>
      <c r="H173">
        <v>1</v>
      </c>
      <c r="I173" s="1" t="s">
        <v>11</v>
      </c>
    </row>
    <row r="174" spans="1:9" x14ac:dyDescent="0.45">
      <c r="A174" s="1" t="s">
        <v>12</v>
      </c>
      <c r="B174">
        <v>98.762</v>
      </c>
      <c r="C174" s="1" t="s">
        <v>9</v>
      </c>
      <c r="D174">
        <v>0</v>
      </c>
      <c r="E174" s="1" t="s">
        <v>10</v>
      </c>
      <c r="F174">
        <v>10</v>
      </c>
      <c r="G174" s="1" t="s">
        <v>15</v>
      </c>
      <c r="H174">
        <v>1</v>
      </c>
      <c r="I174" s="1" t="s">
        <v>11</v>
      </c>
    </row>
    <row r="175" spans="1:9" x14ac:dyDescent="0.45">
      <c r="A175" s="1" t="s">
        <v>12</v>
      </c>
      <c r="B175">
        <v>98.992999999999995</v>
      </c>
      <c r="C175" s="1" t="s">
        <v>9</v>
      </c>
      <c r="D175">
        <v>0</v>
      </c>
      <c r="E175" s="1" t="s">
        <v>10</v>
      </c>
      <c r="F175">
        <v>10</v>
      </c>
      <c r="G175" s="1" t="s">
        <v>15</v>
      </c>
      <c r="H175">
        <v>1</v>
      </c>
      <c r="I175" s="1" t="s">
        <v>11</v>
      </c>
    </row>
    <row r="176" spans="1:9" x14ac:dyDescent="0.45">
      <c r="A176" s="1" t="s">
        <v>12</v>
      </c>
      <c r="B176">
        <v>99.203000000000003</v>
      </c>
      <c r="C176" s="1" t="s">
        <v>9</v>
      </c>
      <c r="D176">
        <v>0</v>
      </c>
      <c r="E176" s="1" t="s">
        <v>10</v>
      </c>
      <c r="F176">
        <v>10</v>
      </c>
      <c r="G176" s="1" t="s">
        <v>15</v>
      </c>
      <c r="H176">
        <v>1</v>
      </c>
      <c r="I176" s="1" t="s">
        <v>11</v>
      </c>
    </row>
    <row r="177" spans="1:9" x14ac:dyDescent="0.45">
      <c r="A177" s="1" t="s">
        <v>12</v>
      </c>
      <c r="B177">
        <v>99.423000000000002</v>
      </c>
      <c r="C177" s="1" t="s">
        <v>9</v>
      </c>
      <c r="D177">
        <v>0</v>
      </c>
      <c r="E177" s="1" t="s">
        <v>10</v>
      </c>
      <c r="F177">
        <v>10</v>
      </c>
      <c r="G177" s="1" t="s">
        <v>15</v>
      </c>
      <c r="H177">
        <v>1</v>
      </c>
      <c r="I177" s="1" t="s">
        <v>11</v>
      </c>
    </row>
    <row r="178" spans="1:9" x14ac:dyDescent="0.45">
      <c r="A178" s="1" t="s">
        <v>12</v>
      </c>
      <c r="B178">
        <v>99.653000000000006</v>
      </c>
      <c r="C178" s="1" t="s">
        <v>9</v>
      </c>
      <c r="D178">
        <v>0</v>
      </c>
      <c r="E178" s="1" t="s">
        <v>10</v>
      </c>
      <c r="F178">
        <v>10</v>
      </c>
      <c r="G178" s="1" t="s">
        <v>15</v>
      </c>
      <c r="H178">
        <v>1</v>
      </c>
      <c r="I178" s="1" t="s">
        <v>11</v>
      </c>
    </row>
    <row r="179" spans="1:9" x14ac:dyDescent="0.45">
      <c r="A179" s="1" t="s">
        <v>12</v>
      </c>
      <c r="B179">
        <v>99.882000000000005</v>
      </c>
      <c r="C179" s="1" t="s">
        <v>9</v>
      </c>
      <c r="D179">
        <v>0</v>
      </c>
      <c r="E179" s="1" t="s">
        <v>10</v>
      </c>
      <c r="F179">
        <v>10</v>
      </c>
      <c r="G179" s="1" t="s">
        <v>15</v>
      </c>
      <c r="H179">
        <v>1</v>
      </c>
      <c r="I179" s="1" t="s">
        <v>11</v>
      </c>
    </row>
    <row r="180" spans="1:9" x14ac:dyDescent="0.45">
      <c r="A180" s="1" t="s">
        <v>12</v>
      </c>
      <c r="B180">
        <v>100.11199999999999</v>
      </c>
      <c r="C180" s="1" t="s">
        <v>9</v>
      </c>
      <c r="D180">
        <v>0</v>
      </c>
      <c r="E180" s="1" t="s">
        <v>10</v>
      </c>
      <c r="F180">
        <v>10</v>
      </c>
      <c r="G180" s="1" t="s">
        <v>15</v>
      </c>
      <c r="H180">
        <v>1</v>
      </c>
      <c r="I180" s="1" t="s">
        <v>11</v>
      </c>
    </row>
    <row r="181" spans="1:9" x14ac:dyDescent="0.45">
      <c r="A181" s="1" t="s">
        <v>12</v>
      </c>
      <c r="B181">
        <v>100.336</v>
      </c>
      <c r="C181" s="1" t="s">
        <v>9</v>
      </c>
      <c r="D181">
        <v>0</v>
      </c>
      <c r="E181" s="1" t="s">
        <v>10</v>
      </c>
      <c r="F181">
        <v>10</v>
      </c>
      <c r="G181" s="1" t="s">
        <v>15</v>
      </c>
      <c r="H181">
        <v>1</v>
      </c>
      <c r="I181" s="1" t="s">
        <v>11</v>
      </c>
    </row>
    <row r="182" spans="1:9" x14ac:dyDescent="0.45">
      <c r="A182" s="1" t="s">
        <v>12</v>
      </c>
      <c r="B182">
        <v>101.51600000000001</v>
      </c>
      <c r="C182" s="1" t="s">
        <v>9</v>
      </c>
      <c r="D182">
        <v>0</v>
      </c>
      <c r="E182" s="1" t="s">
        <v>10</v>
      </c>
      <c r="F182">
        <v>10</v>
      </c>
      <c r="G182" s="1" t="s">
        <v>15</v>
      </c>
      <c r="H182">
        <v>1</v>
      </c>
      <c r="I182" s="1" t="s">
        <v>11</v>
      </c>
    </row>
    <row r="183" spans="1:9" x14ac:dyDescent="0.45">
      <c r="A183" s="1" t="s">
        <v>12</v>
      </c>
      <c r="B183">
        <v>101.736</v>
      </c>
      <c r="C183" s="1" t="s">
        <v>9</v>
      </c>
      <c r="D183">
        <v>0</v>
      </c>
      <c r="E183" s="1" t="s">
        <v>10</v>
      </c>
      <c r="F183">
        <v>10</v>
      </c>
      <c r="G183" s="1" t="s">
        <v>15</v>
      </c>
      <c r="H183">
        <v>1</v>
      </c>
      <c r="I183" s="1" t="s">
        <v>11</v>
      </c>
    </row>
    <row r="184" spans="1:9" x14ac:dyDescent="0.45">
      <c r="A184" s="1" t="s">
        <v>12</v>
      </c>
      <c r="B184">
        <v>101.96599999999999</v>
      </c>
      <c r="C184" s="1" t="s">
        <v>9</v>
      </c>
      <c r="D184">
        <v>0</v>
      </c>
      <c r="E184" s="1" t="s">
        <v>10</v>
      </c>
      <c r="F184">
        <v>10</v>
      </c>
      <c r="G184" s="1" t="s">
        <v>15</v>
      </c>
      <c r="H184">
        <v>1</v>
      </c>
      <c r="I184" s="1" t="s">
        <v>11</v>
      </c>
    </row>
    <row r="185" spans="1:9" x14ac:dyDescent="0.45">
      <c r="A185" s="1" t="s">
        <v>12</v>
      </c>
      <c r="B185">
        <v>102.19199999999999</v>
      </c>
      <c r="C185" s="1" t="s">
        <v>9</v>
      </c>
      <c r="D185">
        <v>0</v>
      </c>
      <c r="E185" s="1" t="s">
        <v>10</v>
      </c>
      <c r="F185">
        <v>10</v>
      </c>
      <c r="G185" s="1" t="s">
        <v>15</v>
      </c>
      <c r="H185">
        <v>1</v>
      </c>
      <c r="I185" s="1" t="s">
        <v>11</v>
      </c>
    </row>
    <row r="186" spans="1:9" x14ac:dyDescent="0.45">
      <c r="A186" s="1" t="s">
        <v>12</v>
      </c>
      <c r="B186">
        <v>102.423</v>
      </c>
      <c r="C186" s="1" t="s">
        <v>9</v>
      </c>
      <c r="D186">
        <v>0</v>
      </c>
      <c r="E186" s="1" t="s">
        <v>10</v>
      </c>
      <c r="F186">
        <v>10</v>
      </c>
      <c r="G186" s="1" t="s">
        <v>15</v>
      </c>
      <c r="H186">
        <v>1</v>
      </c>
      <c r="I186" s="1" t="s">
        <v>11</v>
      </c>
    </row>
    <row r="187" spans="1:9" x14ac:dyDescent="0.45">
      <c r="A187" s="1" t="s">
        <v>12</v>
      </c>
      <c r="B187">
        <v>102.65300000000001</v>
      </c>
      <c r="C187" s="1" t="s">
        <v>9</v>
      </c>
      <c r="D187">
        <v>0</v>
      </c>
      <c r="E187" s="1" t="s">
        <v>10</v>
      </c>
      <c r="F187">
        <v>10</v>
      </c>
      <c r="G187" s="1" t="s">
        <v>15</v>
      </c>
      <c r="H187">
        <v>1</v>
      </c>
      <c r="I187" s="1" t="s">
        <v>11</v>
      </c>
    </row>
    <row r="188" spans="1:9" x14ac:dyDescent="0.45">
      <c r="A188" s="1" t="s">
        <v>12</v>
      </c>
      <c r="B188">
        <v>102.88500000000001</v>
      </c>
      <c r="C188" s="1" t="s">
        <v>9</v>
      </c>
      <c r="D188">
        <v>0</v>
      </c>
      <c r="E188" s="1" t="s">
        <v>10</v>
      </c>
      <c r="F188">
        <v>10</v>
      </c>
      <c r="G188" s="1" t="s">
        <v>15</v>
      </c>
      <c r="H188">
        <v>1</v>
      </c>
      <c r="I188" s="1" t="s">
        <v>11</v>
      </c>
    </row>
    <row r="189" spans="1:9" x14ac:dyDescent="0.45">
      <c r="A189" s="1" t="s">
        <v>12</v>
      </c>
      <c r="B189">
        <v>103.113</v>
      </c>
      <c r="C189" s="1" t="s">
        <v>9</v>
      </c>
      <c r="D189">
        <v>0</v>
      </c>
      <c r="E189" s="1" t="s">
        <v>10</v>
      </c>
      <c r="F189">
        <v>10</v>
      </c>
      <c r="G189" s="1" t="s">
        <v>15</v>
      </c>
      <c r="H189">
        <v>1</v>
      </c>
      <c r="I189" s="1" t="s">
        <v>11</v>
      </c>
    </row>
    <row r="190" spans="1:9" x14ac:dyDescent="0.45">
      <c r="A190" s="1" t="s">
        <v>12</v>
      </c>
      <c r="B190">
        <v>103.342</v>
      </c>
      <c r="C190" s="1" t="s">
        <v>9</v>
      </c>
      <c r="D190">
        <v>0</v>
      </c>
      <c r="E190" s="1" t="s">
        <v>10</v>
      </c>
      <c r="F190">
        <v>10</v>
      </c>
      <c r="G190" s="1" t="s">
        <v>15</v>
      </c>
      <c r="H190">
        <v>1</v>
      </c>
      <c r="I190" s="1" t="s">
        <v>11</v>
      </c>
    </row>
    <row r="191" spans="1:9" x14ac:dyDescent="0.45">
      <c r="A191" s="1" t="s">
        <v>12</v>
      </c>
      <c r="B191">
        <v>103.562</v>
      </c>
      <c r="C191" s="1" t="s">
        <v>9</v>
      </c>
      <c r="D191">
        <v>0</v>
      </c>
      <c r="E191" s="1" t="s">
        <v>10</v>
      </c>
      <c r="F191">
        <v>10</v>
      </c>
      <c r="G191" s="1" t="s">
        <v>15</v>
      </c>
      <c r="H191">
        <v>1</v>
      </c>
      <c r="I191" s="1" t="s">
        <v>11</v>
      </c>
    </row>
    <row r="192" spans="1:9" x14ac:dyDescent="0.45">
      <c r="A192" s="1" t="s">
        <v>12</v>
      </c>
      <c r="B192">
        <v>103.786</v>
      </c>
      <c r="C192" s="1" t="s">
        <v>9</v>
      </c>
      <c r="D192">
        <v>0</v>
      </c>
      <c r="E192" s="1" t="s">
        <v>10</v>
      </c>
      <c r="F192">
        <v>10</v>
      </c>
      <c r="G192" s="1" t="s">
        <v>15</v>
      </c>
      <c r="H192">
        <v>1</v>
      </c>
      <c r="I192" s="1" t="s">
        <v>11</v>
      </c>
    </row>
    <row r="193" spans="1:9" x14ac:dyDescent="0.45">
      <c r="A193" s="1" t="s">
        <v>12</v>
      </c>
      <c r="B193">
        <v>105.009</v>
      </c>
      <c r="C193" s="1" t="s">
        <v>9</v>
      </c>
      <c r="D193">
        <v>0</v>
      </c>
      <c r="E193" s="1" t="s">
        <v>10</v>
      </c>
      <c r="F193">
        <v>10</v>
      </c>
      <c r="G193" s="1" t="s">
        <v>15</v>
      </c>
      <c r="H193">
        <v>1</v>
      </c>
      <c r="I193" s="1" t="s">
        <v>11</v>
      </c>
    </row>
    <row r="194" spans="1:9" x14ac:dyDescent="0.45">
      <c r="A194" s="1" t="s">
        <v>12</v>
      </c>
      <c r="B194">
        <v>105.229</v>
      </c>
      <c r="C194" s="1" t="s">
        <v>9</v>
      </c>
      <c r="D194">
        <v>0</v>
      </c>
      <c r="E194" s="1" t="s">
        <v>10</v>
      </c>
      <c r="F194">
        <v>10</v>
      </c>
      <c r="G194" s="1" t="s">
        <v>15</v>
      </c>
      <c r="H194">
        <v>1</v>
      </c>
      <c r="I194" s="1" t="s">
        <v>11</v>
      </c>
    </row>
    <row r="195" spans="1:9" x14ac:dyDescent="0.45">
      <c r="A195" s="1" t="s">
        <v>12</v>
      </c>
      <c r="B195">
        <v>105.459</v>
      </c>
      <c r="C195" s="1" t="s">
        <v>9</v>
      </c>
      <c r="D195">
        <v>0</v>
      </c>
      <c r="E195" s="1" t="s">
        <v>10</v>
      </c>
      <c r="F195">
        <v>10</v>
      </c>
      <c r="G195" s="1" t="s">
        <v>15</v>
      </c>
      <c r="H195">
        <v>1</v>
      </c>
      <c r="I195" s="1" t="s">
        <v>11</v>
      </c>
    </row>
    <row r="196" spans="1:9" x14ac:dyDescent="0.45">
      <c r="A196" s="1" t="s">
        <v>12</v>
      </c>
      <c r="B196">
        <v>105.685</v>
      </c>
      <c r="C196" s="1" t="s">
        <v>9</v>
      </c>
      <c r="D196">
        <v>0</v>
      </c>
      <c r="E196" s="1" t="s">
        <v>10</v>
      </c>
      <c r="F196">
        <v>10</v>
      </c>
      <c r="G196" s="1" t="s">
        <v>15</v>
      </c>
      <c r="H196">
        <v>1</v>
      </c>
      <c r="I196" s="1" t="s">
        <v>11</v>
      </c>
    </row>
    <row r="197" spans="1:9" x14ac:dyDescent="0.45">
      <c r="A197" s="1" t="s">
        <v>12</v>
      </c>
      <c r="B197">
        <v>105.916</v>
      </c>
      <c r="C197" s="1" t="s">
        <v>9</v>
      </c>
      <c r="D197">
        <v>0</v>
      </c>
      <c r="E197" s="1" t="s">
        <v>10</v>
      </c>
      <c r="F197">
        <v>10</v>
      </c>
      <c r="G197" s="1" t="s">
        <v>15</v>
      </c>
      <c r="H197">
        <v>1</v>
      </c>
      <c r="I197" s="1" t="s">
        <v>11</v>
      </c>
    </row>
    <row r="198" spans="1:9" x14ac:dyDescent="0.45">
      <c r="A198" s="1" t="s">
        <v>12</v>
      </c>
      <c r="B198">
        <v>106.146</v>
      </c>
      <c r="C198" s="1" t="s">
        <v>9</v>
      </c>
      <c r="D198">
        <v>0</v>
      </c>
      <c r="E198" s="1" t="s">
        <v>10</v>
      </c>
      <c r="F198">
        <v>10</v>
      </c>
      <c r="G198" s="1" t="s">
        <v>15</v>
      </c>
      <c r="H198">
        <v>1</v>
      </c>
      <c r="I198" s="1" t="s">
        <v>11</v>
      </c>
    </row>
    <row r="199" spans="1:9" x14ac:dyDescent="0.45">
      <c r="A199" s="1" t="s">
        <v>12</v>
      </c>
      <c r="B199">
        <v>106.38</v>
      </c>
      <c r="C199" s="1" t="s">
        <v>9</v>
      </c>
      <c r="D199">
        <v>0</v>
      </c>
      <c r="E199" s="1" t="s">
        <v>10</v>
      </c>
      <c r="F199">
        <v>10</v>
      </c>
      <c r="G199" s="1" t="s">
        <v>15</v>
      </c>
      <c r="H199">
        <v>1</v>
      </c>
      <c r="I199" s="1" t="s">
        <v>11</v>
      </c>
    </row>
    <row r="200" spans="1:9" x14ac:dyDescent="0.45">
      <c r="A200" s="1" t="s">
        <v>12</v>
      </c>
      <c r="B200">
        <v>106.60599999999999</v>
      </c>
      <c r="C200" s="1" t="s">
        <v>9</v>
      </c>
      <c r="D200">
        <v>0</v>
      </c>
      <c r="E200" s="1" t="s">
        <v>10</v>
      </c>
      <c r="F200">
        <v>10</v>
      </c>
      <c r="G200" s="1" t="s">
        <v>15</v>
      </c>
      <c r="H200">
        <v>1</v>
      </c>
      <c r="I200" s="1" t="s">
        <v>11</v>
      </c>
    </row>
    <row r="201" spans="1:9" x14ac:dyDescent="0.45">
      <c r="A201" s="1" t="s">
        <v>12</v>
      </c>
      <c r="B201">
        <v>106.83499999999999</v>
      </c>
      <c r="C201" s="1" t="s">
        <v>9</v>
      </c>
      <c r="D201">
        <v>0</v>
      </c>
      <c r="E201" s="1" t="s">
        <v>10</v>
      </c>
      <c r="F201">
        <v>10</v>
      </c>
      <c r="G201" s="1" t="s">
        <v>15</v>
      </c>
      <c r="H201">
        <v>1</v>
      </c>
      <c r="I201" s="1" t="s">
        <v>11</v>
      </c>
    </row>
    <row r="202" spans="1:9" x14ac:dyDescent="0.45">
      <c r="A202" s="1" t="s">
        <v>12</v>
      </c>
      <c r="B202">
        <v>107.05500000000001</v>
      </c>
      <c r="C202" s="1" t="s">
        <v>9</v>
      </c>
      <c r="D202">
        <v>0</v>
      </c>
      <c r="E202" s="1" t="s">
        <v>10</v>
      </c>
      <c r="F202">
        <v>10</v>
      </c>
      <c r="G202" s="1" t="s">
        <v>15</v>
      </c>
      <c r="H202">
        <v>1</v>
      </c>
      <c r="I202" s="1" t="s">
        <v>11</v>
      </c>
    </row>
    <row r="203" spans="1:9" x14ac:dyDescent="0.45">
      <c r="A203" s="1" t="s">
        <v>12</v>
      </c>
      <c r="B203">
        <v>107.279</v>
      </c>
      <c r="C203" s="1" t="s">
        <v>9</v>
      </c>
      <c r="D203">
        <v>0</v>
      </c>
      <c r="E203" s="1" t="s">
        <v>10</v>
      </c>
      <c r="F203">
        <v>10</v>
      </c>
      <c r="G203" s="1" t="s">
        <v>15</v>
      </c>
      <c r="H203">
        <v>1</v>
      </c>
      <c r="I203" s="1" t="s">
        <v>11</v>
      </c>
    </row>
    <row r="204" spans="1:9" x14ac:dyDescent="0.45">
      <c r="A204" s="1" t="s">
        <v>12</v>
      </c>
      <c r="B204">
        <v>108.461</v>
      </c>
      <c r="C204" s="1" t="s">
        <v>9</v>
      </c>
      <c r="D204">
        <v>0</v>
      </c>
      <c r="E204" s="1" t="s">
        <v>10</v>
      </c>
      <c r="F204">
        <v>10</v>
      </c>
      <c r="G204" s="1" t="s">
        <v>15</v>
      </c>
      <c r="H204">
        <v>1</v>
      </c>
      <c r="I204" s="1" t="s">
        <v>11</v>
      </c>
    </row>
    <row r="205" spans="1:9" x14ac:dyDescent="0.45">
      <c r="A205" s="1" t="s">
        <v>12</v>
      </c>
      <c r="B205">
        <v>108.681</v>
      </c>
      <c r="C205" s="1" t="s">
        <v>9</v>
      </c>
      <c r="D205">
        <v>0</v>
      </c>
      <c r="E205" s="1" t="s">
        <v>10</v>
      </c>
      <c r="F205">
        <v>10</v>
      </c>
      <c r="G205" s="1" t="s">
        <v>15</v>
      </c>
      <c r="H205">
        <v>1</v>
      </c>
      <c r="I205" s="1" t="s">
        <v>11</v>
      </c>
    </row>
    <row r="206" spans="1:9" x14ac:dyDescent="0.45">
      <c r="A206" s="1" t="s">
        <v>12</v>
      </c>
      <c r="B206">
        <v>108.911</v>
      </c>
      <c r="C206" s="1" t="s">
        <v>9</v>
      </c>
      <c r="D206">
        <v>0</v>
      </c>
      <c r="E206" s="1" t="s">
        <v>10</v>
      </c>
      <c r="F206">
        <v>10</v>
      </c>
      <c r="G206" s="1" t="s">
        <v>15</v>
      </c>
      <c r="H206">
        <v>1</v>
      </c>
      <c r="I206" s="1" t="s">
        <v>11</v>
      </c>
    </row>
    <row r="207" spans="1:9" x14ac:dyDescent="0.45">
      <c r="A207" s="1" t="s">
        <v>12</v>
      </c>
      <c r="B207">
        <v>109.137</v>
      </c>
      <c r="C207" s="1" t="s">
        <v>9</v>
      </c>
      <c r="D207">
        <v>0</v>
      </c>
      <c r="E207" s="1" t="s">
        <v>10</v>
      </c>
      <c r="F207">
        <v>10</v>
      </c>
      <c r="G207" s="1" t="s">
        <v>15</v>
      </c>
      <c r="H207">
        <v>1</v>
      </c>
      <c r="I207" s="1" t="s">
        <v>11</v>
      </c>
    </row>
    <row r="208" spans="1:9" x14ac:dyDescent="0.45">
      <c r="A208" s="1" t="s">
        <v>12</v>
      </c>
      <c r="B208">
        <v>109.36799999999999</v>
      </c>
      <c r="C208" s="1" t="s">
        <v>9</v>
      </c>
      <c r="D208">
        <v>0</v>
      </c>
      <c r="E208" s="1" t="s">
        <v>10</v>
      </c>
      <c r="F208">
        <v>10</v>
      </c>
      <c r="G208" s="1" t="s">
        <v>15</v>
      </c>
      <c r="H208">
        <v>1</v>
      </c>
      <c r="I208" s="1" t="s">
        <v>11</v>
      </c>
    </row>
    <row r="209" spans="1:9" x14ac:dyDescent="0.45">
      <c r="A209" s="1" t="s">
        <v>12</v>
      </c>
      <c r="B209">
        <v>109.598</v>
      </c>
      <c r="C209" s="1" t="s">
        <v>9</v>
      </c>
      <c r="D209">
        <v>0</v>
      </c>
      <c r="E209" s="1" t="s">
        <v>10</v>
      </c>
      <c r="F209">
        <v>10</v>
      </c>
      <c r="G209" s="1" t="s">
        <v>15</v>
      </c>
      <c r="H209">
        <v>1</v>
      </c>
      <c r="I209" s="1" t="s">
        <v>11</v>
      </c>
    </row>
    <row r="210" spans="1:9" x14ac:dyDescent="0.45">
      <c r="A210" s="1" t="s">
        <v>12</v>
      </c>
      <c r="B210">
        <v>109.83</v>
      </c>
      <c r="C210" s="1" t="s">
        <v>9</v>
      </c>
      <c r="D210">
        <v>0</v>
      </c>
      <c r="E210" s="1" t="s">
        <v>10</v>
      </c>
      <c r="F210">
        <v>10</v>
      </c>
      <c r="G210" s="1" t="s">
        <v>15</v>
      </c>
      <c r="H210">
        <v>1</v>
      </c>
      <c r="I210" s="1" t="s">
        <v>11</v>
      </c>
    </row>
    <row r="211" spans="1:9" x14ac:dyDescent="0.45">
      <c r="A211" s="1" t="s">
        <v>12</v>
      </c>
      <c r="B211">
        <v>110.05800000000001</v>
      </c>
      <c r="C211" s="1" t="s">
        <v>9</v>
      </c>
      <c r="D211">
        <v>0</v>
      </c>
      <c r="E211" s="1" t="s">
        <v>10</v>
      </c>
      <c r="F211">
        <v>10</v>
      </c>
      <c r="G211" s="1" t="s">
        <v>15</v>
      </c>
      <c r="H211">
        <v>1</v>
      </c>
      <c r="I211" s="1" t="s">
        <v>11</v>
      </c>
    </row>
    <row r="212" spans="1:9" x14ac:dyDescent="0.45">
      <c r="A212" s="1" t="s">
        <v>12</v>
      </c>
      <c r="B212">
        <v>110.28700000000001</v>
      </c>
      <c r="C212" s="1" t="s">
        <v>9</v>
      </c>
      <c r="D212">
        <v>0</v>
      </c>
      <c r="E212" s="1" t="s">
        <v>10</v>
      </c>
      <c r="F212">
        <v>10</v>
      </c>
      <c r="G212" s="1" t="s">
        <v>15</v>
      </c>
      <c r="H212">
        <v>1</v>
      </c>
      <c r="I212" s="1" t="s">
        <v>11</v>
      </c>
    </row>
    <row r="213" spans="1:9" x14ac:dyDescent="0.45">
      <c r="A213" s="1" t="s">
        <v>12</v>
      </c>
      <c r="B213">
        <v>110.50700000000001</v>
      </c>
      <c r="C213" s="1" t="s">
        <v>9</v>
      </c>
      <c r="D213">
        <v>0</v>
      </c>
      <c r="E213" s="1" t="s">
        <v>10</v>
      </c>
      <c r="F213">
        <v>10</v>
      </c>
      <c r="G213" s="1" t="s">
        <v>15</v>
      </c>
      <c r="H213">
        <v>1</v>
      </c>
      <c r="I213" s="1" t="s">
        <v>11</v>
      </c>
    </row>
    <row r="214" spans="1:9" x14ac:dyDescent="0.45">
      <c r="A214" s="1" t="s">
        <v>12</v>
      </c>
      <c r="B214">
        <v>110.73</v>
      </c>
      <c r="C214" s="1" t="s">
        <v>9</v>
      </c>
      <c r="D214">
        <v>0</v>
      </c>
      <c r="E214" s="1" t="s">
        <v>10</v>
      </c>
      <c r="F214">
        <v>10</v>
      </c>
      <c r="G214" s="1" t="s">
        <v>15</v>
      </c>
      <c r="H214">
        <v>1</v>
      </c>
      <c r="I214" s="1" t="s">
        <v>11</v>
      </c>
    </row>
    <row r="215" spans="1:9" x14ac:dyDescent="0.45">
      <c r="A215" s="1" t="s">
        <v>12</v>
      </c>
      <c r="B215">
        <v>111.916</v>
      </c>
      <c r="C215" s="1" t="s">
        <v>9</v>
      </c>
      <c r="D215">
        <v>0</v>
      </c>
      <c r="E215" s="1" t="s">
        <v>10</v>
      </c>
      <c r="F215">
        <v>10</v>
      </c>
      <c r="G215" s="1" t="s">
        <v>15</v>
      </c>
      <c r="H215">
        <v>1</v>
      </c>
      <c r="I215" s="1" t="s">
        <v>11</v>
      </c>
    </row>
    <row r="216" spans="1:9" x14ac:dyDescent="0.45">
      <c r="A216" s="1" t="s">
        <v>12</v>
      </c>
      <c r="B216">
        <v>112.136</v>
      </c>
      <c r="C216" s="1" t="s">
        <v>9</v>
      </c>
      <c r="D216">
        <v>0</v>
      </c>
      <c r="E216" s="1" t="s">
        <v>10</v>
      </c>
      <c r="F216">
        <v>10</v>
      </c>
      <c r="G216" s="1" t="s">
        <v>15</v>
      </c>
      <c r="H216">
        <v>1</v>
      </c>
      <c r="I216" s="1" t="s">
        <v>11</v>
      </c>
    </row>
    <row r="217" spans="1:9" x14ac:dyDescent="0.45">
      <c r="A217" s="1" t="s">
        <v>12</v>
      </c>
      <c r="B217">
        <v>112.366</v>
      </c>
      <c r="C217" s="1" t="s">
        <v>9</v>
      </c>
      <c r="D217">
        <v>0</v>
      </c>
      <c r="E217" s="1" t="s">
        <v>10</v>
      </c>
      <c r="F217">
        <v>10</v>
      </c>
      <c r="G217" s="1" t="s">
        <v>15</v>
      </c>
      <c r="H217">
        <v>1</v>
      </c>
      <c r="I217" s="1" t="s">
        <v>11</v>
      </c>
    </row>
    <row r="218" spans="1:9" x14ac:dyDescent="0.45">
      <c r="A218" s="1" t="s">
        <v>12</v>
      </c>
      <c r="B218">
        <v>112.592</v>
      </c>
      <c r="C218" s="1" t="s">
        <v>9</v>
      </c>
      <c r="D218">
        <v>0</v>
      </c>
      <c r="E218" s="1" t="s">
        <v>10</v>
      </c>
      <c r="F218">
        <v>10</v>
      </c>
      <c r="G218" s="1" t="s">
        <v>15</v>
      </c>
      <c r="H218">
        <v>1</v>
      </c>
      <c r="I218" s="1" t="s">
        <v>11</v>
      </c>
    </row>
    <row r="219" spans="1:9" x14ac:dyDescent="0.45">
      <c r="A219" s="1" t="s">
        <v>12</v>
      </c>
      <c r="B219">
        <v>112.82299999999999</v>
      </c>
      <c r="C219" s="1" t="s">
        <v>9</v>
      </c>
      <c r="D219">
        <v>0</v>
      </c>
      <c r="E219" s="1" t="s">
        <v>10</v>
      </c>
      <c r="F219">
        <v>10</v>
      </c>
      <c r="G219" s="1" t="s">
        <v>15</v>
      </c>
      <c r="H219">
        <v>1</v>
      </c>
      <c r="I219" s="1" t="s">
        <v>11</v>
      </c>
    </row>
    <row r="220" spans="1:9" x14ac:dyDescent="0.45">
      <c r="A220" s="1" t="s">
        <v>12</v>
      </c>
      <c r="B220">
        <v>113.053</v>
      </c>
      <c r="C220" s="1" t="s">
        <v>9</v>
      </c>
      <c r="D220">
        <v>0</v>
      </c>
      <c r="E220" s="1" t="s">
        <v>10</v>
      </c>
      <c r="F220">
        <v>10</v>
      </c>
      <c r="G220" s="1" t="s">
        <v>15</v>
      </c>
      <c r="H220">
        <v>1</v>
      </c>
      <c r="I220" s="1" t="s">
        <v>11</v>
      </c>
    </row>
    <row r="221" spans="1:9" x14ac:dyDescent="0.45">
      <c r="A221" s="1" t="s">
        <v>12</v>
      </c>
      <c r="B221">
        <v>113.285</v>
      </c>
      <c r="C221" s="1" t="s">
        <v>9</v>
      </c>
      <c r="D221">
        <v>0</v>
      </c>
      <c r="E221" s="1" t="s">
        <v>10</v>
      </c>
      <c r="F221">
        <v>10</v>
      </c>
      <c r="G221" s="1" t="s">
        <v>15</v>
      </c>
      <c r="H221">
        <v>1</v>
      </c>
      <c r="I221" s="1" t="s">
        <v>11</v>
      </c>
    </row>
    <row r="222" spans="1:9" x14ac:dyDescent="0.45">
      <c r="A222" s="1" t="s">
        <v>12</v>
      </c>
      <c r="B222">
        <v>113.51300000000001</v>
      </c>
      <c r="C222" s="1" t="s">
        <v>9</v>
      </c>
      <c r="D222">
        <v>0</v>
      </c>
      <c r="E222" s="1" t="s">
        <v>10</v>
      </c>
      <c r="F222">
        <v>10</v>
      </c>
      <c r="G222" s="1" t="s">
        <v>15</v>
      </c>
      <c r="H222">
        <v>1</v>
      </c>
      <c r="I222" s="1" t="s">
        <v>11</v>
      </c>
    </row>
    <row r="223" spans="1:9" x14ac:dyDescent="0.45">
      <c r="A223" s="1" t="s">
        <v>12</v>
      </c>
      <c r="B223">
        <v>113.742</v>
      </c>
      <c r="C223" s="1" t="s">
        <v>9</v>
      </c>
      <c r="D223">
        <v>0</v>
      </c>
      <c r="E223" s="1" t="s">
        <v>10</v>
      </c>
      <c r="F223">
        <v>10</v>
      </c>
      <c r="G223" s="1" t="s">
        <v>15</v>
      </c>
      <c r="H223">
        <v>1</v>
      </c>
      <c r="I223" s="1" t="s">
        <v>11</v>
      </c>
    </row>
    <row r="224" spans="1:9" x14ac:dyDescent="0.45">
      <c r="A224" s="1" t="s">
        <v>12</v>
      </c>
      <c r="B224">
        <v>113.962</v>
      </c>
      <c r="C224" s="1" t="s">
        <v>9</v>
      </c>
      <c r="D224">
        <v>0</v>
      </c>
      <c r="E224" s="1" t="s">
        <v>10</v>
      </c>
      <c r="F224">
        <v>10</v>
      </c>
      <c r="G224" s="1" t="s">
        <v>15</v>
      </c>
      <c r="H224">
        <v>1</v>
      </c>
      <c r="I224" s="1" t="s">
        <v>11</v>
      </c>
    </row>
    <row r="225" spans="1:9" x14ac:dyDescent="0.45">
      <c r="A225" s="1" t="s">
        <v>12</v>
      </c>
      <c r="B225">
        <v>114.18600000000001</v>
      </c>
      <c r="C225" s="1" t="s">
        <v>9</v>
      </c>
      <c r="D225">
        <v>0</v>
      </c>
      <c r="E225" s="1" t="s">
        <v>10</v>
      </c>
      <c r="F225">
        <v>10</v>
      </c>
      <c r="G225" s="1" t="s">
        <v>15</v>
      </c>
      <c r="H225">
        <v>1</v>
      </c>
      <c r="I225" s="1" t="s">
        <v>11</v>
      </c>
    </row>
    <row r="226" spans="1:9" x14ac:dyDescent="0.45">
      <c r="A226" s="1" t="s">
        <v>12</v>
      </c>
      <c r="B226">
        <v>115.383</v>
      </c>
      <c r="C226" s="1" t="s">
        <v>9</v>
      </c>
      <c r="D226">
        <v>0</v>
      </c>
      <c r="E226" s="1" t="s">
        <v>10</v>
      </c>
      <c r="F226">
        <v>10</v>
      </c>
      <c r="G226" s="1" t="s">
        <v>15</v>
      </c>
      <c r="H226">
        <v>1</v>
      </c>
      <c r="I226" s="1" t="s">
        <v>11</v>
      </c>
    </row>
    <row r="227" spans="1:9" x14ac:dyDescent="0.45">
      <c r="A227" s="1" t="s">
        <v>12</v>
      </c>
      <c r="B227">
        <v>115.60299999999999</v>
      </c>
      <c r="C227" s="1" t="s">
        <v>9</v>
      </c>
      <c r="D227">
        <v>0</v>
      </c>
      <c r="E227" s="1" t="s">
        <v>10</v>
      </c>
      <c r="F227">
        <v>10</v>
      </c>
      <c r="G227" s="1" t="s">
        <v>15</v>
      </c>
      <c r="H227">
        <v>1</v>
      </c>
      <c r="I227" s="1" t="s">
        <v>11</v>
      </c>
    </row>
    <row r="228" spans="1:9" x14ac:dyDescent="0.45">
      <c r="A228" s="1" t="s">
        <v>12</v>
      </c>
      <c r="B228">
        <v>115.83499999999999</v>
      </c>
      <c r="C228" s="1" t="s">
        <v>9</v>
      </c>
      <c r="D228">
        <v>0</v>
      </c>
      <c r="E228" s="1" t="s">
        <v>10</v>
      </c>
      <c r="F228">
        <v>10</v>
      </c>
      <c r="G228" s="1" t="s">
        <v>15</v>
      </c>
      <c r="H228">
        <v>1</v>
      </c>
      <c r="I228" s="1" t="s">
        <v>11</v>
      </c>
    </row>
    <row r="229" spans="1:9" x14ac:dyDescent="0.45">
      <c r="A229" s="1" t="s">
        <v>12</v>
      </c>
      <c r="B229">
        <v>117.11799999999999</v>
      </c>
      <c r="C229" s="1" t="s">
        <v>9</v>
      </c>
      <c r="D229">
        <v>0</v>
      </c>
      <c r="E229" s="1" t="s">
        <v>10</v>
      </c>
      <c r="F229">
        <v>10</v>
      </c>
      <c r="G229" s="1" t="s">
        <v>15</v>
      </c>
      <c r="H229">
        <v>1</v>
      </c>
      <c r="I229" s="1" t="s">
        <v>11</v>
      </c>
    </row>
    <row r="230" spans="1:9" x14ac:dyDescent="0.45">
      <c r="A230" s="1" t="s">
        <v>12</v>
      </c>
      <c r="B230">
        <v>117.33799999999999</v>
      </c>
      <c r="C230" s="1" t="s">
        <v>9</v>
      </c>
      <c r="D230">
        <v>0</v>
      </c>
      <c r="E230" s="1" t="s">
        <v>10</v>
      </c>
      <c r="F230">
        <v>10</v>
      </c>
      <c r="G230" s="1" t="s">
        <v>15</v>
      </c>
      <c r="H230">
        <v>1</v>
      </c>
      <c r="I230" s="1" t="s">
        <v>11</v>
      </c>
    </row>
    <row r="231" spans="1:9" x14ac:dyDescent="0.45">
      <c r="A231" s="1" t="s">
        <v>12</v>
      </c>
      <c r="B231">
        <v>117.57</v>
      </c>
      <c r="C231" s="1" t="s">
        <v>9</v>
      </c>
      <c r="D231">
        <v>0</v>
      </c>
      <c r="E231" s="1" t="s">
        <v>10</v>
      </c>
      <c r="F231">
        <v>10</v>
      </c>
      <c r="G231" s="1" t="s">
        <v>15</v>
      </c>
      <c r="H231">
        <v>1</v>
      </c>
      <c r="I231" s="1" t="s">
        <v>11</v>
      </c>
    </row>
    <row r="232" spans="1:9" x14ac:dyDescent="0.45">
      <c r="A232" s="1" t="s">
        <v>12</v>
      </c>
      <c r="B232">
        <v>118.845</v>
      </c>
      <c r="C232" s="1" t="s">
        <v>9</v>
      </c>
      <c r="D232">
        <v>0</v>
      </c>
      <c r="E232" s="1" t="s">
        <v>10</v>
      </c>
      <c r="F232">
        <v>10</v>
      </c>
      <c r="G232" s="1" t="s">
        <v>15</v>
      </c>
      <c r="H232">
        <v>1</v>
      </c>
      <c r="I232" s="1" t="s">
        <v>11</v>
      </c>
    </row>
    <row r="233" spans="1:9" x14ac:dyDescent="0.45">
      <c r="A233" s="1" t="s">
        <v>12</v>
      </c>
      <c r="B233">
        <v>119.065</v>
      </c>
      <c r="C233" s="1" t="s">
        <v>9</v>
      </c>
      <c r="D233">
        <v>0</v>
      </c>
      <c r="E233" s="1" t="s">
        <v>10</v>
      </c>
      <c r="F233">
        <v>10</v>
      </c>
      <c r="G233" s="1" t="s">
        <v>15</v>
      </c>
      <c r="H233">
        <v>1</v>
      </c>
      <c r="I233" s="1" t="s">
        <v>11</v>
      </c>
    </row>
    <row r="234" spans="1:9" x14ac:dyDescent="0.45">
      <c r="A234" s="1" t="s">
        <v>12</v>
      </c>
      <c r="B234">
        <v>119.297</v>
      </c>
      <c r="C234" s="1" t="s">
        <v>9</v>
      </c>
      <c r="D234">
        <v>0</v>
      </c>
      <c r="E234" s="1" t="s">
        <v>10</v>
      </c>
      <c r="F234">
        <v>10</v>
      </c>
      <c r="G234" s="1" t="s">
        <v>15</v>
      </c>
      <c r="H234">
        <v>1</v>
      </c>
      <c r="I234" s="1" t="s">
        <v>11</v>
      </c>
    </row>
    <row r="235" spans="1:9" x14ac:dyDescent="0.45">
      <c r="A235" s="1" t="s">
        <v>12</v>
      </c>
      <c r="B235">
        <v>120.59699999999999</v>
      </c>
      <c r="C235" s="1" t="s">
        <v>9</v>
      </c>
      <c r="D235">
        <v>0</v>
      </c>
      <c r="E235" s="1" t="s">
        <v>10</v>
      </c>
      <c r="F235">
        <v>10</v>
      </c>
      <c r="G235" s="1" t="s">
        <v>15</v>
      </c>
      <c r="H235">
        <v>1</v>
      </c>
      <c r="I235" s="1" t="s">
        <v>11</v>
      </c>
    </row>
    <row r="236" spans="1:9" x14ac:dyDescent="0.45">
      <c r="A236" s="1" t="s">
        <v>12</v>
      </c>
      <c r="B236">
        <v>120.81699999999999</v>
      </c>
      <c r="C236" s="1" t="s">
        <v>9</v>
      </c>
      <c r="D236">
        <v>0</v>
      </c>
      <c r="E236" s="1" t="s">
        <v>10</v>
      </c>
      <c r="F236">
        <v>10</v>
      </c>
      <c r="G236" s="1" t="s">
        <v>15</v>
      </c>
      <c r="H236">
        <v>1</v>
      </c>
      <c r="I236" s="1" t="s">
        <v>11</v>
      </c>
    </row>
    <row r="237" spans="1:9" x14ac:dyDescent="0.45">
      <c r="A237" s="1" t="s">
        <v>12</v>
      </c>
      <c r="B237">
        <v>121.04900000000001</v>
      </c>
      <c r="C237" s="1" t="s">
        <v>9</v>
      </c>
      <c r="D237">
        <v>0</v>
      </c>
      <c r="E237" s="1" t="s">
        <v>10</v>
      </c>
      <c r="F237">
        <v>10</v>
      </c>
      <c r="G237" s="1" t="s">
        <v>15</v>
      </c>
      <c r="H237">
        <v>1</v>
      </c>
      <c r="I237" s="1" t="s">
        <v>11</v>
      </c>
    </row>
    <row r="238" spans="1:9" x14ac:dyDescent="0.45">
      <c r="A238" s="1" t="s">
        <v>12</v>
      </c>
      <c r="B238">
        <v>122.30500000000001</v>
      </c>
      <c r="C238" s="1" t="s">
        <v>9</v>
      </c>
      <c r="D238">
        <v>0</v>
      </c>
      <c r="E238" s="1" t="s">
        <v>10</v>
      </c>
      <c r="F238">
        <v>10</v>
      </c>
      <c r="G238" s="1" t="s">
        <v>15</v>
      </c>
      <c r="H238">
        <v>1</v>
      </c>
      <c r="I238" s="1" t="s">
        <v>11</v>
      </c>
    </row>
    <row r="239" spans="1:9" x14ac:dyDescent="0.45">
      <c r="A239" s="1" t="s">
        <v>12</v>
      </c>
      <c r="B239">
        <v>122.52500000000001</v>
      </c>
      <c r="C239" s="1" t="s">
        <v>9</v>
      </c>
      <c r="D239">
        <v>0</v>
      </c>
      <c r="E239" s="1" t="s">
        <v>10</v>
      </c>
      <c r="F239">
        <v>10</v>
      </c>
      <c r="G239" s="1" t="s">
        <v>15</v>
      </c>
      <c r="H239">
        <v>1</v>
      </c>
      <c r="I239" s="1" t="s">
        <v>11</v>
      </c>
    </row>
    <row r="240" spans="1:9" x14ac:dyDescent="0.45">
      <c r="A240" s="1" t="s">
        <v>12</v>
      </c>
      <c r="B240">
        <v>122.75700000000001</v>
      </c>
      <c r="C240" s="1" t="s">
        <v>9</v>
      </c>
      <c r="D240">
        <v>0</v>
      </c>
      <c r="E240" s="1" t="s">
        <v>10</v>
      </c>
      <c r="F240">
        <v>10</v>
      </c>
      <c r="G240" s="1" t="s">
        <v>15</v>
      </c>
      <c r="H240">
        <v>1</v>
      </c>
      <c r="I240" s="1" t="s">
        <v>11</v>
      </c>
    </row>
    <row r="241" spans="1:9" x14ac:dyDescent="0.45">
      <c r="A241" s="1" t="s">
        <v>12</v>
      </c>
      <c r="B241">
        <v>124.13500000000001</v>
      </c>
      <c r="C241" s="1" t="s">
        <v>9</v>
      </c>
      <c r="D241">
        <v>0</v>
      </c>
      <c r="E241" s="1" t="s">
        <v>10</v>
      </c>
      <c r="F241">
        <v>10</v>
      </c>
      <c r="G241" s="1" t="s">
        <v>15</v>
      </c>
      <c r="H241">
        <v>1</v>
      </c>
      <c r="I241" s="1" t="s">
        <v>11</v>
      </c>
    </row>
    <row r="242" spans="1:9" x14ac:dyDescent="0.45">
      <c r="A242" s="1" t="s">
        <v>12</v>
      </c>
      <c r="B242">
        <v>124.355</v>
      </c>
      <c r="C242" s="1" t="s">
        <v>9</v>
      </c>
      <c r="D242">
        <v>0</v>
      </c>
      <c r="E242" s="1" t="s">
        <v>10</v>
      </c>
      <c r="F242">
        <v>10</v>
      </c>
      <c r="G242" s="1" t="s">
        <v>15</v>
      </c>
      <c r="H242">
        <v>1</v>
      </c>
      <c r="I242" s="1" t="s">
        <v>11</v>
      </c>
    </row>
    <row r="243" spans="1:9" x14ac:dyDescent="0.45">
      <c r="A243" s="1" t="s">
        <v>12</v>
      </c>
      <c r="B243">
        <v>124.587</v>
      </c>
      <c r="C243" s="1" t="s">
        <v>9</v>
      </c>
      <c r="D243">
        <v>0</v>
      </c>
      <c r="E243" s="1" t="s">
        <v>10</v>
      </c>
      <c r="F243">
        <v>10</v>
      </c>
      <c r="G243" s="1" t="s">
        <v>15</v>
      </c>
      <c r="H243">
        <v>1</v>
      </c>
      <c r="I243" s="1" t="s">
        <v>11</v>
      </c>
    </row>
    <row r="244" spans="1:9" x14ac:dyDescent="0.45">
      <c r="A244" s="1" t="s">
        <v>12</v>
      </c>
      <c r="B244">
        <v>125.857</v>
      </c>
      <c r="C244" s="1" t="s">
        <v>9</v>
      </c>
      <c r="D244">
        <v>0</v>
      </c>
      <c r="E244" s="1" t="s">
        <v>10</v>
      </c>
      <c r="F244">
        <v>10</v>
      </c>
      <c r="G244" s="1" t="s">
        <v>15</v>
      </c>
      <c r="H244">
        <v>1</v>
      </c>
      <c r="I244" s="1" t="s">
        <v>11</v>
      </c>
    </row>
    <row r="245" spans="1:9" x14ac:dyDescent="0.45">
      <c r="A245" s="1" t="s">
        <v>12</v>
      </c>
      <c r="B245">
        <v>126.077</v>
      </c>
      <c r="C245" s="1" t="s">
        <v>9</v>
      </c>
      <c r="D245">
        <v>0</v>
      </c>
      <c r="E245" s="1" t="s">
        <v>10</v>
      </c>
      <c r="F245">
        <v>10</v>
      </c>
      <c r="G245" s="1" t="s">
        <v>15</v>
      </c>
      <c r="H245">
        <v>1</v>
      </c>
      <c r="I245" s="1" t="s">
        <v>11</v>
      </c>
    </row>
    <row r="246" spans="1:9" x14ac:dyDescent="0.45">
      <c r="A246" s="1" t="s">
        <v>12</v>
      </c>
      <c r="B246">
        <v>126.309</v>
      </c>
      <c r="C246" s="1" t="s">
        <v>9</v>
      </c>
      <c r="D246">
        <v>0</v>
      </c>
      <c r="E246" s="1" t="s">
        <v>10</v>
      </c>
      <c r="F246">
        <v>10</v>
      </c>
      <c r="G246" s="1" t="s">
        <v>15</v>
      </c>
      <c r="H246">
        <v>1</v>
      </c>
      <c r="I246" s="1" t="s">
        <v>11</v>
      </c>
    </row>
    <row r="247" spans="1:9" x14ac:dyDescent="0.45">
      <c r="A247" s="1" t="s">
        <v>12</v>
      </c>
      <c r="B247">
        <v>127.56699999999999</v>
      </c>
      <c r="C247" s="1" t="s">
        <v>9</v>
      </c>
      <c r="D247">
        <v>0</v>
      </c>
      <c r="E247" s="1" t="s">
        <v>10</v>
      </c>
      <c r="F247">
        <v>10</v>
      </c>
      <c r="G247" s="1" t="s">
        <v>15</v>
      </c>
      <c r="H247">
        <v>1</v>
      </c>
      <c r="I247" s="1" t="s">
        <v>11</v>
      </c>
    </row>
    <row r="248" spans="1:9" x14ac:dyDescent="0.45">
      <c r="A248" s="1" t="s">
        <v>12</v>
      </c>
      <c r="B248">
        <v>127.78700000000001</v>
      </c>
      <c r="C248" s="1" t="s">
        <v>9</v>
      </c>
      <c r="D248">
        <v>0</v>
      </c>
      <c r="E248" s="1" t="s">
        <v>10</v>
      </c>
      <c r="F248">
        <v>10</v>
      </c>
      <c r="G248" s="1" t="s">
        <v>15</v>
      </c>
      <c r="H248">
        <v>1</v>
      </c>
      <c r="I248" s="1" t="s">
        <v>11</v>
      </c>
    </row>
    <row r="249" spans="1:9" x14ac:dyDescent="0.45">
      <c r="A249" s="1" t="s">
        <v>12</v>
      </c>
      <c r="B249">
        <v>128.01900000000001</v>
      </c>
      <c r="C249" s="1" t="s">
        <v>9</v>
      </c>
      <c r="D249">
        <v>0</v>
      </c>
      <c r="E249" s="1" t="s">
        <v>10</v>
      </c>
      <c r="F249">
        <v>10</v>
      </c>
      <c r="G249" s="1" t="s">
        <v>15</v>
      </c>
      <c r="H249">
        <v>1</v>
      </c>
      <c r="I249" s="1" t="s">
        <v>11</v>
      </c>
    </row>
    <row r="250" spans="1:9" x14ac:dyDescent="0.45">
      <c r="A250" s="1" t="s">
        <v>12</v>
      </c>
      <c r="B250">
        <v>136.12</v>
      </c>
      <c r="C250" s="1" t="s">
        <v>9</v>
      </c>
      <c r="D250">
        <v>0</v>
      </c>
      <c r="E250" s="1" t="s">
        <v>10</v>
      </c>
      <c r="F250">
        <v>8</v>
      </c>
      <c r="G250" s="1" t="s">
        <v>11</v>
      </c>
      <c r="I250" s="1"/>
    </row>
    <row r="251" spans="1:9" x14ac:dyDescent="0.45">
      <c r="A251" s="1" t="s">
        <v>12</v>
      </c>
      <c r="B251">
        <v>136.34</v>
      </c>
      <c r="C251" s="1" t="s">
        <v>9</v>
      </c>
      <c r="D251">
        <v>0</v>
      </c>
      <c r="E251" s="1" t="s">
        <v>10</v>
      </c>
      <c r="F251">
        <v>10</v>
      </c>
      <c r="G251" s="1" t="s">
        <v>11</v>
      </c>
      <c r="I251" s="1"/>
    </row>
    <row r="252" spans="1:9" x14ac:dyDescent="0.45">
      <c r="A252" s="1" t="s">
        <v>12</v>
      </c>
      <c r="B252">
        <v>136.54</v>
      </c>
      <c r="C252" s="1" t="s">
        <v>9</v>
      </c>
      <c r="D252">
        <v>1</v>
      </c>
      <c r="E252" s="1" t="s">
        <v>10</v>
      </c>
      <c r="F252">
        <v>8</v>
      </c>
      <c r="G252" s="1" t="s">
        <v>11</v>
      </c>
      <c r="I252" s="1"/>
    </row>
    <row r="253" spans="1:9" x14ac:dyDescent="0.45">
      <c r="A253" s="1" t="s">
        <v>12</v>
      </c>
      <c r="B253">
        <v>136.75</v>
      </c>
      <c r="C253" s="1" t="s">
        <v>9</v>
      </c>
      <c r="D253">
        <v>1</v>
      </c>
      <c r="E253" s="1" t="s">
        <v>10</v>
      </c>
      <c r="F253">
        <v>10</v>
      </c>
      <c r="G253" s="1" t="s">
        <v>13</v>
      </c>
      <c r="H253">
        <v>0</v>
      </c>
      <c r="I253" s="1" t="s">
        <v>11</v>
      </c>
    </row>
    <row r="254" spans="1:9" x14ac:dyDescent="0.45">
      <c r="A254" s="1" t="s">
        <v>12</v>
      </c>
      <c r="B254">
        <v>137.42099999999999</v>
      </c>
      <c r="C254" s="1" t="s">
        <v>9</v>
      </c>
      <c r="D254">
        <v>0</v>
      </c>
      <c r="E254" s="1" t="s">
        <v>10</v>
      </c>
      <c r="F254">
        <v>8</v>
      </c>
      <c r="G254" s="1" t="s">
        <v>11</v>
      </c>
      <c r="I254" s="1"/>
    </row>
    <row r="255" spans="1:9" x14ac:dyDescent="0.45">
      <c r="A255" s="1" t="s">
        <v>12</v>
      </c>
      <c r="B255">
        <v>137.64099999999999</v>
      </c>
      <c r="C255" s="1" t="s">
        <v>9</v>
      </c>
      <c r="D255">
        <v>0</v>
      </c>
      <c r="E255" s="1" t="s">
        <v>10</v>
      </c>
      <c r="F255">
        <v>10</v>
      </c>
      <c r="G255" s="1" t="s">
        <v>11</v>
      </c>
      <c r="I255" s="1"/>
    </row>
    <row r="256" spans="1:9" x14ac:dyDescent="0.45">
      <c r="A256" s="1" t="s">
        <v>12</v>
      </c>
      <c r="B256">
        <v>137.84100000000001</v>
      </c>
      <c r="C256" s="1" t="s">
        <v>9</v>
      </c>
      <c r="D256">
        <v>1</v>
      </c>
      <c r="E256" s="1" t="s">
        <v>10</v>
      </c>
      <c r="F256">
        <v>8</v>
      </c>
      <c r="G256" s="1" t="s">
        <v>11</v>
      </c>
      <c r="I256" s="1"/>
    </row>
    <row r="257" spans="1:9" x14ac:dyDescent="0.45">
      <c r="A257" s="1" t="s">
        <v>12</v>
      </c>
      <c r="B257">
        <v>138.05099999999999</v>
      </c>
      <c r="C257" s="1" t="s">
        <v>9</v>
      </c>
      <c r="D257">
        <v>1</v>
      </c>
      <c r="E257" s="1" t="s">
        <v>10</v>
      </c>
      <c r="F257">
        <v>10</v>
      </c>
      <c r="G257" s="1" t="s">
        <v>13</v>
      </c>
      <c r="H257">
        <v>0</v>
      </c>
      <c r="I257" s="1" t="s">
        <v>11</v>
      </c>
    </row>
    <row r="258" spans="1:9" x14ac:dyDescent="0.45">
      <c r="A258" s="1" t="s">
        <v>12</v>
      </c>
      <c r="B258">
        <v>139.56800000000001</v>
      </c>
      <c r="C258" s="1" t="s">
        <v>9</v>
      </c>
      <c r="D258">
        <v>0</v>
      </c>
      <c r="E258" s="1" t="s">
        <v>10</v>
      </c>
      <c r="F258">
        <v>8</v>
      </c>
      <c r="G258" s="1" t="s">
        <v>11</v>
      </c>
      <c r="I258" s="1"/>
    </row>
    <row r="259" spans="1:9" x14ac:dyDescent="0.45">
      <c r="A259" s="1" t="s">
        <v>12</v>
      </c>
      <c r="B259">
        <v>139.78800000000001</v>
      </c>
      <c r="C259" s="1" t="s">
        <v>9</v>
      </c>
      <c r="D259">
        <v>0</v>
      </c>
      <c r="E259" s="1" t="s">
        <v>10</v>
      </c>
      <c r="F259">
        <v>10</v>
      </c>
      <c r="G259" s="1" t="s">
        <v>11</v>
      </c>
      <c r="I259" s="1"/>
    </row>
    <row r="260" spans="1:9" x14ac:dyDescent="0.45">
      <c r="A260" s="1" t="s">
        <v>12</v>
      </c>
      <c r="B260">
        <v>139.988</v>
      </c>
      <c r="C260" s="1" t="s">
        <v>9</v>
      </c>
      <c r="D260">
        <v>1</v>
      </c>
      <c r="E260" s="1" t="s">
        <v>10</v>
      </c>
      <c r="F260">
        <v>8</v>
      </c>
      <c r="G260" s="1" t="s">
        <v>11</v>
      </c>
      <c r="I260" s="1"/>
    </row>
    <row r="261" spans="1:9" x14ac:dyDescent="0.45">
      <c r="A261" s="1" t="s">
        <v>12</v>
      </c>
      <c r="B261">
        <v>140.197</v>
      </c>
      <c r="C261" s="1" t="s">
        <v>9</v>
      </c>
      <c r="D261">
        <v>1</v>
      </c>
      <c r="E261" s="1" t="s">
        <v>10</v>
      </c>
      <c r="F261">
        <v>10</v>
      </c>
      <c r="G261" s="1" t="s">
        <v>13</v>
      </c>
      <c r="H261">
        <v>0</v>
      </c>
      <c r="I261" s="1" t="s">
        <v>11</v>
      </c>
    </row>
    <row r="262" spans="1:9" x14ac:dyDescent="0.45">
      <c r="A262" s="1" t="s">
        <v>12</v>
      </c>
      <c r="B262">
        <v>140.869</v>
      </c>
      <c r="C262" s="1" t="s">
        <v>9</v>
      </c>
      <c r="D262">
        <v>0</v>
      </c>
      <c r="E262" s="1" t="s">
        <v>10</v>
      </c>
      <c r="F262">
        <v>8</v>
      </c>
      <c r="G262" s="1" t="s">
        <v>11</v>
      </c>
      <c r="I262" s="1"/>
    </row>
    <row r="263" spans="1:9" x14ac:dyDescent="0.45">
      <c r="A263" s="1" t="s">
        <v>12</v>
      </c>
      <c r="B263">
        <v>141.089</v>
      </c>
      <c r="C263" s="1" t="s">
        <v>9</v>
      </c>
      <c r="D263">
        <v>0</v>
      </c>
      <c r="E263" s="1" t="s">
        <v>10</v>
      </c>
      <c r="F263">
        <v>10</v>
      </c>
      <c r="G263" s="1" t="s">
        <v>11</v>
      </c>
      <c r="I263" s="1"/>
    </row>
    <row r="264" spans="1:9" x14ac:dyDescent="0.45">
      <c r="A264" s="1" t="s">
        <v>12</v>
      </c>
      <c r="B264">
        <v>141.28899999999999</v>
      </c>
      <c r="C264" s="1" t="s">
        <v>9</v>
      </c>
      <c r="D264">
        <v>1</v>
      </c>
      <c r="E264" s="1" t="s">
        <v>10</v>
      </c>
      <c r="F264">
        <v>8</v>
      </c>
      <c r="G264" s="1" t="s">
        <v>11</v>
      </c>
      <c r="I264" s="1"/>
    </row>
    <row r="265" spans="1:9" x14ac:dyDescent="0.45">
      <c r="A265" s="1" t="s">
        <v>12</v>
      </c>
      <c r="B265">
        <v>141.499</v>
      </c>
      <c r="C265" s="1" t="s">
        <v>9</v>
      </c>
      <c r="D265">
        <v>1</v>
      </c>
      <c r="E265" s="1" t="s">
        <v>10</v>
      </c>
      <c r="F265">
        <v>10</v>
      </c>
      <c r="G265" s="1" t="s">
        <v>13</v>
      </c>
      <c r="H265">
        <v>0</v>
      </c>
      <c r="I265" s="1" t="s">
        <v>11</v>
      </c>
    </row>
    <row r="266" spans="1:9" x14ac:dyDescent="0.45">
      <c r="A266" s="1" t="s">
        <v>12</v>
      </c>
      <c r="B266">
        <v>143.06299999999999</v>
      </c>
      <c r="C266" s="1" t="s">
        <v>9</v>
      </c>
      <c r="D266">
        <v>0</v>
      </c>
      <c r="E266" s="1" t="s">
        <v>10</v>
      </c>
      <c r="F266">
        <v>8</v>
      </c>
      <c r="G266" s="1" t="s">
        <v>11</v>
      </c>
      <c r="I266" s="1"/>
    </row>
    <row r="267" spans="1:9" x14ac:dyDescent="0.45">
      <c r="A267" s="1" t="s">
        <v>12</v>
      </c>
      <c r="B267">
        <v>143.28299999999999</v>
      </c>
      <c r="C267" s="1" t="s">
        <v>9</v>
      </c>
      <c r="D267">
        <v>0</v>
      </c>
      <c r="E267" s="1" t="s">
        <v>10</v>
      </c>
      <c r="F267">
        <v>10</v>
      </c>
      <c r="G267" s="1" t="s">
        <v>11</v>
      </c>
      <c r="I267" s="1"/>
    </row>
    <row r="268" spans="1:9" x14ac:dyDescent="0.45">
      <c r="A268" s="1" t="s">
        <v>12</v>
      </c>
      <c r="B268">
        <v>143.483</v>
      </c>
      <c r="C268" s="1" t="s">
        <v>9</v>
      </c>
      <c r="D268">
        <v>1</v>
      </c>
      <c r="E268" s="1" t="s">
        <v>10</v>
      </c>
      <c r="F268">
        <v>8</v>
      </c>
      <c r="G268" s="1" t="s">
        <v>11</v>
      </c>
      <c r="I268" s="1"/>
    </row>
    <row r="269" spans="1:9" x14ac:dyDescent="0.45">
      <c r="A269" s="1" t="s">
        <v>12</v>
      </c>
      <c r="B269">
        <v>143.69300000000001</v>
      </c>
      <c r="C269" s="1" t="s">
        <v>9</v>
      </c>
      <c r="D269">
        <v>1</v>
      </c>
      <c r="E269" s="1" t="s">
        <v>10</v>
      </c>
      <c r="F269">
        <v>10</v>
      </c>
      <c r="G269" s="1" t="s">
        <v>13</v>
      </c>
      <c r="H269">
        <v>0</v>
      </c>
      <c r="I269" s="1" t="s">
        <v>11</v>
      </c>
    </row>
    <row r="270" spans="1:9" x14ac:dyDescent="0.45">
      <c r="A270" s="1" t="s">
        <v>12</v>
      </c>
      <c r="B270">
        <v>144.364</v>
      </c>
      <c r="C270" s="1" t="s">
        <v>9</v>
      </c>
      <c r="D270">
        <v>0</v>
      </c>
      <c r="E270" s="1" t="s">
        <v>10</v>
      </c>
      <c r="F270">
        <v>8</v>
      </c>
      <c r="G270" s="1" t="s">
        <v>11</v>
      </c>
      <c r="I270" s="1"/>
    </row>
    <row r="271" spans="1:9" x14ac:dyDescent="0.45">
      <c r="A271" s="1" t="s">
        <v>12</v>
      </c>
      <c r="B271">
        <v>144.584</v>
      </c>
      <c r="C271" s="1" t="s">
        <v>9</v>
      </c>
      <c r="D271">
        <v>0</v>
      </c>
      <c r="E271" s="1" t="s">
        <v>10</v>
      </c>
      <c r="F271">
        <v>10</v>
      </c>
      <c r="G271" s="1" t="s">
        <v>11</v>
      </c>
      <c r="I271" s="1"/>
    </row>
    <row r="272" spans="1:9" x14ac:dyDescent="0.45">
      <c r="A272" s="1" t="s">
        <v>12</v>
      </c>
      <c r="B272">
        <v>144.78399999999999</v>
      </c>
      <c r="C272" s="1" t="s">
        <v>9</v>
      </c>
      <c r="D272">
        <v>1</v>
      </c>
      <c r="E272" s="1" t="s">
        <v>10</v>
      </c>
      <c r="F272">
        <v>8</v>
      </c>
      <c r="G272" s="1" t="s">
        <v>11</v>
      </c>
      <c r="I272" s="1"/>
    </row>
    <row r="273" spans="1:9" x14ac:dyDescent="0.45">
      <c r="A273" s="1" t="s">
        <v>12</v>
      </c>
      <c r="B273">
        <v>144.994</v>
      </c>
      <c r="C273" s="1" t="s">
        <v>9</v>
      </c>
      <c r="D273">
        <v>1</v>
      </c>
      <c r="E273" s="1" t="s">
        <v>10</v>
      </c>
      <c r="F273">
        <v>10</v>
      </c>
      <c r="G273" s="1" t="s">
        <v>13</v>
      </c>
      <c r="H273">
        <v>0</v>
      </c>
      <c r="I273" s="1" t="s">
        <v>11</v>
      </c>
    </row>
    <row r="274" spans="1:9" x14ac:dyDescent="0.45">
      <c r="A274" s="1" t="s">
        <v>12</v>
      </c>
      <c r="B274">
        <v>146.511</v>
      </c>
      <c r="C274" s="1" t="s">
        <v>9</v>
      </c>
      <c r="D274">
        <v>0</v>
      </c>
      <c r="E274" s="1" t="s">
        <v>10</v>
      </c>
      <c r="F274">
        <v>8</v>
      </c>
      <c r="G274" s="1" t="s">
        <v>11</v>
      </c>
      <c r="I274" s="1"/>
    </row>
    <row r="275" spans="1:9" x14ac:dyDescent="0.45">
      <c r="A275" s="1" t="s">
        <v>12</v>
      </c>
      <c r="B275">
        <v>146.73099999999999</v>
      </c>
      <c r="C275" s="1" t="s">
        <v>9</v>
      </c>
      <c r="D275">
        <v>0</v>
      </c>
      <c r="E275" s="1" t="s">
        <v>10</v>
      </c>
      <c r="F275">
        <v>10</v>
      </c>
      <c r="G275" s="1" t="s">
        <v>11</v>
      </c>
      <c r="I275" s="1"/>
    </row>
    <row r="276" spans="1:9" x14ac:dyDescent="0.45">
      <c r="A276" s="1" t="s">
        <v>12</v>
      </c>
      <c r="B276">
        <v>146.93100000000001</v>
      </c>
      <c r="C276" s="1" t="s">
        <v>9</v>
      </c>
      <c r="D276">
        <v>1</v>
      </c>
      <c r="E276" s="1" t="s">
        <v>10</v>
      </c>
      <c r="F276">
        <v>8</v>
      </c>
      <c r="G276" s="1" t="s">
        <v>11</v>
      </c>
      <c r="I276" s="1"/>
    </row>
    <row r="277" spans="1:9" x14ac:dyDescent="0.45">
      <c r="A277" s="1" t="s">
        <v>12</v>
      </c>
      <c r="B277">
        <v>147.14099999999999</v>
      </c>
      <c r="C277" s="1" t="s">
        <v>9</v>
      </c>
      <c r="D277">
        <v>1</v>
      </c>
      <c r="E277" s="1" t="s">
        <v>10</v>
      </c>
      <c r="F277">
        <v>10</v>
      </c>
      <c r="G277" s="1" t="s">
        <v>13</v>
      </c>
      <c r="H277">
        <v>0</v>
      </c>
      <c r="I277" s="1" t="s">
        <v>11</v>
      </c>
    </row>
    <row r="278" spans="1:9" x14ac:dyDescent="0.45">
      <c r="A278" s="1" t="s">
        <v>12</v>
      </c>
      <c r="B278">
        <v>147.81200000000001</v>
      </c>
      <c r="C278" s="1" t="s">
        <v>9</v>
      </c>
      <c r="D278">
        <v>0</v>
      </c>
      <c r="E278" s="1" t="s">
        <v>10</v>
      </c>
      <c r="F278">
        <v>8</v>
      </c>
      <c r="G278" s="1" t="s">
        <v>11</v>
      </c>
      <c r="I278" s="1"/>
    </row>
    <row r="279" spans="1:9" x14ac:dyDescent="0.45">
      <c r="A279" s="1" t="s">
        <v>12</v>
      </c>
      <c r="B279">
        <v>148.03200000000001</v>
      </c>
      <c r="C279" s="1" t="s">
        <v>9</v>
      </c>
      <c r="D279">
        <v>0</v>
      </c>
      <c r="E279" s="1" t="s">
        <v>10</v>
      </c>
      <c r="F279">
        <v>10</v>
      </c>
      <c r="G279" s="1" t="s">
        <v>11</v>
      </c>
      <c r="I279" s="1"/>
    </row>
    <row r="280" spans="1:9" x14ac:dyDescent="0.45">
      <c r="A280" s="1" t="s">
        <v>12</v>
      </c>
      <c r="B280">
        <v>148.232</v>
      </c>
      <c r="C280" s="1" t="s">
        <v>9</v>
      </c>
      <c r="D280">
        <v>1</v>
      </c>
      <c r="E280" s="1" t="s">
        <v>10</v>
      </c>
      <c r="F280">
        <v>8</v>
      </c>
      <c r="G280" s="1" t="s">
        <v>11</v>
      </c>
      <c r="I280" s="1"/>
    </row>
    <row r="281" spans="1:9" x14ac:dyDescent="0.45">
      <c r="A281" s="1" t="s">
        <v>12</v>
      </c>
      <c r="B281">
        <v>148.44</v>
      </c>
      <c r="C281" s="1" t="s">
        <v>9</v>
      </c>
      <c r="D281">
        <v>1</v>
      </c>
      <c r="E281" s="1" t="s">
        <v>10</v>
      </c>
      <c r="F281">
        <v>10</v>
      </c>
      <c r="G281" s="1" t="s">
        <v>13</v>
      </c>
      <c r="H281">
        <v>0</v>
      </c>
      <c r="I281" s="1" t="s">
        <v>11</v>
      </c>
    </row>
    <row r="282" spans="1:9" x14ac:dyDescent="0.45">
      <c r="A282" s="1" t="s">
        <v>12</v>
      </c>
      <c r="B282">
        <v>150.22300000000001</v>
      </c>
      <c r="C282" s="1" t="s">
        <v>9</v>
      </c>
      <c r="D282">
        <v>0</v>
      </c>
      <c r="E282" s="1" t="s">
        <v>10</v>
      </c>
      <c r="F282">
        <v>10</v>
      </c>
      <c r="G282" s="1" t="s">
        <v>15</v>
      </c>
      <c r="H282">
        <v>1</v>
      </c>
      <c r="I282" s="1" t="s">
        <v>11</v>
      </c>
    </row>
    <row r="283" spans="1:9" x14ac:dyDescent="0.45">
      <c r="A283" s="1" t="s">
        <v>12</v>
      </c>
      <c r="B283">
        <v>150.44300000000001</v>
      </c>
      <c r="C283" s="1" t="s">
        <v>9</v>
      </c>
      <c r="D283">
        <v>0</v>
      </c>
      <c r="E283" s="1" t="s">
        <v>10</v>
      </c>
      <c r="F283">
        <v>10</v>
      </c>
      <c r="G283" s="1" t="s">
        <v>15</v>
      </c>
      <c r="H283">
        <v>1</v>
      </c>
      <c r="I283" s="1" t="s">
        <v>11</v>
      </c>
    </row>
    <row r="284" spans="1:9" x14ac:dyDescent="0.45">
      <c r="A284" s="1" t="s">
        <v>12</v>
      </c>
      <c r="B284">
        <v>150.673</v>
      </c>
      <c r="C284" s="1" t="s">
        <v>9</v>
      </c>
      <c r="D284">
        <v>0</v>
      </c>
      <c r="E284" s="1" t="s">
        <v>10</v>
      </c>
      <c r="F284">
        <v>10</v>
      </c>
      <c r="G284" s="1" t="s">
        <v>15</v>
      </c>
      <c r="H284">
        <v>1</v>
      </c>
      <c r="I284" s="1" t="s">
        <v>11</v>
      </c>
    </row>
    <row r="285" spans="1:9" x14ac:dyDescent="0.45">
      <c r="A285" s="1" t="s">
        <v>12</v>
      </c>
      <c r="B285">
        <v>150.899</v>
      </c>
      <c r="C285" s="1" t="s">
        <v>9</v>
      </c>
      <c r="D285">
        <v>0</v>
      </c>
      <c r="E285" s="1" t="s">
        <v>10</v>
      </c>
      <c r="F285">
        <v>10</v>
      </c>
      <c r="G285" s="1" t="s">
        <v>15</v>
      </c>
      <c r="H285">
        <v>1</v>
      </c>
      <c r="I285" s="1" t="s">
        <v>11</v>
      </c>
    </row>
    <row r="286" spans="1:9" x14ac:dyDescent="0.45">
      <c r="A286" s="1" t="s">
        <v>12</v>
      </c>
      <c r="B286">
        <v>151.13</v>
      </c>
      <c r="C286" s="1" t="s">
        <v>9</v>
      </c>
      <c r="D286">
        <v>0</v>
      </c>
      <c r="E286" s="1" t="s">
        <v>10</v>
      </c>
      <c r="F286">
        <v>10</v>
      </c>
      <c r="G286" s="1" t="s">
        <v>15</v>
      </c>
      <c r="H286">
        <v>1</v>
      </c>
      <c r="I286" s="1" t="s">
        <v>11</v>
      </c>
    </row>
    <row r="287" spans="1:9" x14ac:dyDescent="0.45">
      <c r="A287" s="1" t="s">
        <v>12</v>
      </c>
      <c r="B287">
        <v>151.36000000000001</v>
      </c>
      <c r="C287" s="1" t="s">
        <v>9</v>
      </c>
      <c r="D287">
        <v>0</v>
      </c>
      <c r="E287" s="1" t="s">
        <v>10</v>
      </c>
      <c r="F287">
        <v>10</v>
      </c>
      <c r="G287" s="1" t="s">
        <v>15</v>
      </c>
      <c r="H287">
        <v>1</v>
      </c>
      <c r="I287" s="1" t="s">
        <v>11</v>
      </c>
    </row>
    <row r="288" spans="1:9" x14ac:dyDescent="0.45">
      <c r="A288" s="1" t="s">
        <v>12</v>
      </c>
      <c r="B288">
        <v>151.59200000000001</v>
      </c>
      <c r="C288" s="1" t="s">
        <v>9</v>
      </c>
      <c r="D288">
        <v>0</v>
      </c>
      <c r="E288" s="1" t="s">
        <v>10</v>
      </c>
      <c r="F288">
        <v>10</v>
      </c>
      <c r="G288" s="1" t="s">
        <v>15</v>
      </c>
      <c r="H288">
        <v>1</v>
      </c>
      <c r="I288" s="1" t="s">
        <v>11</v>
      </c>
    </row>
    <row r="289" spans="1:9" x14ac:dyDescent="0.45">
      <c r="A289" s="1" t="s">
        <v>12</v>
      </c>
      <c r="B289">
        <v>151.82</v>
      </c>
      <c r="C289" s="1" t="s">
        <v>9</v>
      </c>
      <c r="D289">
        <v>0</v>
      </c>
      <c r="E289" s="1" t="s">
        <v>10</v>
      </c>
      <c r="F289">
        <v>10</v>
      </c>
      <c r="G289" s="1" t="s">
        <v>15</v>
      </c>
      <c r="H289">
        <v>1</v>
      </c>
      <c r="I289" s="1" t="s">
        <v>11</v>
      </c>
    </row>
    <row r="290" spans="1:9" x14ac:dyDescent="0.45">
      <c r="A290" s="1" t="s">
        <v>12</v>
      </c>
      <c r="B290">
        <v>152.04900000000001</v>
      </c>
      <c r="C290" s="1" t="s">
        <v>9</v>
      </c>
      <c r="D290">
        <v>0</v>
      </c>
      <c r="E290" s="1" t="s">
        <v>10</v>
      </c>
      <c r="F290">
        <v>10</v>
      </c>
      <c r="G290" s="1" t="s">
        <v>15</v>
      </c>
      <c r="H290">
        <v>1</v>
      </c>
      <c r="I290" s="1" t="s">
        <v>11</v>
      </c>
    </row>
    <row r="291" spans="1:9" x14ac:dyDescent="0.45">
      <c r="A291" s="1" t="s">
        <v>12</v>
      </c>
      <c r="B291">
        <v>152.26900000000001</v>
      </c>
      <c r="C291" s="1" t="s">
        <v>9</v>
      </c>
      <c r="D291">
        <v>0</v>
      </c>
      <c r="E291" s="1" t="s">
        <v>10</v>
      </c>
      <c r="F291">
        <v>10</v>
      </c>
      <c r="G291" s="1" t="s">
        <v>15</v>
      </c>
      <c r="H291">
        <v>1</v>
      </c>
      <c r="I291" s="1" t="s">
        <v>11</v>
      </c>
    </row>
    <row r="292" spans="1:9" x14ac:dyDescent="0.45">
      <c r="A292" s="1" t="s">
        <v>12</v>
      </c>
      <c r="B292">
        <v>152.49199999999999</v>
      </c>
      <c r="C292" s="1" t="s">
        <v>9</v>
      </c>
      <c r="D292">
        <v>0</v>
      </c>
      <c r="E292" s="1" t="s">
        <v>10</v>
      </c>
      <c r="F292">
        <v>10</v>
      </c>
      <c r="G292" s="1" t="s">
        <v>15</v>
      </c>
      <c r="H292">
        <v>1</v>
      </c>
      <c r="I292" s="1" t="s">
        <v>11</v>
      </c>
    </row>
    <row r="293" spans="1:9" x14ac:dyDescent="0.45">
      <c r="A293" s="1" t="s">
        <v>12</v>
      </c>
      <c r="B293">
        <v>153.68</v>
      </c>
      <c r="C293" s="1" t="s">
        <v>9</v>
      </c>
      <c r="D293">
        <v>0</v>
      </c>
      <c r="E293" s="1" t="s">
        <v>10</v>
      </c>
      <c r="F293">
        <v>10</v>
      </c>
      <c r="G293" s="1" t="s">
        <v>15</v>
      </c>
      <c r="H293">
        <v>1</v>
      </c>
      <c r="I293" s="1" t="s">
        <v>11</v>
      </c>
    </row>
    <row r="294" spans="1:9" x14ac:dyDescent="0.45">
      <c r="A294" s="1" t="s">
        <v>12</v>
      </c>
      <c r="B294">
        <v>153.898</v>
      </c>
      <c r="C294" s="1" t="s">
        <v>9</v>
      </c>
      <c r="D294">
        <v>0</v>
      </c>
      <c r="E294" s="1" t="s">
        <v>10</v>
      </c>
      <c r="F294">
        <v>10</v>
      </c>
      <c r="G294" s="1" t="s">
        <v>15</v>
      </c>
      <c r="H294">
        <v>1</v>
      </c>
      <c r="I294" s="1" t="s">
        <v>11</v>
      </c>
    </row>
    <row r="295" spans="1:9" x14ac:dyDescent="0.45">
      <c r="A295" s="1" t="s">
        <v>12</v>
      </c>
      <c r="B295">
        <v>154.12799999999999</v>
      </c>
      <c r="C295" s="1" t="s">
        <v>9</v>
      </c>
      <c r="D295">
        <v>0</v>
      </c>
      <c r="E295" s="1" t="s">
        <v>10</v>
      </c>
      <c r="F295">
        <v>10</v>
      </c>
      <c r="G295" s="1" t="s">
        <v>15</v>
      </c>
      <c r="H295">
        <v>1</v>
      </c>
      <c r="I295" s="1" t="s">
        <v>11</v>
      </c>
    </row>
    <row r="296" spans="1:9" x14ac:dyDescent="0.45">
      <c r="A296" s="1" t="s">
        <v>12</v>
      </c>
      <c r="B296">
        <v>154.35400000000001</v>
      </c>
      <c r="C296" s="1" t="s">
        <v>9</v>
      </c>
      <c r="D296">
        <v>0</v>
      </c>
      <c r="E296" s="1" t="s">
        <v>10</v>
      </c>
      <c r="F296">
        <v>10</v>
      </c>
      <c r="G296" s="1" t="s">
        <v>15</v>
      </c>
      <c r="H296">
        <v>1</v>
      </c>
      <c r="I296" s="1" t="s">
        <v>11</v>
      </c>
    </row>
    <row r="297" spans="1:9" x14ac:dyDescent="0.45">
      <c r="A297" s="1" t="s">
        <v>12</v>
      </c>
      <c r="B297">
        <v>154.58500000000001</v>
      </c>
      <c r="C297" s="1" t="s">
        <v>9</v>
      </c>
      <c r="D297">
        <v>0</v>
      </c>
      <c r="E297" s="1" t="s">
        <v>10</v>
      </c>
      <c r="F297">
        <v>10</v>
      </c>
      <c r="G297" s="1" t="s">
        <v>15</v>
      </c>
      <c r="H297">
        <v>1</v>
      </c>
      <c r="I297" s="1" t="s">
        <v>11</v>
      </c>
    </row>
    <row r="298" spans="1:9" x14ac:dyDescent="0.45">
      <c r="A298" s="1" t="s">
        <v>12</v>
      </c>
      <c r="B298">
        <v>154.815</v>
      </c>
      <c r="C298" s="1" t="s">
        <v>9</v>
      </c>
      <c r="D298">
        <v>0</v>
      </c>
      <c r="E298" s="1" t="s">
        <v>10</v>
      </c>
      <c r="F298">
        <v>10</v>
      </c>
      <c r="G298" s="1" t="s">
        <v>15</v>
      </c>
      <c r="H298">
        <v>1</v>
      </c>
      <c r="I298" s="1" t="s">
        <v>11</v>
      </c>
    </row>
    <row r="299" spans="1:9" x14ac:dyDescent="0.45">
      <c r="A299" s="1" t="s">
        <v>12</v>
      </c>
      <c r="B299">
        <v>155.047</v>
      </c>
      <c r="C299" s="1" t="s">
        <v>9</v>
      </c>
      <c r="D299">
        <v>0</v>
      </c>
      <c r="E299" s="1" t="s">
        <v>10</v>
      </c>
      <c r="F299">
        <v>10</v>
      </c>
      <c r="G299" s="1" t="s">
        <v>15</v>
      </c>
      <c r="H299">
        <v>1</v>
      </c>
      <c r="I299" s="1" t="s">
        <v>11</v>
      </c>
    </row>
    <row r="300" spans="1:9" x14ac:dyDescent="0.45">
      <c r="A300" s="1" t="s">
        <v>12</v>
      </c>
      <c r="B300">
        <v>155.27500000000001</v>
      </c>
      <c r="C300" s="1" t="s">
        <v>9</v>
      </c>
      <c r="D300">
        <v>0</v>
      </c>
      <c r="E300" s="1" t="s">
        <v>10</v>
      </c>
      <c r="F300">
        <v>10</v>
      </c>
      <c r="G300" s="1" t="s">
        <v>15</v>
      </c>
      <c r="H300">
        <v>1</v>
      </c>
      <c r="I300" s="1" t="s">
        <v>11</v>
      </c>
    </row>
    <row r="301" spans="1:9" x14ac:dyDescent="0.45">
      <c r="A301" s="1" t="s">
        <v>12</v>
      </c>
      <c r="B301">
        <v>155.50399999999999</v>
      </c>
      <c r="C301" s="1" t="s">
        <v>9</v>
      </c>
      <c r="D301">
        <v>0</v>
      </c>
      <c r="E301" s="1" t="s">
        <v>10</v>
      </c>
      <c r="F301">
        <v>10</v>
      </c>
      <c r="G301" s="1" t="s">
        <v>15</v>
      </c>
      <c r="H301">
        <v>1</v>
      </c>
      <c r="I301" s="1" t="s">
        <v>11</v>
      </c>
    </row>
    <row r="302" spans="1:9" x14ac:dyDescent="0.45">
      <c r="A302" s="1" t="s">
        <v>12</v>
      </c>
      <c r="B302">
        <v>155.72399999999999</v>
      </c>
      <c r="C302" s="1" t="s">
        <v>9</v>
      </c>
      <c r="D302">
        <v>0</v>
      </c>
      <c r="E302" s="1" t="s">
        <v>10</v>
      </c>
      <c r="F302">
        <v>10</v>
      </c>
      <c r="G302" s="1" t="s">
        <v>15</v>
      </c>
      <c r="H302">
        <v>1</v>
      </c>
      <c r="I302" s="1" t="s">
        <v>11</v>
      </c>
    </row>
    <row r="303" spans="1:9" x14ac:dyDescent="0.45">
      <c r="A303" s="1" t="s">
        <v>12</v>
      </c>
      <c r="B303">
        <v>155.94800000000001</v>
      </c>
      <c r="C303" s="1" t="s">
        <v>9</v>
      </c>
      <c r="D303">
        <v>0</v>
      </c>
      <c r="E303" s="1" t="s">
        <v>10</v>
      </c>
      <c r="F303">
        <v>10</v>
      </c>
      <c r="G303" s="1" t="s">
        <v>15</v>
      </c>
      <c r="H303">
        <v>1</v>
      </c>
      <c r="I303" s="1" t="s">
        <v>11</v>
      </c>
    </row>
    <row r="304" spans="1:9" x14ac:dyDescent="0.45">
      <c r="A304" s="1" t="s">
        <v>12</v>
      </c>
      <c r="B304">
        <v>157.14099999999999</v>
      </c>
      <c r="C304" s="1" t="s">
        <v>9</v>
      </c>
      <c r="D304">
        <v>0</v>
      </c>
      <c r="E304" s="1" t="s">
        <v>10</v>
      </c>
      <c r="F304">
        <v>10</v>
      </c>
      <c r="G304" s="1" t="s">
        <v>15</v>
      </c>
      <c r="H304">
        <v>1</v>
      </c>
      <c r="I304" s="1" t="s">
        <v>11</v>
      </c>
    </row>
    <row r="305" spans="1:9" x14ac:dyDescent="0.45">
      <c r="A305" s="1" t="s">
        <v>12</v>
      </c>
      <c r="B305">
        <v>157.36099999999999</v>
      </c>
      <c r="C305" s="1" t="s">
        <v>9</v>
      </c>
      <c r="D305">
        <v>0</v>
      </c>
      <c r="E305" s="1" t="s">
        <v>10</v>
      </c>
      <c r="F305">
        <v>10</v>
      </c>
      <c r="G305" s="1" t="s">
        <v>15</v>
      </c>
      <c r="H305">
        <v>1</v>
      </c>
      <c r="I305" s="1" t="s">
        <v>11</v>
      </c>
    </row>
    <row r="306" spans="1:9" x14ac:dyDescent="0.45">
      <c r="A306" s="1" t="s">
        <v>12</v>
      </c>
      <c r="B306">
        <v>157.59100000000001</v>
      </c>
      <c r="C306" s="1" t="s">
        <v>9</v>
      </c>
      <c r="D306">
        <v>0</v>
      </c>
      <c r="E306" s="1" t="s">
        <v>10</v>
      </c>
      <c r="F306">
        <v>10</v>
      </c>
      <c r="G306" s="1" t="s">
        <v>15</v>
      </c>
      <c r="H306">
        <v>1</v>
      </c>
      <c r="I306" s="1" t="s">
        <v>11</v>
      </c>
    </row>
    <row r="307" spans="1:9" x14ac:dyDescent="0.45">
      <c r="A307" s="1" t="s">
        <v>12</v>
      </c>
      <c r="B307">
        <v>157.81700000000001</v>
      </c>
      <c r="C307" s="1" t="s">
        <v>9</v>
      </c>
      <c r="D307">
        <v>0</v>
      </c>
      <c r="E307" s="1" t="s">
        <v>10</v>
      </c>
      <c r="F307">
        <v>10</v>
      </c>
      <c r="G307" s="1" t="s">
        <v>15</v>
      </c>
      <c r="H307">
        <v>1</v>
      </c>
      <c r="I307" s="1" t="s">
        <v>11</v>
      </c>
    </row>
    <row r="308" spans="1:9" x14ac:dyDescent="0.45">
      <c r="A308" s="1" t="s">
        <v>12</v>
      </c>
      <c r="B308">
        <v>158.048</v>
      </c>
      <c r="C308" s="1" t="s">
        <v>9</v>
      </c>
      <c r="D308">
        <v>0</v>
      </c>
      <c r="E308" s="1" t="s">
        <v>10</v>
      </c>
      <c r="F308">
        <v>10</v>
      </c>
      <c r="G308" s="1" t="s">
        <v>15</v>
      </c>
      <c r="H308">
        <v>1</v>
      </c>
      <c r="I308" s="1" t="s">
        <v>11</v>
      </c>
    </row>
    <row r="309" spans="1:9" x14ac:dyDescent="0.45">
      <c r="A309" s="1" t="s">
        <v>12</v>
      </c>
      <c r="B309">
        <v>158.27799999999999</v>
      </c>
      <c r="C309" s="1" t="s">
        <v>9</v>
      </c>
      <c r="D309">
        <v>0</v>
      </c>
      <c r="E309" s="1" t="s">
        <v>10</v>
      </c>
      <c r="F309">
        <v>10</v>
      </c>
      <c r="G309" s="1" t="s">
        <v>15</v>
      </c>
      <c r="H309">
        <v>1</v>
      </c>
      <c r="I309" s="1" t="s">
        <v>11</v>
      </c>
    </row>
    <row r="310" spans="1:9" x14ac:dyDescent="0.45">
      <c r="A310" s="1" t="s">
        <v>12</v>
      </c>
      <c r="B310">
        <v>158.51</v>
      </c>
      <c r="C310" s="1" t="s">
        <v>9</v>
      </c>
      <c r="D310">
        <v>0</v>
      </c>
      <c r="E310" s="1" t="s">
        <v>10</v>
      </c>
      <c r="F310">
        <v>10</v>
      </c>
      <c r="G310" s="1" t="s">
        <v>15</v>
      </c>
      <c r="H310">
        <v>1</v>
      </c>
      <c r="I310" s="1" t="s">
        <v>11</v>
      </c>
    </row>
    <row r="311" spans="1:9" x14ac:dyDescent="0.45">
      <c r="A311" s="1" t="s">
        <v>12</v>
      </c>
      <c r="B311">
        <v>158.738</v>
      </c>
      <c r="C311" s="1" t="s">
        <v>9</v>
      </c>
      <c r="D311">
        <v>0</v>
      </c>
      <c r="E311" s="1" t="s">
        <v>10</v>
      </c>
      <c r="F311">
        <v>10</v>
      </c>
      <c r="G311" s="1" t="s">
        <v>15</v>
      </c>
      <c r="H311">
        <v>1</v>
      </c>
      <c r="I311" s="1" t="s">
        <v>11</v>
      </c>
    </row>
    <row r="312" spans="1:9" x14ac:dyDescent="0.45">
      <c r="A312" s="1" t="s">
        <v>12</v>
      </c>
      <c r="B312">
        <v>158.96700000000001</v>
      </c>
      <c r="C312" s="1" t="s">
        <v>9</v>
      </c>
      <c r="D312">
        <v>0</v>
      </c>
      <c r="E312" s="1" t="s">
        <v>10</v>
      </c>
      <c r="F312">
        <v>10</v>
      </c>
      <c r="G312" s="1" t="s">
        <v>15</v>
      </c>
      <c r="H312">
        <v>1</v>
      </c>
      <c r="I312" s="1" t="s">
        <v>11</v>
      </c>
    </row>
    <row r="313" spans="1:9" x14ac:dyDescent="0.45">
      <c r="A313" s="1" t="s">
        <v>12</v>
      </c>
      <c r="B313">
        <v>159.18700000000001</v>
      </c>
      <c r="C313" s="1" t="s">
        <v>9</v>
      </c>
      <c r="D313">
        <v>0</v>
      </c>
      <c r="E313" s="1" t="s">
        <v>10</v>
      </c>
      <c r="F313">
        <v>10</v>
      </c>
      <c r="G313" s="1" t="s">
        <v>15</v>
      </c>
      <c r="H313">
        <v>1</v>
      </c>
      <c r="I313" s="1" t="s">
        <v>11</v>
      </c>
    </row>
    <row r="314" spans="1:9" x14ac:dyDescent="0.45">
      <c r="A314" s="1" t="s">
        <v>12</v>
      </c>
      <c r="B314">
        <v>159.41</v>
      </c>
      <c r="C314" s="1" t="s">
        <v>9</v>
      </c>
      <c r="D314">
        <v>0</v>
      </c>
      <c r="E314" s="1" t="s">
        <v>10</v>
      </c>
      <c r="F314">
        <v>10</v>
      </c>
      <c r="G314" s="1" t="s">
        <v>15</v>
      </c>
      <c r="H314">
        <v>1</v>
      </c>
      <c r="I314" s="1" t="s">
        <v>11</v>
      </c>
    </row>
    <row r="315" spans="1:9" x14ac:dyDescent="0.45">
      <c r="A315" s="1" t="s">
        <v>12</v>
      </c>
      <c r="B315">
        <v>160.596</v>
      </c>
      <c r="C315" s="1" t="s">
        <v>9</v>
      </c>
      <c r="D315">
        <v>0</v>
      </c>
      <c r="E315" s="1" t="s">
        <v>10</v>
      </c>
      <c r="F315">
        <v>10</v>
      </c>
      <c r="G315" s="1" t="s">
        <v>15</v>
      </c>
      <c r="H315">
        <v>1</v>
      </c>
      <c r="I315" s="1" t="s">
        <v>11</v>
      </c>
    </row>
    <row r="316" spans="1:9" x14ac:dyDescent="0.45">
      <c r="A316" s="1" t="s">
        <v>12</v>
      </c>
      <c r="B316">
        <v>160.816</v>
      </c>
      <c r="C316" s="1" t="s">
        <v>9</v>
      </c>
      <c r="D316">
        <v>0</v>
      </c>
      <c r="E316" s="1" t="s">
        <v>10</v>
      </c>
      <c r="F316">
        <v>10</v>
      </c>
      <c r="G316" s="1" t="s">
        <v>15</v>
      </c>
      <c r="H316">
        <v>1</v>
      </c>
      <c r="I316" s="1" t="s">
        <v>11</v>
      </c>
    </row>
    <row r="317" spans="1:9" x14ac:dyDescent="0.45">
      <c r="A317" s="1" t="s">
        <v>12</v>
      </c>
      <c r="B317">
        <v>161.04599999999999</v>
      </c>
      <c r="C317" s="1" t="s">
        <v>9</v>
      </c>
      <c r="D317">
        <v>0</v>
      </c>
      <c r="E317" s="1" t="s">
        <v>10</v>
      </c>
      <c r="F317">
        <v>10</v>
      </c>
      <c r="G317" s="1" t="s">
        <v>15</v>
      </c>
      <c r="H317">
        <v>1</v>
      </c>
      <c r="I317" s="1" t="s">
        <v>11</v>
      </c>
    </row>
    <row r="318" spans="1:9" x14ac:dyDescent="0.45">
      <c r="A318" s="1" t="s">
        <v>12</v>
      </c>
      <c r="B318">
        <v>161.27199999999999</v>
      </c>
      <c r="C318" s="1" t="s">
        <v>9</v>
      </c>
      <c r="D318">
        <v>0</v>
      </c>
      <c r="E318" s="1" t="s">
        <v>10</v>
      </c>
      <c r="F318">
        <v>10</v>
      </c>
      <c r="G318" s="1" t="s">
        <v>15</v>
      </c>
      <c r="H318">
        <v>1</v>
      </c>
      <c r="I318" s="1" t="s">
        <v>11</v>
      </c>
    </row>
    <row r="319" spans="1:9" x14ac:dyDescent="0.45">
      <c r="A319" s="1" t="s">
        <v>12</v>
      </c>
      <c r="B319">
        <v>161.50299999999999</v>
      </c>
      <c r="C319" s="1" t="s">
        <v>9</v>
      </c>
      <c r="D319">
        <v>0</v>
      </c>
      <c r="E319" s="1" t="s">
        <v>10</v>
      </c>
      <c r="F319">
        <v>10</v>
      </c>
      <c r="G319" s="1" t="s">
        <v>15</v>
      </c>
      <c r="H319">
        <v>1</v>
      </c>
      <c r="I319" s="1" t="s">
        <v>11</v>
      </c>
    </row>
    <row r="320" spans="1:9" x14ac:dyDescent="0.45">
      <c r="A320" s="1" t="s">
        <v>12</v>
      </c>
      <c r="B320">
        <v>161.733</v>
      </c>
      <c r="C320" s="1" t="s">
        <v>9</v>
      </c>
      <c r="D320">
        <v>0</v>
      </c>
      <c r="E320" s="1" t="s">
        <v>10</v>
      </c>
      <c r="F320">
        <v>10</v>
      </c>
      <c r="G320" s="1" t="s">
        <v>15</v>
      </c>
      <c r="H320">
        <v>1</v>
      </c>
      <c r="I320" s="1" t="s">
        <v>11</v>
      </c>
    </row>
    <row r="321" spans="1:9" x14ac:dyDescent="0.45">
      <c r="A321" s="1" t="s">
        <v>12</v>
      </c>
      <c r="B321">
        <v>161.965</v>
      </c>
      <c r="C321" s="1" t="s">
        <v>9</v>
      </c>
      <c r="D321">
        <v>0</v>
      </c>
      <c r="E321" s="1" t="s">
        <v>10</v>
      </c>
      <c r="F321">
        <v>10</v>
      </c>
      <c r="G321" s="1" t="s">
        <v>15</v>
      </c>
      <c r="H321">
        <v>1</v>
      </c>
      <c r="I321" s="1" t="s">
        <v>11</v>
      </c>
    </row>
    <row r="322" spans="1:9" x14ac:dyDescent="0.45">
      <c r="A322" s="1" t="s">
        <v>12</v>
      </c>
      <c r="B322">
        <v>162.19300000000001</v>
      </c>
      <c r="C322" s="1" t="s">
        <v>9</v>
      </c>
      <c r="D322">
        <v>0</v>
      </c>
      <c r="E322" s="1" t="s">
        <v>10</v>
      </c>
      <c r="F322">
        <v>10</v>
      </c>
      <c r="G322" s="1" t="s">
        <v>15</v>
      </c>
      <c r="H322">
        <v>1</v>
      </c>
      <c r="I322" s="1" t="s">
        <v>11</v>
      </c>
    </row>
    <row r="323" spans="1:9" x14ac:dyDescent="0.45">
      <c r="A323" s="1" t="s">
        <v>12</v>
      </c>
      <c r="B323">
        <v>162.422</v>
      </c>
      <c r="C323" s="1" t="s">
        <v>9</v>
      </c>
      <c r="D323">
        <v>0</v>
      </c>
      <c r="E323" s="1" t="s">
        <v>10</v>
      </c>
      <c r="F323">
        <v>10</v>
      </c>
      <c r="G323" s="1" t="s">
        <v>15</v>
      </c>
      <c r="H323">
        <v>1</v>
      </c>
      <c r="I323" s="1" t="s">
        <v>11</v>
      </c>
    </row>
    <row r="324" spans="1:9" x14ac:dyDescent="0.45">
      <c r="A324" s="1" t="s">
        <v>12</v>
      </c>
      <c r="B324">
        <v>162.642</v>
      </c>
      <c r="C324" s="1" t="s">
        <v>9</v>
      </c>
      <c r="D324">
        <v>0</v>
      </c>
      <c r="E324" s="1" t="s">
        <v>10</v>
      </c>
      <c r="F324">
        <v>10</v>
      </c>
      <c r="G324" s="1" t="s">
        <v>15</v>
      </c>
      <c r="H324">
        <v>1</v>
      </c>
      <c r="I324" s="1" t="s">
        <v>11</v>
      </c>
    </row>
    <row r="325" spans="1:9" x14ac:dyDescent="0.45">
      <c r="A325" s="1" t="s">
        <v>12</v>
      </c>
      <c r="B325">
        <v>162.86600000000001</v>
      </c>
      <c r="C325" s="1" t="s">
        <v>9</v>
      </c>
      <c r="D325">
        <v>0</v>
      </c>
      <c r="E325" s="1" t="s">
        <v>10</v>
      </c>
      <c r="F325">
        <v>10</v>
      </c>
      <c r="G325" s="1" t="s">
        <v>15</v>
      </c>
      <c r="H325">
        <v>1</v>
      </c>
      <c r="I325" s="1" t="s">
        <v>11</v>
      </c>
    </row>
    <row r="326" spans="1:9" x14ac:dyDescent="0.45">
      <c r="A326" s="1" t="s">
        <v>12</v>
      </c>
      <c r="B326">
        <v>164.06</v>
      </c>
      <c r="C326" s="1" t="s">
        <v>9</v>
      </c>
      <c r="D326">
        <v>0</v>
      </c>
      <c r="E326" s="1" t="s">
        <v>10</v>
      </c>
      <c r="F326">
        <v>10</v>
      </c>
      <c r="G326" s="1" t="s">
        <v>15</v>
      </c>
      <c r="H326">
        <v>1</v>
      </c>
      <c r="I326" s="1" t="s">
        <v>11</v>
      </c>
    </row>
    <row r="327" spans="1:9" x14ac:dyDescent="0.45">
      <c r="A327" s="1" t="s">
        <v>12</v>
      </c>
      <c r="B327">
        <v>164.28</v>
      </c>
      <c r="C327" s="1" t="s">
        <v>9</v>
      </c>
      <c r="D327">
        <v>0</v>
      </c>
      <c r="E327" s="1" t="s">
        <v>10</v>
      </c>
      <c r="F327">
        <v>10</v>
      </c>
      <c r="G327" s="1" t="s">
        <v>15</v>
      </c>
      <c r="H327">
        <v>1</v>
      </c>
      <c r="I327" s="1" t="s">
        <v>11</v>
      </c>
    </row>
    <row r="328" spans="1:9" x14ac:dyDescent="0.45">
      <c r="A328" s="1" t="s">
        <v>12</v>
      </c>
      <c r="B328">
        <v>164.512</v>
      </c>
      <c r="C328" s="1" t="s">
        <v>9</v>
      </c>
      <c r="D328">
        <v>0</v>
      </c>
      <c r="E328" s="1" t="s">
        <v>10</v>
      </c>
      <c r="F328">
        <v>10</v>
      </c>
      <c r="G328" s="1" t="s">
        <v>15</v>
      </c>
      <c r="H328">
        <v>1</v>
      </c>
      <c r="I328" s="1" t="s">
        <v>11</v>
      </c>
    </row>
    <row r="329" spans="1:9" x14ac:dyDescent="0.45">
      <c r="A329" s="1" t="s">
        <v>12</v>
      </c>
      <c r="B329">
        <v>165.79499999999999</v>
      </c>
      <c r="C329" s="1" t="s">
        <v>9</v>
      </c>
      <c r="D329">
        <v>0</v>
      </c>
      <c r="E329" s="1" t="s">
        <v>10</v>
      </c>
      <c r="F329">
        <v>10</v>
      </c>
      <c r="G329" s="1" t="s">
        <v>15</v>
      </c>
      <c r="H329">
        <v>1</v>
      </c>
      <c r="I329" s="1" t="s">
        <v>11</v>
      </c>
    </row>
    <row r="330" spans="1:9" x14ac:dyDescent="0.45">
      <c r="A330" s="1" t="s">
        <v>12</v>
      </c>
      <c r="B330">
        <v>166.01499999999999</v>
      </c>
      <c r="C330" s="1" t="s">
        <v>9</v>
      </c>
      <c r="D330">
        <v>0</v>
      </c>
      <c r="E330" s="1" t="s">
        <v>10</v>
      </c>
      <c r="F330">
        <v>10</v>
      </c>
      <c r="G330" s="1" t="s">
        <v>15</v>
      </c>
      <c r="H330">
        <v>1</v>
      </c>
      <c r="I330" s="1" t="s">
        <v>11</v>
      </c>
    </row>
    <row r="331" spans="1:9" x14ac:dyDescent="0.45">
      <c r="A331" s="1" t="s">
        <v>12</v>
      </c>
      <c r="B331">
        <v>166.24700000000001</v>
      </c>
      <c r="C331" s="1" t="s">
        <v>9</v>
      </c>
      <c r="D331">
        <v>0</v>
      </c>
      <c r="E331" s="1" t="s">
        <v>10</v>
      </c>
      <c r="F331">
        <v>10</v>
      </c>
      <c r="G331" s="1" t="s">
        <v>15</v>
      </c>
      <c r="H331">
        <v>1</v>
      </c>
      <c r="I331" s="1" t="s">
        <v>11</v>
      </c>
    </row>
    <row r="332" spans="1:9" x14ac:dyDescent="0.45">
      <c r="A332" s="1" t="s">
        <v>12</v>
      </c>
      <c r="B332">
        <v>167.52199999999999</v>
      </c>
      <c r="C332" s="1" t="s">
        <v>9</v>
      </c>
      <c r="D332">
        <v>0</v>
      </c>
      <c r="E332" s="1" t="s">
        <v>10</v>
      </c>
      <c r="F332">
        <v>10</v>
      </c>
      <c r="G332" s="1" t="s">
        <v>15</v>
      </c>
      <c r="H332">
        <v>1</v>
      </c>
      <c r="I332" s="1" t="s">
        <v>11</v>
      </c>
    </row>
    <row r="333" spans="1:9" x14ac:dyDescent="0.45">
      <c r="A333" s="1" t="s">
        <v>12</v>
      </c>
      <c r="B333">
        <v>167.74199999999999</v>
      </c>
      <c r="C333" s="1" t="s">
        <v>9</v>
      </c>
      <c r="D333">
        <v>0</v>
      </c>
      <c r="E333" s="1" t="s">
        <v>10</v>
      </c>
      <c r="F333">
        <v>10</v>
      </c>
      <c r="G333" s="1" t="s">
        <v>15</v>
      </c>
      <c r="H333">
        <v>1</v>
      </c>
      <c r="I333" s="1" t="s">
        <v>11</v>
      </c>
    </row>
    <row r="334" spans="1:9" x14ac:dyDescent="0.45">
      <c r="A334" s="1" t="s">
        <v>12</v>
      </c>
      <c r="B334">
        <v>167.97399999999999</v>
      </c>
      <c r="C334" s="1" t="s">
        <v>9</v>
      </c>
      <c r="D334">
        <v>0</v>
      </c>
      <c r="E334" s="1" t="s">
        <v>10</v>
      </c>
      <c r="F334">
        <v>10</v>
      </c>
      <c r="G334" s="1" t="s">
        <v>15</v>
      </c>
      <c r="H334">
        <v>1</v>
      </c>
      <c r="I334" s="1" t="s">
        <v>11</v>
      </c>
    </row>
    <row r="335" spans="1:9" x14ac:dyDescent="0.45">
      <c r="A335" s="1" t="s">
        <v>12</v>
      </c>
      <c r="B335">
        <v>169.274</v>
      </c>
      <c r="C335" s="1" t="s">
        <v>9</v>
      </c>
      <c r="D335">
        <v>0</v>
      </c>
      <c r="E335" s="1" t="s">
        <v>10</v>
      </c>
      <c r="F335">
        <v>10</v>
      </c>
      <c r="G335" s="1" t="s">
        <v>15</v>
      </c>
      <c r="H335">
        <v>1</v>
      </c>
      <c r="I335" s="1" t="s">
        <v>11</v>
      </c>
    </row>
    <row r="336" spans="1:9" x14ac:dyDescent="0.45">
      <c r="A336" s="1" t="s">
        <v>12</v>
      </c>
      <c r="B336">
        <v>169.494</v>
      </c>
      <c r="C336" s="1" t="s">
        <v>9</v>
      </c>
      <c r="D336">
        <v>0</v>
      </c>
      <c r="E336" s="1" t="s">
        <v>10</v>
      </c>
      <c r="F336">
        <v>10</v>
      </c>
      <c r="G336" s="1" t="s">
        <v>15</v>
      </c>
      <c r="H336">
        <v>1</v>
      </c>
      <c r="I336" s="1" t="s">
        <v>11</v>
      </c>
    </row>
    <row r="337" spans="1:9" x14ac:dyDescent="0.45">
      <c r="A337" s="1" t="s">
        <v>12</v>
      </c>
      <c r="B337">
        <v>169.726</v>
      </c>
      <c r="C337" s="1" t="s">
        <v>9</v>
      </c>
      <c r="D337">
        <v>0</v>
      </c>
      <c r="E337" s="1" t="s">
        <v>10</v>
      </c>
      <c r="F337">
        <v>10</v>
      </c>
      <c r="G337" s="1" t="s">
        <v>15</v>
      </c>
      <c r="H337">
        <v>1</v>
      </c>
      <c r="I337" s="1" t="s">
        <v>11</v>
      </c>
    </row>
    <row r="338" spans="1:9" x14ac:dyDescent="0.45">
      <c r="A338" s="1" t="s">
        <v>12</v>
      </c>
      <c r="B338">
        <v>170.982</v>
      </c>
      <c r="C338" s="1" t="s">
        <v>9</v>
      </c>
      <c r="D338">
        <v>0</v>
      </c>
      <c r="E338" s="1" t="s">
        <v>10</v>
      </c>
      <c r="F338">
        <v>10</v>
      </c>
      <c r="G338" s="1" t="s">
        <v>15</v>
      </c>
      <c r="H338">
        <v>1</v>
      </c>
      <c r="I338" s="1" t="s">
        <v>11</v>
      </c>
    </row>
    <row r="339" spans="1:9" x14ac:dyDescent="0.45">
      <c r="A339" s="1" t="s">
        <v>12</v>
      </c>
      <c r="B339">
        <v>171.202</v>
      </c>
      <c r="C339" s="1" t="s">
        <v>9</v>
      </c>
      <c r="D339">
        <v>0</v>
      </c>
      <c r="E339" s="1" t="s">
        <v>10</v>
      </c>
      <c r="F339">
        <v>10</v>
      </c>
      <c r="G339" s="1" t="s">
        <v>15</v>
      </c>
      <c r="H339">
        <v>1</v>
      </c>
      <c r="I339" s="1" t="s">
        <v>11</v>
      </c>
    </row>
    <row r="340" spans="1:9" x14ac:dyDescent="0.45">
      <c r="A340" s="1" t="s">
        <v>12</v>
      </c>
      <c r="B340">
        <v>171.434</v>
      </c>
      <c r="C340" s="1" t="s">
        <v>9</v>
      </c>
      <c r="D340">
        <v>0</v>
      </c>
      <c r="E340" s="1" t="s">
        <v>10</v>
      </c>
      <c r="F340">
        <v>10</v>
      </c>
      <c r="G340" s="1" t="s">
        <v>15</v>
      </c>
      <c r="H340">
        <v>1</v>
      </c>
      <c r="I340" s="1" t="s">
        <v>11</v>
      </c>
    </row>
    <row r="341" spans="1:9" x14ac:dyDescent="0.45">
      <c r="A341" s="1" t="s">
        <v>12</v>
      </c>
      <c r="B341">
        <v>172.81200000000001</v>
      </c>
      <c r="C341" s="1" t="s">
        <v>9</v>
      </c>
      <c r="D341">
        <v>0</v>
      </c>
      <c r="E341" s="1" t="s">
        <v>10</v>
      </c>
      <c r="F341">
        <v>10</v>
      </c>
      <c r="G341" s="1" t="s">
        <v>15</v>
      </c>
      <c r="H341">
        <v>1</v>
      </c>
      <c r="I341" s="1" t="s">
        <v>11</v>
      </c>
    </row>
    <row r="342" spans="1:9" x14ac:dyDescent="0.45">
      <c r="A342" s="1" t="s">
        <v>12</v>
      </c>
      <c r="B342">
        <v>173.03200000000001</v>
      </c>
      <c r="C342" s="1" t="s">
        <v>9</v>
      </c>
      <c r="D342">
        <v>0</v>
      </c>
      <c r="E342" s="1" t="s">
        <v>10</v>
      </c>
      <c r="F342">
        <v>10</v>
      </c>
      <c r="G342" s="1" t="s">
        <v>15</v>
      </c>
      <c r="H342">
        <v>1</v>
      </c>
      <c r="I342" s="1" t="s">
        <v>11</v>
      </c>
    </row>
    <row r="343" spans="1:9" x14ac:dyDescent="0.45">
      <c r="A343" s="1" t="s">
        <v>12</v>
      </c>
      <c r="B343">
        <v>173.26400000000001</v>
      </c>
      <c r="C343" s="1" t="s">
        <v>9</v>
      </c>
      <c r="D343">
        <v>0</v>
      </c>
      <c r="E343" s="1" t="s">
        <v>10</v>
      </c>
      <c r="F343">
        <v>10</v>
      </c>
      <c r="G343" s="1" t="s">
        <v>15</v>
      </c>
      <c r="H343">
        <v>1</v>
      </c>
      <c r="I343" s="1" t="s">
        <v>11</v>
      </c>
    </row>
    <row r="344" spans="1:9" x14ac:dyDescent="0.45">
      <c r="A344" s="1" t="s">
        <v>12</v>
      </c>
      <c r="B344">
        <v>174.53399999999999</v>
      </c>
      <c r="C344" s="1" t="s">
        <v>9</v>
      </c>
      <c r="D344">
        <v>0</v>
      </c>
      <c r="E344" s="1" t="s">
        <v>10</v>
      </c>
      <c r="F344">
        <v>10</v>
      </c>
      <c r="G344" s="1" t="s">
        <v>15</v>
      </c>
      <c r="H344">
        <v>1</v>
      </c>
      <c r="I344" s="1" t="s">
        <v>11</v>
      </c>
    </row>
    <row r="345" spans="1:9" x14ac:dyDescent="0.45">
      <c r="A345" s="1" t="s">
        <v>12</v>
      </c>
      <c r="B345">
        <v>174.75399999999999</v>
      </c>
      <c r="C345" s="1" t="s">
        <v>9</v>
      </c>
      <c r="D345">
        <v>0</v>
      </c>
      <c r="E345" s="1" t="s">
        <v>10</v>
      </c>
      <c r="F345">
        <v>10</v>
      </c>
      <c r="G345" s="1" t="s">
        <v>15</v>
      </c>
      <c r="H345">
        <v>1</v>
      </c>
      <c r="I345" s="1" t="s">
        <v>11</v>
      </c>
    </row>
    <row r="346" spans="1:9" x14ac:dyDescent="0.45">
      <c r="A346" s="1" t="s">
        <v>12</v>
      </c>
      <c r="B346">
        <v>174.98599999999999</v>
      </c>
      <c r="C346" s="1" t="s">
        <v>9</v>
      </c>
      <c r="D346">
        <v>0</v>
      </c>
      <c r="E346" s="1" t="s">
        <v>10</v>
      </c>
      <c r="F346">
        <v>10</v>
      </c>
      <c r="G346" s="1" t="s">
        <v>15</v>
      </c>
      <c r="H346">
        <v>1</v>
      </c>
      <c r="I346" s="1" t="s">
        <v>11</v>
      </c>
    </row>
    <row r="347" spans="1:9" x14ac:dyDescent="0.45">
      <c r="A347" s="1" t="s">
        <v>12</v>
      </c>
      <c r="B347">
        <v>176.23500000000001</v>
      </c>
      <c r="C347" s="1" t="s">
        <v>9</v>
      </c>
      <c r="D347">
        <v>0</v>
      </c>
      <c r="E347" s="1" t="s">
        <v>10</v>
      </c>
      <c r="F347">
        <v>10</v>
      </c>
      <c r="G347" s="1" t="s">
        <v>15</v>
      </c>
      <c r="H347">
        <v>1</v>
      </c>
      <c r="I347" s="1" t="s">
        <v>11</v>
      </c>
    </row>
    <row r="348" spans="1:9" x14ac:dyDescent="0.45">
      <c r="A348" s="1" t="s">
        <v>12</v>
      </c>
      <c r="B348">
        <v>176.45500000000001</v>
      </c>
      <c r="C348" s="1" t="s">
        <v>9</v>
      </c>
      <c r="D348">
        <v>0</v>
      </c>
      <c r="E348" s="1" t="s">
        <v>10</v>
      </c>
      <c r="F348">
        <v>10</v>
      </c>
      <c r="G348" s="1" t="s">
        <v>15</v>
      </c>
      <c r="H348">
        <v>1</v>
      </c>
      <c r="I348" s="1" t="s">
        <v>11</v>
      </c>
    </row>
    <row r="349" spans="1:9" x14ac:dyDescent="0.45">
      <c r="A349" s="1" t="s">
        <v>12</v>
      </c>
      <c r="B349">
        <v>176.68700000000001</v>
      </c>
      <c r="C349" s="1" t="s">
        <v>9</v>
      </c>
      <c r="D349">
        <v>0</v>
      </c>
      <c r="E349" s="1" t="s">
        <v>10</v>
      </c>
      <c r="F349">
        <v>10</v>
      </c>
      <c r="G349" s="1" t="s">
        <v>15</v>
      </c>
      <c r="H349">
        <v>1</v>
      </c>
      <c r="I349" s="1" t="s">
        <v>11</v>
      </c>
    </row>
    <row r="350" spans="1:9" x14ac:dyDescent="0.45">
      <c r="A350" s="1" t="s">
        <v>12</v>
      </c>
      <c r="B350">
        <v>177.97</v>
      </c>
      <c r="C350" s="1" t="s">
        <v>9</v>
      </c>
      <c r="D350">
        <v>0</v>
      </c>
      <c r="E350" s="1" t="s">
        <v>10</v>
      </c>
      <c r="F350">
        <v>10</v>
      </c>
      <c r="G350" s="1" t="s">
        <v>15</v>
      </c>
      <c r="H350">
        <v>1</v>
      </c>
      <c r="I350" s="1" t="s">
        <v>11</v>
      </c>
    </row>
    <row r="351" spans="1:9" x14ac:dyDescent="0.45">
      <c r="A351" s="1" t="s">
        <v>12</v>
      </c>
      <c r="B351">
        <v>178.19</v>
      </c>
      <c r="C351" s="1" t="s">
        <v>9</v>
      </c>
      <c r="D351">
        <v>0</v>
      </c>
      <c r="E351" s="1" t="s">
        <v>10</v>
      </c>
      <c r="F351">
        <v>10</v>
      </c>
      <c r="G351" s="1" t="s">
        <v>15</v>
      </c>
      <c r="H351">
        <v>1</v>
      </c>
      <c r="I351" s="1" t="s">
        <v>11</v>
      </c>
    </row>
    <row r="352" spans="1:9" x14ac:dyDescent="0.45">
      <c r="A352" s="1" t="s">
        <v>12</v>
      </c>
      <c r="B352">
        <v>178.423</v>
      </c>
      <c r="C352" s="1" t="s">
        <v>9</v>
      </c>
      <c r="D352">
        <v>0</v>
      </c>
      <c r="E352" s="1" t="s">
        <v>10</v>
      </c>
      <c r="F352">
        <v>10</v>
      </c>
      <c r="G352" s="1" t="s">
        <v>15</v>
      </c>
      <c r="H352">
        <v>1</v>
      </c>
      <c r="I352" s="1" t="s">
        <v>11</v>
      </c>
    </row>
    <row r="353" spans="1:9" x14ac:dyDescent="0.45">
      <c r="A353" s="1" t="s">
        <v>12</v>
      </c>
      <c r="B353">
        <v>179.697</v>
      </c>
      <c r="C353" s="1" t="s">
        <v>9</v>
      </c>
      <c r="D353">
        <v>0</v>
      </c>
      <c r="E353" s="1" t="s">
        <v>10</v>
      </c>
      <c r="F353">
        <v>10</v>
      </c>
      <c r="G353" s="1" t="s">
        <v>15</v>
      </c>
      <c r="H353">
        <v>1</v>
      </c>
      <c r="I353" s="1" t="s">
        <v>11</v>
      </c>
    </row>
    <row r="354" spans="1:9" x14ac:dyDescent="0.45">
      <c r="A354" s="1" t="s">
        <v>12</v>
      </c>
      <c r="B354">
        <v>179.917</v>
      </c>
      <c r="C354" s="1" t="s">
        <v>9</v>
      </c>
      <c r="D354">
        <v>0</v>
      </c>
      <c r="E354" s="1" t="s">
        <v>10</v>
      </c>
      <c r="F354">
        <v>10</v>
      </c>
      <c r="G354" s="1" t="s">
        <v>15</v>
      </c>
      <c r="H354">
        <v>1</v>
      </c>
      <c r="I354" s="1" t="s">
        <v>11</v>
      </c>
    </row>
    <row r="355" spans="1:9" x14ac:dyDescent="0.45">
      <c r="A355" s="1" t="s">
        <v>12</v>
      </c>
      <c r="B355">
        <v>180.149</v>
      </c>
      <c r="C355" s="1" t="s">
        <v>9</v>
      </c>
      <c r="D355">
        <v>0</v>
      </c>
      <c r="E355" s="1" t="s">
        <v>10</v>
      </c>
      <c r="F355">
        <v>10</v>
      </c>
      <c r="G355" s="1" t="s">
        <v>15</v>
      </c>
      <c r="H355">
        <v>1</v>
      </c>
      <c r="I355" s="1" t="s">
        <v>11</v>
      </c>
    </row>
    <row r="356" spans="1:9" x14ac:dyDescent="0.45">
      <c r="A356" s="1" t="s">
        <v>12</v>
      </c>
      <c r="B356">
        <v>181.47900000000001</v>
      </c>
      <c r="C356" s="1" t="s">
        <v>9</v>
      </c>
      <c r="D356">
        <v>0</v>
      </c>
      <c r="E356" s="1" t="s">
        <v>10</v>
      </c>
      <c r="F356">
        <v>10</v>
      </c>
      <c r="G356" s="1" t="s">
        <v>15</v>
      </c>
      <c r="H356">
        <v>1</v>
      </c>
      <c r="I356" s="1" t="s">
        <v>11</v>
      </c>
    </row>
    <row r="357" spans="1:9" x14ac:dyDescent="0.45">
      <c r="A357" s="1" t="s">
        <v>12</v>
      </c>
      <c r="B357">
        <v>181.7</v>
      </c>
      <c r="C357" s="1" t="s">
        <v>9</v>
      </c>
      <c r="D357">
        <v>0</v>
      </c>
      <c r="E357" s="1" t="s">
        <v>10</v>
      </c>
      <c r="F357">
        <v>10</v>
      </c>
      <c r="G357" s="1" t="s">
        <v>15</v>
      </c>
      <c r="H357">
        <v>1</v>
      </c>
      <c r="I357" s="1" t="s">
        <v>11</v>
      </c>
    </row>
    <row r="358" spans="1:9" x14ac:dyDescent="0.45">
      <c r="A358" s="1" t="s">
        <v>12</v>
      </c>
      <c r="B358">
        <v>181.93100000000001</v>
      </c>
      <c r="C358" s="1" t="s">
        <v>9</v>
      </c>
      <c r="D358">
        <v>0</v>
      </c>
      <c r="E358" s="1" t="s">
        <v>10</v>
      </c>
      <c r="F358">
        <v>10</v>
      </c>
      <c r="G358" s="1" t="s">
        <v>15</v>
      </c>
      <c r="H358">
        <v>1</v>
      </c>
      <c r="I358" s="1" t="s">
        <v>11</v>
      </c>
    </row>
    <row r="359" spans="1:9" x14ac:dyDescent="0.45">
      <c r="A359" s="1" t="s">
        <v>12</v>
      </c>
      <c r="B359">
        <v>183.18700000000001</v>
      </c>
      <c r="C359" s="1" t="s">
        <v>9</v>
      </c>
      <c r="D359">
        <v>0</v>
      </c>
      <c r="E359" s="1" t="s">
        <v>10</v>
      </c>
      <c r="F359">
        <v>10</v>
      </c>
      <c r="G359" s="1" t="s">
        <v>15</v>
      </c>
      <c r="H359">
        <v>1</v>
      </c>
      <c r="I359" s="1" t="s">
        <v>11</v>
      </c>
    </row>
    <row r="360" spans="1:9" x14ac:dyDescent="0.45">
      <c r="A360" s="1" t="s">
        <v>12</v>
      </c>
      <c r="B360">
        <v>183.40700000000001</v>
      </c>
      <c r="C360" s="1" t="s">
        <v>9</v>
      </c>
      <c r="D360">
        <v>0</v>
      </c>
      <c r="E360" s="1" t="s">
        <v>10</v>
      </c>
      <c r="F360">
        <v>10</v>
      </c>
      <c r="G360" s="1" t="s">
        <v>15</v>
      </c>
      <c r="H360">
        <v>1</v>
      </c>
      <c r="I360" s="1" t="s">
        <v>11</v>
      </c>
    </row>
    <row r="361" spans="1:9" x14ac:dyDescent="0.45">
      <c r="A361" s="1" t="s">
        <v>12</v>
      </c>
      <c r="B361">
        <v>183.63900000000001</v>
      </c>
      <c r="C361" s="1" t="s">
        <v>9</v>
      </c>
      <c r="D361">
        <v>0</v>
      </c>
      <c r="E361" s="1" t="s">
        <v>10</v>
      </c>
      <c r="F361">
        <v>10</v>
      </c>
      <c r="G361" s="1" t="s">
        <v>15</v>
      </c>
      <c r="H361">
        <v>1</v>
      </c>
      <c r="I361" s="1" t="s">
        <v>11</v>
      </c>
    </row>
    <row r="362" spans="1:9" x14ac:dyDescent="0.45">
      <c r="A362" s="1" t="s">
        <v>12</v>
      </c>
      <c r="B362">
        <v>185.017</v>
      </c>
      <c r="C362" s="1" t="s">
        <v>9</v>
      </c>
      <c r="D362">
        <v>0</v>
      </c>
      <c r="E362" s="1" t="s">
        <v>10</v>
      </c>
      <c r="F362">
        <v>10</v>
      </c>
      <c r="G362" s="1" t="s">
        <v>15</v>
      </c>
      <c r="H362">
        <v>1</v>
      </c>
      <c r="I362" s="1" t="s">
        <v>11</v>
      </c>
    </row>
    <row r="363" spans="1:9" x14ac:dyDescent="0.45">
      <c r="A363" s="1" t="s">
        <v>12</v>
      </c>
      <c r="B363">
        <v>185.23699999999999</v>
      </c>
      <c r="C363" s="1" t="s">
        <v>9</v>
      </c>
      <c r="D363">
        <v>0</v>
      </c>
      <c r="E363" s="1" t="s">
        <v>10</v>
      </c>
      <c r="F363">
        <v>10</v>
      </c>
      <c r="G363" s="1" t="s">
        <v>15</v>
      </c>
      <c r="H363">
        <v>1</v>
      </c>
      <c r="I363" s="1" t="s">
        <v>11</v>
      </c>
    </row>
    <row r="364" spans="1:9" x14ac:dyDescent="0.45">
      <c r="A364" s="1" t="s">
        <v>12</v>
      </c>
      <c r="B364">
        <v>185.46899999999999</v>
      </c>
      <c r="C364" s="1" t="s">
        <v>9</v>
      </c>
      <c r="D364">
        <v>0</v>
      </c>
      <c r="E364" s="1" t="s">
        <v>10</v>
      </c>
      <c r="F364">
        <v>10</v>
      </c>
      <c r="G364" s="1" t="s">
        <v>15</v>
      </c>
      <c r="H364">
        <v>1</v>
      </c>
      <c r="I364" s="1" t="s">
        <v>11</v>
      </c>
    </row>
    <row r="365" spans="1:9" x14ac:dyDescent="0.45">
      <c r="A365" s="1" t="s">
        <v>12</v>
      </c>
      <c r="B365">
        <v>186.739</v>
      </c>
      <c r="C365" s="1" t="s">
        <v>9</v>
      </c>
      <c r="D365">
        <v>0</v>
      </c>
      <c r="E365" s="1" t="s">
        <v>10</v>
      </c>
      <c r="F365">
        <v>10</v>
      </c>
      <c r="G365" s="1" t="s">
        <v>15</v>
      </c>
      <c r="H365">
        <v>1</v>
      </c>
      <c r="I365" s="1" t="s">
        <v>11</v>
      </c>
    </row>
    <row r="366" spans="1:9" x14ac:dyDescent="0.45">
      <c r="A366" s="1" t="s">
        <v>12</v>
      </c>
      <c r="B366">
        <v>186.959</v>
      </c>
      <c r="C366" s="1" t="s">
        <v>9</v>
      </c>
      <c r="D366">
        <v>0</v>
      </c>
      <c r="E366" s="1" t="s">
        <v>10</v>
      </c>
      <c r="F366">
        <v>10</v>
      </c>
      <c r="G366" s="1" t="s">
        <v>15</v>
      </c>
      <c r="H366">
        <v>1</v>
      </c>
      <c r="I366" s="1" t="s">
        <v>11</v>
      </c>
    </row>
    <row r="367" spans="1:9" x14ac:dyDescent="0.45">
      <c r="A367" s="1" t="s">
        <v>12</v>
      </c>
      <c r="B367">
        <v>187.191</v>
      </c>
      <c r="C367" s="1" t="s">
        <v>9</v>
      </c>
      <c r="D367">
        <v>0</v>
      </c>
      <c r="E367" s="1" t="s">
        <v>10</v>
      </c>
      <c r="F367">
        <v>10</v>
      </c>
      <c r="G367" s="1" t="s">
        <v>15</v>
      </c>
      <c r="H367">
        <v>1</v>
      </c>
      <c r="I367" s="1" t="s">
        <v>11</v>
      </c>
    </row>
    <row r="368" spans="1:9" x14ac:dyDescent="0.45">
      <c r="A368" s="1" t="s">
        <v>12</v>
      </c>
      <c r="B368">
        <v>188.43600000000001</v>
      </c>
      <c r="C368" s="1" t="s">
        <v>9</v>
      </c>
      <c r="D368">
        <v>0</v>
      </c>
      <c r="E368" s="1" t="s">
        <v>10</v>
      </c>
      <c r="F368">
        <v>10</v>
      </c>
      <c r="G368" s="1" t="s">
        <v>15</v>
      </c>
      <c r="H368">
        <v>1</v>
      </c>
      <c r="I368" s="1" t="s">
        <v>11</v>
      </c>
    </row>
    <row r="369" spans="1:9" x14ac:dyDescent="0.45">
      <c r="A369" s="1" t="s">
        <v>12</v>
      </c>
      <c r="B369">
        <v>188.65600000000001</v>
      </c>
      <c r="C369" s="1" t="s">
        <v>9</v>
      </c>
      <c r="D369">
        <v>0</v>
      </c>
      <c r="E369" s="1" t="s">
        <v>10</v>
      </c>
      <c r="F369">
        <v>10</v>
      </c>
      <c r="G369" s="1" t="s">
        <v>15</v>
      </c>
      <c r="H369">
        <v>1</v>
      </c>
      <c r="I369" s="1" t="s">
        <v>11</v>
      </c>
    </row>
    <row r="370" spans="1:9" x14ac:dyDescent="0.45">
      <c r="A370" s="1" t="s">
        <v>12</v>
      </c>
      <c r="B370">
        <v>188.88800000000001</v>
      </c>
      <c r="C370" s="1" t="s">
        <v>9</v>
      </c>
      <c r="D370">
        <v>0</v>
      </c>
      <c r="E370" s="1" t="s">
        <v>10</v>
      </c>
      <c r="F370">
        <v>10</v>
      </c>
      <c r="G370" s="1" t="s">
        <v>15</v>
      </c>
      <c r="H370">
        <v>1</v>
      </c>
      <c r="I370" s="1" t="s">
        <v>11</v>
      </c>
    </row>
    <row r="371" spans="1:9" x14ac:dyDescent="0.45">
      <c r="A371" s="1" t="s">
        <v>12</v>
      </c>
      <c r="B371">
        <v>190.26599999999999</v>
      </c>
      <c r="C371" s="1" t="s">
        <v>9</v>
      </c>
      <c r="D371">
        <v>0</v>
      </c>
      <c r="E371" s="1" t="s">
        <v>10</v>
      </c>
      <c r="F371">
        <v>10</v>
      </c>
      <c r="G371" s="1" t="s">
        <v>15</v>
      </c>
      <c r="H371">
        <v>1</v>
      </c>
      <c r="I371" s="1" t="s">
        <v>11</v>
      </c>
    </row>
    <row r="372" spans="1:9" x14ac:dyDescent="0.45">
      <c r="A372" s="1" t="s">
        <v>12</v>
      </c>
      <c r="B372">
        <v>190.48599999999999</v>
      </c>
      <c r="C372" s="1" t="s">
        <v>9</v>
      </c>
      <c r="D372">
        <v>0</v>
      </c>
      <c r="E372" s="1" t="s">
        <v>10</v>
      </c>
      <c r="F372">
        <v>10</v>
      </c>
      <c r="G372" s="1" t="s">
        <v>15</v>
      </c>
      <c r="H372">
        <v>1</v>
      </c>
      <c r="I372" s="1" t="s">
        <v>11</v>
      </c>
    </row>
    <row r="373" spans="1:9" x14ac:dyDescent="0.45">
      <c r="A373" s="1" t="s">
        <v>12</v>
      </c>
      <c r="B373">
        <v>190.71799999999999</v>
      </c>
      <c r="C373" s="1" t="s">
        <v>9</v>
      </c>
      <c r="D373">
        <v>0</v>
      </c>
      <c r="E373" s="1" t="s">
        <v>10</v>
      </c>
      <c r="F373">
        <v>10</v>
      </c>
      <c r="G373" s="1" t="s">
        <v>15</v>
      </c>
      <c r="H373">
        <v>1</v>
      </c>
      <c r="I373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1ADC-C13C-4685-9F53-00CF3E133A50}">
  <dimension ref="A1:O614"/>
  <sheetViews>
    <sheetView tabSelected="1" topLeftCell="G579" workbookViewId="0">
      <selection activeCell="M579" sqref="M1:M1048576"/>
    </sheetView>
  </sheetViews>
  <sheetFormatPr defaultRowHeight="14.25" x14ac:dyDescent="0.45"/>
  <cols>
    <col min="1" max="1" width="17.53125" bestFit="1" customWidth="1"/>
    <col min="2" max="2" width="17.53125" customWidth="1"/>
    <col min="3" max="3" width="14.46484375" customWidth="1"/>
    <col min="4" max="4" width="17.53125" customWidth="1"/>
    <col min="5" max="5" width="1.86328125" customWidth="1"/>
    <col min="6" max="6" width="13.9296875" customWidth="1"/>
    <col min="7" max="7" width="6.86328125" customWidth="1"/>
    <col min="8" max="8" width="11.33203125" customWidth="1"/>
    <col min="9" max="9" width="11.73046875" bestFit="1" customWidth="1"/>
    <col min="10" max="10" width="11.73046875" customWidth="1"/>
    <col min="11" max="11" width="1.796875" style="7" customWidth="1"/>
    <col min="13" max="13" width="31.796875" customWidth="1"/>
    <col min="15" max="15" width="49.06640625" customWidth="1"/>
  </cols>
  <sheetData>
    <row r="1" spans="1:15" x14ac:dyDescent="0.45">
      <c r="A1" t="s">
        <v>0</v>
      </c>
      <c r="B1" t="s">
        <v>1115</v>
      </c>
      <c r="C1" t="s">
        <v>1114</v>
      </c>
      <c r="D1" t="s">
        <v>1113</v>
      </c>
      <c r="E1" t="s">
        <v>1112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5" x14ac:dyDescent="0.45">
      <c r="A2" s="1" t="s">
        <v>1109</v>
      </c>
      <c r="B2" s="1">
        <f t="shared" ref="B2:B65" si="0">VALUE(C2)</f>
        <v>10</v>
      </c>
      <c r="C2" s="1" t="str">
        <f t="shared" ref="C2:C65" si="1">SUBSTITUTE(D2,"""","")</f>
        <v>10.000</v>
      </c>
      <c r="D2" s="1" t="str">
        <f t="shared" ref="D2:D65" si="2">LEFT(F2,7)</f>
        <v>10.000"</v>
      </c>
      <c r="E2" s="1" t="str">
        <f>RIGHT(chitar__3[[#This Row],[Column1.2]],LEN(chitar__3[[#This Row],[Column1.2]])-7)</f>
        <v xml:space="preserve"> chordId="6" &gt;&lt;chordNote time="</v>
      </c>
      <c r="F2" s="1" t="s">
        <v>1110</v>
      </c>
      <c r="G2" s="1" t="s">
        <v>1111</v>
      </c>
      <c r="H2" s="1"/>
      <c r="I2" s="1"/>
      <c r="J2" s="1"/>
      <c r="L2" s="2" t="s">
        <v>1116</v>
      </c>
      <c r="M2" s="3" t="str">
        <f>L2&amp;"time="""&amp;N2&amp;RIGHT(O2,LEN(O2)-6)</f>
        <v>&lt;note time="10.000" string="1" fret="3" /&gt;</v>
      </c>
      <c r="N2" s="8" t="str">
        <f>chitar__3[[#This Row],[Column1.14]]</f>
        <v>10.000</v>
      </c>
      <c r="O2" s="4" t="s">
        <v>1117</v>
      </c>
    </row>
    <row r="3" spans="1:15" x14ac:dyDescent="0.45">
      <c r="A3" s="1" t="s">
        <v>388</v>
      </c>
      <c r="B3" s="1">
        <f t="shared" si="0"/>
        <v>10.24</v>
      </c>
      <c r="C3" s="1" t="str">
        <f t="shared" si="1"/>
        <v>10.240</v>
      </c>
      <c r="D3" s="1" t="str">
        <f t="shared" si="2"/>
        <v>10.240"</v>
      </c>
      <c r="E3" s="1" t="str">
        <f>RIGHT(chitar__3[[#This Row],[Column1.2]],LEN(chitar__3[[#This Row],[Column1.2]])-7)</f>
        <v xml:space="preserve"> chordId="6" highDensity="1" &gt;&lt;chordNote </v>
      </c>
      <c r="F3" s="1" t="s">
        <v>389</v>
      </c>
      <c r="G3" s="1" t="s">
        <v>629</v>
      </c>
      <c r="H3" s="1" t="s">
        <v>630</v>
      </c>
      <c r="I3" s="1"/>
      <c r="J3" s="1"/>
      <c r="L3" s="5" t="s">
        <v>16</v>
      </c>
      <c r="M3" s="3" t="str">
        <f t="shared" ref="M3:M66" si="3">L3&amp;"time="""&amp;N3&amp;RIGHT(O3,LEN(O3)-6)</f>
        <v xml:space="preserve">        &lt;note time="10.240" string="1" fret="3" /&gt;</v>
      </c>
      <c r="N3" s="8" t="str">
        <f>chitar__3[[#This Row],[Column1.14]]</f>
        <v>10.240</v>
      </c>
      <c r="O3" s="6" t="s">
        <v>1118</v>
      </c>
    </row>
    <row r="4" spans="1:15" x14ac:dyDescent="0.45">
      <c r="A4" s="1" t="s">
        <v>388</v>
      </c>
      <c r="B4" s="1">
        <f t="shared" si="0"/>
        <v>10.46</v>
      </c>
      <c r="C4" s="1" t="str">
        <f t="shared" si="1"/>
        <v>10.460</v>
      </c>
      <c r="D4" s="1" t="str">
        <f t="shared" si="2"/>
        <v>10.460"</v>
      </c>
      <c r="E4" s="1" t="str">
        <f>RIGHT(chitar__3[[#This Row],[Column1.2]],LEN(chitar__3[[#This Row],[Column1.2]])-7)</f>
        <v xml:space="preserve"> chordId="7" &gt;&lt;chordNote </v>
      </c>
      <c r="F4" s="1" t="s">
        <v>390</v>
      </c>
      <c r="G4" s="1" t="s">
        <v>631</v>
      </c>
      <c r="H4" s="1" t="s">
        <v>632</v>
      </c>
      <c r="I4" s="1"/>
      <c r="J4" s="1"/>
      <c r="L4" s="2" t="s">
        <v>16</v>
      </c>
      <c r="M4" s="3" t="str">
        <f t="shared" si="3"/>
        <v xml:space="preserve">        &lt;note time="10.460" string="1" fret="5" sustain="3" /&gt;</v>
      </c>
      <c r="N4" s="8" t="str">
        <f>chitar__3[[#This Row],[Column1.14]]</f>
        <v>10.460</v>
      </c>
      <c r="O4" s="4" t="s">
        <v>1793</v>
      </c>
    </row>
    <row r="5" spans="1:15" x14ac:dyDescent="0.45">
      <c r="A5" s="1" t="s">
        <v>388</v>
      </c>
      <c r="B5" s="1">
        <f t="shared" si="0"/>
        <v>13.42</v>
      </c>
      <c r="C5" s="1" t="str">
        <f t="shared" si="1"/>
        <v>13.420</v>
      </c>
      <c r="D5" s="1" t="str">
        <f t="shared" si="2"/>
        <v>13.420"</v>
      </c>
      <c r="E5" s="1" t="str">
        <f>RIGHT(chitar__3[[#This Row],[Column1.2]],LEN(chitar__3[[#This Row],[Column1.2]])-7)</f>
        <v xml:space="preserve"> chordId="6" &gt;&lt;chordNote </v>
      </c>
      <c r="F5" s="1" t="s">
        <v>391</v>
      </c>
      <c r="G5" s="1" t="s">
        <v>633</v>
      </c>
      <c r="H5" s="1" t="s">
        <v>634</v>
      </c>
      <c r="I5" s="1"/>
      <c r="J5" s="1"/>
      <c r="L5" s="5" t="s">
        <v>16</v>
      </c>
      <c r="M5" s="3" t="str">
        <f t="shared" si="3"/>
        <v xml:space="preserve">        &lt;note time="13.420" string="1" fret="3" /&gt;</v>
      </c>
      <c r="N5" s="8" t="str">
        <f>chitar__3[[#This Row],[Column1.14]]</f>
        <v>13.420</v>
      </c>
      <c r="O5" s="6" t="s">
        <v>1120</v>
      </c>
    </row>
    <row r="6" spans="1:15" x14ac:dyDescent="0.45">
      <c r="A6" s="1" t="s">
        <v>388</v>
      </c>
      <c r="B6" s="1">
        <f t="shared" si="0"/>
        <v>13.67</v>
      </c>
      <c r="C6" s="1" t="str">
        <f t="shared" si="1"/>
        <v>13.670</v>
      </c>
      <c r="D6" s="1" t="str">
        <f t="shared" si="2"/>
        <v>13.670"</v>
      </c>
      <c r="E6" s="1" t="str">
        <f>RIGHT(chitar__3[[#This Row],[Column1.2]],LEN(chitar__3[[#This Row],[Column1.2]])-7)</f>
        <v xml:space="preserve"> chordId="6" highDensity="1" &gt;&lt;chordNote </v>
      </c>
      <c r="F6" s="1" t="s">
        <v>392</v>
      </c>
      <c r="G6" s="1" t="s">
        <v>635</v>
      </c>
      <c r="H6" s="1" t="s">
        <v>636</v>
      </c>
      <c r="I6" s="1"/>
      <c r="J6" s="1"/>
      <c r="L6" s="2" t="s">
        <v>16</v>
      </c>
      <c r="M6" s="3" t="str">
        <f t="shared" si="3"/>
        <v xml:space="preserve">        &lt;note time="13.670" string="1" fret="3" /&gt;</v>
      </c>
      <c r="N6" s="8" t="str">
        <f>chitar__3[[#This Row],[Column1.14]]</f>
        <v>13.670</v>
      </c>
      <c r="O6" s="4" t="s">
        <v>1121</v>
      </c>
    </row>
    <row r="7" spans="1:15" x14ac:dyDescent="0.45">
      <c r="A7" s="1" t="s">
        <v>388</v>
      </c>
      <c r="B7" s="1">
        <f t="shared" si="0"/>
        <v>13.92</v>
      </c>
      <c r="C7" s="1" t="str">
        <f t="shared" si="1"/>
        <v>13.920</v>
      </c>
      <c r="D7" s="1" t="str">
        <f t="shared" si="2"/>
        <v>13.920"</v>
      </c>
      <c r="E7" s="1" t="str">
        <f>RIGHT(chitar__3[[#This Row],[Column1.2]],LEN(chitar__3[[#This Row],[Column1.2]])-7)</f>
        <v xml:space="preserve"> chordId="7" highDensity="1" &gt;&lt;chordNote </v>
      </c>
      <c r="F7" s="1" t="s">
        <v>393</v>
      </c>
      <c r="G7" s="1" t="s">
        <v>637</v>
      </c>
      <c r="H7" s="1" t="s">
        <v>638</v>
      </c>
      <c r="I7" s="1"/>
      <c r="J7" s="1"/>
      <c r="L7" s="5" t="s">
        <v>16</v>
      </c>
      <c r="M7" s="3" t="str">
        <f t="shared" si="3"/>
        <v xml:space="preserve">        &lt;note time="13.920" string="1" fret="5" sustain="3" /&gt;</v>
      </c>
      <c r="N7" s="8" t="str">
        <f>chitar__3[[#This Row],[Column1.14]]</f>
        <v>13.920</v>
      </c>
      <c r="O7" s="6" t="s">
        <v>1794</v>
      </c>
    </row>
    <row r="8" spans="1:15" x14ac:dyDescent="0.45">
      <c r="A8" s="1" t="s">
        <v>388</v>
      </c>
      <c r="B8" s="1">
        <f t="shared" si="0"/>
        <v>16.899999999999999</v>
      </c>
      <c r="C8" s="1" t="str">
        <f t="shared" si="1"/>
        <v>16.900</v>
      </c>
      <c r="D8" s="1" t="str">
        <f t="shared" si="2"/>
        <v>16.900"</v>
      </c>
      <c r="E8" s="1" t="str">
        <f>RIGHT(chitar__3[[#This Row],[Column1.2]],LEN(chitar__3[[#This Row],[Column1.2]])-7)</f>
        <v xml:space="preserve"> chordId="6" &gt;&lt;chordNote </v>
      </c>
      <c r="F8" s="1" t="s">
        <v>394</v>
      </c>
      <c r="G8" s="1" t="s">
        <v>639</v>
      </c>
      <c r="H8" s="1" t="s">
        <v>640</v>
      </c>
      <c r="I8" s="1"/>
      <c r="J8" s="1"/>
      <c r="L8" s="2" t="s">
        <v>16</v>
      </c>
      <c r="M8" s="3" t="str">
        <f t="shared" si="3"/>
        <v xml:space="preserve">        &lt;note time="16.900" string="1" fret="3" /&gt;</v>
      </c>
      <c r="N8" s="8" t="str">
        <f>chitar__3[[#This Row],[Column1.14]]</f>
        <v>16.900</v>
      </c>
      <c r="O8" s="4" t="s">
        <v>1123</v>
      </c>
    </row>
    <row r="9" spans="1:15" x14ac:dyDescent="0.45">
      <c r="A9" s="1" t="s">
        <v>388</v>
      </c>
      <c r="B9" s="1">
        <f t="shared" si="0"/>
        <v>17.149999999999999</v>
      </c>
      <c r="C9" s="1" t="str">
        <f t="shared" si="1"/>
        <v>17.150</v>
      </c>
      <c r="D9" s="1" t="str">
        <f t="shared" si="2"/>
        <v>17.150"</v>
      </c>
      <c r="E9" s="1" t="str">
        <f>RIGHT(chitar__3[[#This Row],[Column1.2]],LEN(chitar__3[[#This Row],[Column1.2]])-7)</f>
        <v xml:space="preserve"> chordId="6" highDensity="1" &gt;&lt;chordNote </v>
      </c>
      <c r="F9" s="1" t="s">
        <v>395</v>
      </c>
      <c r="G9" s="1" t="s">
        <v>641</v>
      </c>
      <c r="H9" s="1" t="s">
        <v>642</v>
      </c>
      <c r="I9" s="1"/>
      <c r="J9" s="1"/>
      <c r="L9" s="5" t="s">
        <v>16</v>
      </c>
      <c r="M9" s="3" t="str">
        <f t="shared" si="3"/>
        <v xml:space="preserve">        &lt;note time="17.150" string="1" fret="3" /&gt;</v>
      </c>
      <c r="N9" s="8" t="str">
        <f>chitar__3[[#This Row],[Column1.14]]</f>
        <v>17.150</v>
      </c>
      <c r="O9" s="6" t="s">
        <v>1124</v>
      </c>
    </row>
    <row r="10" spans="1:15" x14ac:dyDescent="0.45">
      <c r="A10" s="1" t="s">
        <v>388</v>
      </c>
      <c r="B10" s="1">
        <f t="shared" si="0"/>
        <v>17.38</v>
      </c>
      <c r="C10" s="1" t="str">
        <f t="shared" si="1"/>
        <v>17.380</v>
      </c>
      <c r="D10" s="1" t="str">
        <f t="shared" si="2"/>
        <v>17.380"</v>
      </c>
      <c r="E10" s="1" t="str">
        <f>RIGHT(chitar__3[[#This Row],[Column1.2]],LEN(chitar__3[[#This Row],[Column1.2]])-7)</f>
        <v xml:space="preserve"> chordId="7" &gt;&lt;chordNote </v>
      </c>
      <c r="F10" s="1" t="s">
        <v>396</v>
      </c>
      <c r="G10" s="1" t="s">
        <v>643</v>
      </c>
      <c r="H10" s="1" t="s">
        <v>644</v>
      </c>
      <c r="I10" s="1"/>
      <c r="J10" s="1"/>
      <c r="L10" s="2" t="s">
        <v>16</v>
      </c>
      <c r="M10" s="3" t="str">
        <f t="shared" si="3"/>
        <v xml:space="preserve">        &lt;note time="17.380" string="1" fret="5" sustain="3" /&gt;</v>
      </c>
      <c r="N10" s="8" t="str">
        <f>chitar__3[[#This Row],[Column1.14]]</f>
        <v>17.380</v>
      </c>
      <c r="O10" s="4" t="s">
        <v>1795</v>
      </c>
    </row>
    <row r="11" spans="1:15" x14ac:dyDescent="0.45">
      <c r="A11" s="1" t="s">
        <v>388</v>
      </c>
      <c r="B11" s="1">
        <f t="shared" si="0"/>
        <v>20.45</v>
      </c>
      <c r="C11" s="1" t="str">
        <f t="shared" si="1"/>
        <v>20.450</v>
      </c>
      <c r="D11" s="1" t="str">
        <f t="shared" si="2"/>
        <v>20.450"</v>
      </c>
      <c r="E11" s="1" t="str">
        <f>RIGHT(chitar__3[[#This Row],[Column1.2]],LEN(chitar__3[[#This Row],[Column1.2]])-7)</f>
        <v xml:space="preserve"> chordId="6" &gt;&lt;chordNote </v>
      </c>
      <c r="F11" s="1" t="s">
        <v>397</v>
      </c>
      <c r="G11" s="1" t="s">
        <v>645</v>
      </c>
      <c r="H11" s="1" t="s">
        <v>646</v>
      </c>
      <c r="I11" s="1"/>
      <c r="J11" s="1"/>
      <c r="L11" s="5" t="s">
        <v>16</v>
      </c>
      <c r="M11" s="3" t="str">
        <f t="shared" si="3"/>
        <v xml:space="preserve">        &lt;note time="20.450" string="1" fret="3" /&gt;</v>
      </c>
      <c r="N11" s="8" t="str">
        <f>chitar__3[[#This Row],[Column1.14]]</f>
        <v>20.450</v>
      </c>
      <c r="O11" s="6" t="s">
        <v>1126</v>
      </c>
    </row>
    <row r="12" spans="1:15" x14ac:dyDescent="0.45">
      <c r="A12" s="1" t="s">
        <v>388</v>
      </c>
      <c r="B12" s="1">
        <f t="shared" si="0"/>
        <v>20.67</v>
      </c>
      <c r="C12" s="1" t="str">
        <f t="shared" si="1"/>
        <v>20.670</v>
      </c>
      <c r="D12" s="1" t="str">
        <f t="shared" si="2"/>
        <v>20.670"</v>
      </c>
      <c r="E12" s="1" t="str">
        <f>RIGHT(chitar__3[[#This Row],[Column1.2]],LEN(chitar__3[[#This Row],[Column1.2]])-7)</f>
        <v xml:space="preserve"> chordId="6" highDensity="1" &gt;&lt;chordNote </v>
      </c>
      <c r="F12" s="1" t="s">
        <v>398</v>
      </c>
      <c r="G12" s="1" t="s">
        <v>647</v>
      </c>
      <c r="H12" s="1" t="s">
        <v>648</v>
      </c>
      <c r="I12" s="1"/>
      <c r="J12" s="1"/>
      <c r="L12" s="2" t="s">
        <v>16</v>
      </c>
      <c r="M12" s="3" t="str">
        <f t="shared" si="3"/>
        <v xml:space="preserve">        &lt;note time="20.670" string="1" fret="3" /&gt;</v>
      </c>
      <c r="N12" s="8" t="str">
        <f>chitar__3[[#This Row],[Column1.14]]</f>
        <v>20.670</v>
      </c>
      <c r="O12" s="4" t="s">
        <v>1127</v>
      </c>
    </row>
    <row r="13" spans="1:15" x14ac:dyDescent="0.45">
      <c r="A13" s="1" t="s">
        <v>388</v>
      </c>
      <c r="B13" s="1">
        <f t="shared" si="0"/>
        <v>20.863</v>
      </c>
      <c r="C13" s="1" t="str">
        <f t="shared" si="1"/>
        <v>20.863</v>
      </c>
      <c r="D13" s="1" t="str">
        <f t="shared" si="2"/>
        <v>20.863"</v>
      </c>
      <c r="E13" s="1" t="str">
        <f>RIGHT(chitar__3[[#This Row],[Column1.2]],LEN(chitar__3[[#This Row],[Column1.2]])-7)</f>
        <v xml:space="preserve"> chordId="7" &gt;&lt;chordNote </v>
      </c>
      <c r="F13" s="1" t="s">
        <v>399</v>
      </c>
      <c r="G13" s="1" t="s">
        <v>649</v>
      </c>
      <c r="H13" s="1" t="s">
        <v>650</v>
      </c>
      <c r="I13" s="1"/>
      <c r="J13" s="1"/>
      <c r="L13" s="5" t="s">
        <v>16</v>
      </c>
      <c r="M13" s="3" t="str">
        <f t="shared" si="3"/>
        <v xml:space="preserve">        &lt;note time="20.863" string="1" fret="5" sustain="3" /&gt;</v>
      </c>
      <c r="N13" s="8" t="str">
        <f>chitar__3[[#This Row],[Column1.14]]</f>
        <v>20.863</v>
      </c>
      <c r="O13" s="6" t="s">
        <v>1796</v>
      </c>
    </row>
    <row r="14" spans="1:15" x14ac:dyDescent="0.45">
      <c r="A14" s="1" t="s">
        <v>388</v>
      </c>
      <c r="B14" s="1">
        <f t="shared" si="0"/>
        <v>23.89</v>
      </c>
      <c r="C14" s="1" t="str">
        <f t="shared" si="1"/>
        <v>23.890</v>
      </c>
      <c r="D14" s="1" t="str">
        <f t="shared" si="2"/>
        <v>23.890"</v>
      </c>
      <c r="E14" s="1" t="str">
        <f>RIGHT(chitar__3[[#This Row],[Column1.2]],LEN(chitar__3[[#This Row],[Column1.2]])-7)</f>
        <v xml:space="preserve"> chordId="6" &gt;&lt;chordNote </v>
      </c>
      <c r="F14" s="1" t="s">
        <v>400</v>
      </c>
      <c r="G14" s="1" t="s">
        <v>651</v>
      </c>
      <c r="H14" s="1" t="s">
        <v>652</v>
      </c>
      <c r="I14" s="1"/>
      <c r="J14" s="1"/>
      <c r="L14" s="2" t="s">
        <v>16</v>
      </c>
      <c r="M14" s="3" t="str">
        <f t="shared" si="3"/>
        <v xml:space="preserve">        &lt;note time="23.890" string="1" fret="3" /&gt;</v>
      </c>
      <c r="N14" s="8" t="str">
        <f>chitar__3[[#This Row],[Column1.14]]</f>
        <v>23.890</v>
      </c>
      <c r="O14" s="4" t="s">
        <v>1129</v>
      </c>
    </row>
    <row r="15" spans="1:15" x14ac:dyDescent="0.45">
      <c r="A15" s="1" t="s">
        <v>388</v>
      </c>
      <c r="B15" s="1">
        <f t="shared" si="0"/>
        <v>24.14</v>
      </c>
      <c r="C15" s="1" t="str">
        <f t="shared" si="1"/>
        <v>24.140</v>
      </c>
      <c r="D15" s="1" t="str">
        <f t="shared" si="2"/>
        <v>24.140"</v>
      </c>
      <c r="E15" s="1" t="str">
        <f>RIGHT(chitar__3[[#This Row],[Column1.2]],LEN(chitar__3[[#This Row],[Column1.2]])-7)</f>
        <v xml:space="preserve"> chordId="6" highDensity="1" &gt;&lt;chordNote </v>
      </c>
      <c r="F15" s="1" t="s">
        <v>401</v>
      </c>
      <c r="G15" s="1" t="s">
        <v>653</v>
      </c>
      <c r="H15" s="1" t="s">
        <v>654</v>
      </c>
      <c r="I15" s="1"/>
      <c r="J15" s="1"/>
      <c r="L15" s="5" t="s">
        <v>16</v>
      </c>
      <c r="M15" s="3" t="str">
        <f t="shared" si="3"/>
        <v xml:space="preserve">        &lt;note time="24.140" string="1" fret="3" /&gt;</v>
      </c>
      <c r="N15" s="8" t="str">
        <f>chitar__3[[#This Row],[Column1.14]]</f>
        <v>24.140</v>
      </c>
      <c r="O15" s="6" t="s">
        <v>1130</v>
      </c>
    </row>
    <row r="16" spans="1:15" x14ac:dyDescent="0.45">
      <c r="A16" s="1" t="s">
        <v>388</v>
      </c>
      <c r="B16" s="1">
        <f t="shared" si="0"/>
        <v>24.37</v>
      </c>
      <c r="C16" s="1" t="str">
        <f t="shared" si="1"/>
        <v>24.370</v>
      </c>
      <c r="D16" s="1" t="str">
        <f t="shared" si="2"/>
        <v>24.370"</v>
      </c>
      <c r="E16" s="1" t="str">
        <f>RIGHT(chitar__3[[#This Row],[Column1.2]],LEN(chitar__3[[#This Row],[Column1.2]])-7)</f>
        <v xml:space="preserve"> chordId="7" &gt;&lt;chordNote </v>
      </c>
      <c r="F16" s="1" t="s">
        <v>402</v>
      </c>
      <c r="G16" s="1" t="s">
        <v>655</v>
      </c>
      <c r="H16" s="1" t="s">
        <v>656</v>
      </c>
      <c r="I16" s="1"/>
      <c r="J16" s="1"/>
      <c r="L16" s="2" t="s">
        <v>16</v>
      </c>
      <c r="M16" s="3" t="str">
        <f t="shared" si="3"/>
        <v xml:space="preserve">        &lt;note time="24.370" string="1" fret="5" sustain="0.21" /&gt;</v>
      </c>
      <c r="N16" s="8" t="str">
        <f>chitar__3[[#This Row],[Column1.14]]</f>
        <v>24.370</v>
      </c>
      <c r="O16" s="4" t="s">
        <v>1728</v>
      </c>
    </row>
    <row r="17" spans="1:15" x14ac:dyDescent="0.45">
      <c r="A17" s="1" t="s">
        <v>388</v>
      </c>
      <c r="B17" s="1">
        <f t="shared" si="0"/>
        <v>24.84</v>
      </c>
      <c r="C17" s="1" t="str">
        <f t="shared" si="1"/>
        <v>24.840</v>
      </c>
      <c r="D17" s="1" t="str">
        <f t="shared" si="2"/>
        <v>24.840"</v>
      </c>
      <c r="E17" s="1" t="str">
        <f>RIGHT(chitar__3[[#This Row],[Column1.2]],LEN(chitar__3[[#This Row],[Column1.2]])-7)</f>
        <v xml:space="preserve"> chordId="7" highDensity="1" &gt;&lt;chordNote </v>
      </c>
      <c r="F17" s="1" t="s">
        <v>403</v>
      </c>
      <c r="G17" s="1" t="s">
        <v>657</v>
      </c>
      <c r="H17" s="1" t="s">
        <v>658</v>
      </c>
      <c r="I17" s="1"/>
      <c r="J17" s="1"/>
      <c r="L17" s="5" t="s">
        <v>16</v>
      </c>
      <c r="M17" s="3" t="str">
        <f t="shared" si="3"/>
        <v xml:space="preserve">        &lt;note time="24.840" string="1" fret="5" /&gt;</v>
      </c>
      <c r="N17" s="8" t="str">
        <f>chitar__3[[#This Row],[Column1.14]]</f>
        <v>24.840</v>
      </c>
      <c r="O17" s="6" t="s">
        <v>1132</v>
      </c>
    </row>
    <row r="18" spans="1:15" x14ac:dyDescent="0.45">
      <c r="A18" s="1" t="s">
        <v>16</v>
      </c>
      <c r="B18" s="1">
        <f t="shared" si="0"/>
        <v>25.08</v>
      </c>
      <c r="C18" s="1" t="str">
        <f t="shared" si="1"/>
        <v>25.080</v>
      </c>
      <c r="D18" s="1" t="str">
        <f t="shared" si="2"/>
        <v>25.080"</v>
      </c>
      <c r="E18" s="1" t="str">
        <f>RIGHT(chitar__3[[#This Row],[Column1.2]],LEN(chitar__3[[#This Row],[Column1.2]])-7)</f>
        <v xml:space="preserve"> string="0" fret="10" palmMute="1" /&gt;</v>
      </c>
      <c r="F18" s="1" t="s">
        <v>17</v>
      </c>
      <c r="G18" s="1"/>
      <c r="H18" s="1"/>
      <c r="I18" s="1"/>
      <c r="J18" s="1"/>
      <c r="L18" s="2" t="s">
        <v>16</v>
      </c>
      <c r="M18" s="3" t="str">
        <f t="shared" si="3"/>
        <v xml:space="preserve">        &lt;note time="25.080" string="1" fret="5" /&gt;</v>
      </c>
      <c r="N18" s="8" t="str">
        <f>chitar__3[[#This Row],[Column1.14]]</f>
        <v>25.080</v>
      </c>
      <c r="O18" s="4" t="s">
        <v>1133</v>
      </c>
    </row>
    <row r="19" spans="1:15" x14ac:dyDescent="0.45">
      <c r="A19" s="1" t="s">
        <v>16</v>
      </c>
      <c r="B19" s="1">
        <f t="shared" si="0"/>
        <v>25.32</v>
      </c>
      <c r="C19" s="1" t="str">
        <f t="shared" si="1"/>
        <v>25.320</v>
      </c>
      <c r="D19" s="1" t="str">
        <f t="shared" si="2"/>
        <v>25.320"</v>
      </c>
      <c r="E19" s="1" t="str">
        <f>RIGHT(chitar__3[[#This Row],[Column1.2]],LEN(chitar__3[[#This Row],[Column1.2]])-7)</f>
        <v xml:space="preserve"> string="0" fret="10" palmMute="1" /&gt;</v>
      </c>
      <c r="F19" s="1" t="s">
        <v>18</v>
      </c>
      <c r="G19" s="1"/>
      <c r="H19" s="1"/>
      <c r="I19" s="1"/>
      <c r="J19" s="1"/>
      <c r="L19" s="5" t="s">
        <v>16</v>
      </c>
      <c r="M19" s="3" t="str">
        <f t="shared" si="3"/>
        <v xml:space="preserve">        &lt;note time="25.320" string="1" fret="5" /&gt;</v>
      </c>
      <c r="N19" s="8" t="str">
        <f>chitar__3[[#This Row],[Column1.14]]</f>
        <v>25.320</v>
      </c>
      <c r="O19" s="6" t="s">
        <v>1134</v>
      </c>
    </row>
    <row r="20" spans="1:15" x14ac:dyDescent="0.45">
      <c r="A20" s="1" t="s">
        <v>16</v>
      </c>
      <c r="B20" s="1">
        <f t="shared" si="0"/>
        <v>25.56</v>
      </c>
      <c r="C20" s="1" t="str">
        <f t="shared" si="1"/>
        <v>25.560</v>
      </c>
      <c r="D20" s="1" t="str">
        <f t="shared" si="2"/>
        <v>25.560"</v>
      </c>
      <c r="E20" s="1" t="str">
        <f>RIGHT(chitar__3[[#This Row],[Column1.2]],LEN(chitar__3[[#This Row],[Column1.2]])-7)</f>
        <v xml:space="preserve"> string="0" fret="10" palmMute="1" /&gt;</v>
      </c>
      <c r="F20" s="1" t="s">
        <v>19</v>
      </c>
      <c r="G20" s="1"/>
      <c r="H20" s="1"/>
      <c r="I20" s="1"/>
      <c r="J20" s="1"/>
      <c r="L20" s="2" t="s">
        <v>16</v>
      </c>
      <c r="M20" s="3" t="str">
        <f t="shared" si="3"/>
        <v xml:space="preserve">        &lt;note time="25.560" string="1" fret="5" /&gt;</v>
      </c>
      <c r="N20" s="8" t="str">
        <f>chitar__3[[#This Row],[Column1.14]]</f>
        <v>25.560</v>
      </c>
      <c r="O20" s="4" t="s">
        <v>1135</v>
      </c>
    </row>
    <row r="21" spans="1:15" x14ac:dyDescent="0.45">
      <c r="A21" s="1" t="s">
        <v>388</v>
      </c>
      <c r="B21" s="1">
        <f t="shared" si="0"/>
        <v>25.7</v>
      </c>
      <c r="C21" s="1" t="str">
        <f t="shared" si="1"/>
        <v>25.700</v>
      </c>
      <c r="D21" s="1" t="str">
        <f t="shared" si="2"/>
        <v>25.700"</v>
      </c>
      <c r="E21" s="1" t="str">
        <f>RIGHT(chitar__3[[#This Row],[Column1.2]],LEN(chitar__3[[#This Row],[Column1.2]])-7)</f>
        <v xml:space="preserve"> chordId="4" &gt;&lt;chordNote </v>
      </c>
      <c r="F21" s="1" t="s">
        <v>404</v>
      </c>
      <c r="G21" s="1" t="s">
        <v>659</v>
      </c>
      <c r="H21" s="1" t="s">
        <v>660</v>
      </c>
      <c r="I21" s="1"/>
      <c r="J21" s="1"/>
      <c r="L21" s="5" t="s">
        <v>16</v>
      </c>
      <c r="M21" s="3" t="str">
        <f t="shared" si="3"/>
        <v xml:space="preserve">        &lt;note time="25.700" string="2" fret="5" /&gt;</v>
      </c>
      <c r="N21" s="8" t="str">
        <f>chitar__3[[#This Row],[Column1.14]]</f>
        <v>25.700</v>
      </c>
      <c r="O21" s="6" t="s">
        <v>1136</v>
      </c>
    </row>
    <row r="22" spans="1:15" x14ac:dyDescent="0.45">
      <c r="A22" s="1" t="s">
        <v>388</v>
      </c>
      <c r="B22" s="1">
        <f t="shared" si="0"/>
        <v>26.09</v>
      </c>
      <c r="C22" s="1" t="str">
        <f t="shared" si="1"/>
        <v>26.090</v>
      </c>
      <c r="D22" s="1" t="str">
        <f t="shared" si="2"/>
        <v>26.090"</v>
      </c>
      <c r="E22" s="1" t="str">
        <f>RIGHT(chitar__3[[#This Row],[Column1.2]],LEN(chitar__3[[#This Row],[Column1.2]])-7)</f>
        <v xml:space="preserve"> chordId="5" &gt;&lt;chordNote </v>
      </c>
      <c r="F22" s="1" t="s">
        <v>405</v>
      </c>
      <c r="G22" s="1" t="s">
        <v>661</v>
      </c>
      <c r="H22" s="1" t="s">
        <v>662</v>
      </c>
      <c r="I22" s="1"/>
      <c r="J22" s="1"/>
      <c r="L22" s="2" t="s">
        <v>16</v>
      </c>
      <c r="M22" s="3" t="str">
        <f t="shared" si="3"/>
        <v xml:space="preserve">        &lt;note time="26.090" string="2" fret="3" sustain="0.21" /&gt;</v>
      </c>
      <c r="N22" s="8" t="str">
        <f>chitar__3[[#This Row],[Column1.14]]</f>
        <v>26.090</v>
      </c>
      <c r="O22" s="4" t="s">
        <v>1729</v>
      </c>
    </row>
    <row r="23" spans="1:15" x14ac:dyDescent="0.45">
      <c r="A23" s="1" t="s">
        <v>388</v>
      </c>
      <c r="B23" s="1">
        <f t="shared" si="0"/>
        <v>26.54</v>
      </c>
      <c r="C23" s="1" t="str">
        <f t="shared" si="1"/>
        <v>26.540</v>
      </c>
      <c r="D23" s="1" t="str">
        <f t="shared" si="2"/>
        <v>26.540"</v>
      </c>
      <c r="E23" s="1" t="str">
        <f>RIGHT(chitar__3[[#This Row],[Column1.2]],LEN(chitar__3[[#This Row],[Column1.2]])-7)</f>
        <v xml:space="preserve"> chordId="7" &gt;&lt;chordNote </v>
      </c>
      <c r="F23" s="1" t="s">
        <v>406</v>
      </c>
      <c r="G23" s="1" t="s">
        <v>663</v>
      </c>
      <c r="H23" s="1" t="s">
        <v>664</v>
      </c>
      <c r="I23" s="1"/>
      <c r="J23" s="1"/>
      <c r="L23" s="5" t="s">
        <v>16</v>
      </c>
      <c r="M23" s="3" t="str">
        <f t="shared" si="3"/>
        <v xml:space="preserve">        &lt;note time="26.540" string="1" fret="5" /&gt;</v>
      </c>
      <c r="N23" s="8" t="str">
        <f>chitar__3[[#This Row],[Column1.14]]</f>
        <v>26.540</v>
      </c>
      <c r="O23" s="6" t="s">
        <v>1138</v>
      </c>
    </row>
    <row r="24" spans="1:15" x14ac:dyDescent="0.45">
      <c r="A24" s="1" t="s">
        <v>16</v>
      </c>
      <c r="B24" s="1">
        <f t="shared" si="0"/>
        <v>26.78</v>
      </c>
      <c r="C24" s="1" t="str">
        <f t="shared" si="1"/>
        <v>26.780</v>
      </c>
      <c r="D24" s="1" t="str">
        <f t="shared" si="2"/>
        <v>26.780"</v>
      </c>
      <c r="E24" s="1" t="str">
        <f>RIGHT(chitar__3[[#This Row],[Column1.2]],LEN(chitar__3[[#This Row],[Column1.2]])-7)</f>
        <v xml:space="preserve"> string="0" fret="10" palmMute="1" /&gt;</v>
      </c>
      <c r="F24" s="1" t="s">
        <v>20</v>
      </c>
      <c r="G24" s="1"/>
      <c r="H24" s="1"/>
      <c r="I24" s="1"/>
      <c r="J24" s="1"/>
      <c r="L24" s="2" t="s">
        <v>16</v>
      </c>
      <c r="M24" s="3" t="str">
        <f t="shared" si="3"/>
        <v xml:space="preserve">        &lt;note time="26.780" string="1" fret="5" /&gt;</v>
      </c>
      <c r="N24" s="8" t="str">
        <f>chitar__3[[#This Row],[Column1.14]]</f>
        <v>26.780</v>
      </c>
      <c r="O24" s="4" t="s">
        <v>1139</v>
      </c>
    </row>
    <row r="25" spans="1:15" x14ac:dyDescent="0.45">
      <c r="A25" s="1" t="s">
        <v>16</v>
      </c>
      <c r="B25" s="1">
        <f t="shared" si="0"/>
        <v>27.02</v>
      </c>
      <c r="C25" s="1" t="str">
        <f t="shared" si="1"/>
        <v>27.020</v>
      </c>
      <c r="D25" s="1" t="str">
        <f t="shared" si="2"/>
        <v>27.020"</v>
      </c>
      <c r="E25" s="1" t="str">
        <f>RIGHT(chitar__3[[#This Row],[Column1.2]],LEN(chitar__3[[#This Row],[Column1.2]])-7)</f>
        <v xml:space="preserve"> string="0" fret="10" palmMute="1" /&gt;</v>
      </c>
      <c r="F25" s="1" t="s">
        <v>21</v>
      </c>
      <c r="G25" s="1"/>
      <c r="H25" s="1"/>
      <c r="I25" s="1"/>
      <c r="J25" s="1"/>
      <c r="L25" s="5" t="s">
        <v>16</v>
      </c>
      <c r="M25" s="3" t="str">
        <f t="shared" si="3"/>
        <v xml:space="preserve">        &lt;note time="27.020" string="1" fret="5" /&gt;</v>
      </c>
      <c r="N25" s="8" t="str">
        <f>chitar__3[[#This Row],[Column1.14]]</f>
        <v>27.020</v>
      </c>
      <c r="O25" s="6" t="s">
        <v>1140</v>
      </c>
    </row>
    <row r="26" spans="1:15" x14ac:dyDescent="0.45">
      <c r="A26" s="1" t="s">
        <v>16</v>
      </c>
      <c r="B26" s="1">
        <f t="shared" si="0"/>
        <v>27.26</v>
      </c>
      <c r="C26" s="1" t="str">
        <f t="shared" si="1"/>
        <v>27.260</v>
      </c>
      <c r="D26" s="1" t="str">
        <f t="shared" si="2"/>
        <v>27.260"</v>
      </c>
      <c r="E26" s="1" t="str">
        <f>RIGHT(chitar__3[[#This Row],[Column1.2]],LEN(chitar__3[[#This Row],[Column1.2]])-7)</f>
        <v xml:space="preserve"> string="0" fret="10" palmMute="1" /&gt;</v>
      </c>
      <c r="F26" s="1" t="s">
        <v>22</v>
      </c>
      <c r="G26" s="1"/>
      <c r="H26" s="1"/>
      <c r="I26" s="1"/>
      <c r="J26" s="1"/>
      <c r="L26" s="2" t="s">
        <v>16</v>
      </c>
      <c r="M26" s="3" t="str">
        <f t="shared" si="3"/>
        <v xml:space="preserve">        &lt;note time="27.260" string="1" fret="5" /&gt;</v>
      </c>
      <c r="N26" s="8" t="str">
        <f>chitar__3[[#This Row],[Column1.14]]</f>
        <v>27.260</v>
      </c>
      <c r="O26" s="4" t="s">
        <v>1141</v>
      </c>
    </row>
    <row r="27" spans="1:15" x14ac:dyDescent="0.45">
      <c r="A27" s="1" t="s">
        <v>388</v>
      </c>
      <c r="B27" s="1">
        <f t="shared" si="0"/>
        <v>27.370999999999999</v>
      </c>
      <c r="C27" s="1" t="str">
        <f t="shared" si="1"/>
        <v>27.371</v>
      </c>
      <c r="D27" s="1" t="str">
        <f t="shared" si="2"/>
        <v>27.371"</v>
      </c>
      <c r="E27" s="1" t="str">
        <f>RIGHT(chitar__3[[#This Row],[Column1.2]],LEN(chitar__3[[#This Row],[Column1.2]])-7)</f>
        <v xml:space="preserve"> chordId="4" &gt;&lt;chordNote </v>
      </c>
      <c r="F27" s="1" t="s">
        <v>407</v>
      </c>
      <c r="G27" s="1" t="s">
        <v>665</v>
      </c>
      <c r="H27" s="1" t="s">
        <v>666</v>
      </c>
      <c r="I27" s="1"/>
      <c r="J27" s="1"/>
      <c r="L27" s="5" t="s">
        <v>16</v>
      </c>
      <c r="M27" s="3" t="str">
        <f t="shared" si="3"/>
        <v xml:space="preserve">        &lt;note time="27.371" string="2" fret="5" /&gt;</v>
      </c>
      <c r="N27" s="8" t="str">
        <f>chitar__3[[#This Row],[Column1.14]]</f>
        <v>27.371</v>
      </c>
      <c r="O27" s="6" t="s">
        <v>1142</v>
      </c>
    </row>
    <row r="28" spans="1:15" x14ac:dyDescent="0.45">
      <c r="A28" s="1" t="s">
        <v>388</v>
      </c>
      <c r="B28" s="1">
        <f t="shared" si="0"/>
        <v>27.76</v>
      </c>
      <c r="C28" s="1" t="str">
        <f t="shared" si="1"/>
        <v>27.760</v>
      </c>
      <c r="D28" s="1" t="str">
        <f t="shared" si="2"/>
        <v>27.760"</v>
      </c>
      <c r="E28" s="1" t="str">
        <f>RIGHT(chitar__3[[#This Row],[Column1.2]],LEN(chitar__3[[#This Row],[Column1.2]])-7)</f>
        <v xml:space="preserve"> chordId="5" &gt;&lt;chordNote </v>
      </c>
      <c r="F28" s="1" t="s">
        <v>408</v>
      </c>
      <c r="G28" s="1" t="s">
        <v>667</v>
      </c>
      <c r="H28" s="1" t="s">
        <v>668</v>
      </c>
      <c r="I28" s="1"/>
      <c r="J28" s="1"/>
      <c r="L28" s="2" t="s">
        <v>16</v>
      </c>
      <c r="M28" s="3" t="str">
        <f t="shared" si="3"/>
        <v xml:space="preserve">        &lt;note time="27.760" string="2" fret="3" sustain="0.21" /&gt;</v>
      </c>
      <c r="N28" s="8" t="str">
        <f>chitar__3[[#This Row],[Column1.14]]</f>
        <v>27.760</v>
      </c>
      <c r="O28" s="4" t="s">
        <v>1730</v>
      </c>
    </row>
    <row r="29" spans="1:15" x14ac:dyDescent="0.45">
      <c r="A29" s="1" t="s">
        <v>388</v>
      </c>
      <c r="B29" s="1">
        <f t="shared" si="0"/>
        <v>28.210999999999999</v>
      </c>
      <c r="C29" s="1" t="str">
        <f t="shared" si="1"/>
        <v>28.211</v>
      </c>
      <c r="D29" s="1" t="str">
        <f t="shared" si="2"/>
        <v>28.211"</v>
      </c>
      <c r="E29" s="1" t="str">
        <f>RIGHT(chitar__3[[#This Row],[Column1.2]],LEN(chitar__3[[#This Row],[Column1.2]])-7)</f>
        <v xml:space="preserve"> chordId="7" &gt;&lt;chordNote </v>
      </c>
      <c r="F29" s="1" t="s">
        <v>409</v>
      </c>
      <c r="G29" s="1" t="s">
        <v>669</v>
      </c>
      <c r="H29" s="1" t="s">
        <v>670</v>
      </c>
      <c r="I29" s="1"/>
      <c r="J29" s="1"/>
      <c r="L29" s="5" t="s">
        <v>16</v>
      </c>
      <c r="M29" s="3" t="str">
        <f t="shared" si="3"/>
        <v xml:space="preserve">        &lt;note time="28.211" string="1" fret="5" /&gt;</v>
      </c>
      <c r="N29" s="8" t="str">
        <f>chitar__3[[#This Row],[Column1.14]]</f>
        <v>28.211</v>
      </c>
      <c r="O29" s="6" t="s">
        <v>1144</v>
      </c>
    </row>
    <row r="30" spans="1:15" x14ac:dyDescent="0.45">
      <c r="A30" s="1" t="s">
        <v>16</v>
      </c>
      <c r="B30" s="1">
        <f t="shared" si="0"/>
        <v>28.451000000000001</v>
      </c>
      <c r="C30" s="1" t="str">
        <f t="shared" si="1"/>
        <v>28.451</v>
      </c>
      <c r="D30" s="1" t="str">
        <f t="shared" si="2"/>
        <v>28.451"</v>
      </c>
      <c r="E30" s="1" t="str">
        <f>RIGHT(chitar__3[[#This Row],[Column1.2]],LEN(chitar__3[[#This Row],[Column1.2]])-7)</f>
        <v xml:space="preserve"> string="0" fret="10" palmMute="1" /&gt;</v>
      </c>
      <c r="F30" s="1" t="s">
        <v>23</v>
      </c>
      <c r="G30" s="1"/>
      <c r="H30" s="1"/>
      <c r="I30" s="1"/>
      <c r="J30" s="1"/>
      <c r="L30" s="2" t="s">
        <v>16</v>
      </c>
      <c r="M30" s="3" t="str">
        <f t="shared" si="3"/>
        <v xml:space="preserve">        &lt;note time="28.451" string="1" fret="5" /&gt;</v>
      </c>
      <c r="N30" s="8" t="str">
        <f>chitar__3[[#This Row],[Column1.14]]</f>
        <v>28.451</v>
      </c>
      <c r="O30" s="4" t="s">
        <v>1145</v>
      </c>
    </row>
    <row r="31" spans="1:15" x14ac:dyDescent="0.45">
      <c r="A31" s="1" t="s">
        <v>16</v>
      </c>
      <c r="B31" s="1">
        <f t="shared" si="0"/>
        <v>28.690999999999999</v>
      </c>
      <c r="C31" s="1" t="str">
        <f t="shared" si="1"/>
        <v>28.691</v>
      </c>
      <c r="D31" s="1" t="str">
        <f t="shared" si="2"/>
        <v>28.691"</v>
      </c>
      <c r="E31" s="1" t="str">
        <f>RIGHT(chitar__3[[#This Row],[Column1.2]],LEN(chitar__3[[#This Row],[Column1.2]])-7)</f>
        <v xml:space="preserve"> string="0" fret="10" palmMute="1" /&gt;</v>
      </c>
      <c r="F31" s="1" t="s">
        <v>24</v>
      </c>
      <c r="G31" s="1"/>
      <c r="H31" s="1"/>
      <c r="I31" s="1"/>
      <c r="J31" s="1"/>
      <c r="L31" s="5" t="s">
        <v>16</v>
      </c>
      <c r="M31" s="3" t="str">
        <f t="shared" si="3"/>
        <v xml:space="preserve">        &lt;note time="28.691" string="1" fret="5" /&gt;</v>
      </c>
      <c r="N31" s="8" t="str">
        <f>chitar__3[[#This Row],[Column1.14]]</f>
        <v>28.691</v>
      </c>
      <c r="O31" s="6" t="s">
        <v>1146</v>
      </c>
    </row>
    <row r="32" spans="1:15" x14ac:dyDescent="0.45">
      <c r="A32" s="1" t="s">
        <v>16</v>
      </c>
      <c r="B32" s="1">
        <f t="shared" si="0"/>
        <v>28.931000000000001</v>
      </c>
      <c r="C32" s="1" t="str">
        <f t="shared" si="1"/>
        <v>28.931</v>
      </c>
      <c r="D32" s="1" t="str">
        <f t="shared" si="2"/>
        <v>28.931"</v>
      </c>
      <c r="E32" s="1" t="str">
        <f>RIGHT(chitar__3[[#This Row],[Column1.2]],LEN(chitar__3[[#This Row],[Column1.2]])-7)</f>
        <v xml:space="preserve"> string="0" fret="10" palmMute="1" /&gt;</v>
      </c>
      <c r="F32" s="1" t="s">
        <v>25</v>
      </c>
      <c r="G32" s="1"/>
      <c r="H32" s="1"/>
      <c r="I32" s="1"/>
      <c r="J32" s="1"/>
      <c r="L32" s="2" t="s">
        <v>16</v>
      </c>
      <c r="M32" s="3" t="str">
        <f t="shared" si="3"/>
        <v xml:space="preserve">        &lt;note time="28.931" string="1" fret="5" /&gt;</v>
      </c>
      <c r="N32" s="8" t="str">
        <f>chitar__3[[#This Row],[Column1.14]]</f>
        <v>28.931</v>
      </c>
      <c r="O32" s="4" t="s">
        <v>1147</v>
      </c>
    </row>
    <row r="33" spans="1:15" x14ac:dyDescent="0.45">
      <c r="A33" s="1" t="s">
        <v>388</v>
      </c>
      <c r="B33" s="1">
        <f t="shared" si="0"/>
        <v>29.132000000000001</v>
      </c>
      <c r="C33" s="1" t="str">
        <f t="shared" si="1"/>
        <v>29.132</v>
      </c>
      <c r="D33" s="1" t="str">
        <f t="shared" si="2"/>
        <v>29.132"</v>
      </c>
      <c r="E33" s="1" t="str">
        <f>RIGHT(chitar__3[[#This Row],[Column1.2]],LEN(chitar__3[[#This Row],[Column1.2]])-7)</f>
        <v xml:space="preserve"> chordId="4" &gt;&lt;chordNote </v>
      </c>
      <c r="F33" s="1" t="s">
        <v>410</v>
      </c>
      <c r="G33" s="1" t="s">
        <v>671</v>
      </c>
      <c r="H33" s="1" t="s">
        <v>672</v>
      </c>
      <c r="I33" s="1"/>
      <c r="J33" s="1"/>
      <c r="L33" s="5" t="s">
        <v>16</v>
      </c>
      <c r="M33" s="3" t="str">
        <f t="shared" si="3"/>
        <v xml:space="preserve">        &lt;note time="29.132" string="2" fret="5" /&gt;</v>
      </c>
      <c r="N33" s="8" t="str">
        <f>chitar__3[[#This Row],[Column1.14]]</f>
        <v>29.132</v>
      </c>
      <c r="O33" s="6" t="s">
        <v>1148</v>
      </c>
    </row>
    <row r="34" spans="1:15" x14ac:dyDescent="0.45">
      <c r="A34" s="1" t="s">
        <v>388</v>
      </c>
      <c r="B34" s="1">
        <f t="shared" si="0"/>
        <v>29.521999999999998</v>
      </c>
      <c r="C34" s="1" t="str">
        <f t="shared" si="1"/>
        <v>29.522</v>
      </c>
      <c r="D34" s="1" t="str">
        <f t="shared" si="2"/>
        <v>29.522"</v>
      </c>
      <c r="E34" s="1" t="str">
        <f>RIGHT(chitar__3[[#This Row],[Column1.2]],LEN(chitar__3[[#This Row],[Column1.2]])-7)</f>
        <v xml:space="preserve"> chordId="5" &gt;&lt;chordNote </v>
      </c>
      <c r="F34" s="1" t="s">
        <v>411</v>
      </c>
      <c r="G34" s="1" t="s">
        <v>673</v>
      </c>
      <c r="H34" s="1" t="s">
        <v>674</v>
      </c>
      <c r="I34" s="1"/>
      <c r="J34" s="1"/>
      <c r="L34" s="2" t="s">
        <v>16</v>
      </c>
      <c r="M34" s="3" t="str">
        <f t="shared" si="3"/>
        <v xml:space="preserve">        &lt;note time="29.522" string="2" fret="3" sustain="0.21" /&gt;</v>
      </c>
      <c r="N34" s="8" t="str">
        <f>chitar__3[[#This Row],[Column1.14]]</f>
        <v>29.522</v>
      </c>
      <c r="O34" s="4" t="s">
        <v>1731</v>
      </c>
    </row>
    <row r="35" spans="1:15" x14ac:dyDescent="0.45">
      <c r="A35" s="1" t="s">
        <v>388</v>
      </c>
      <c r="B35" s="1">
        <f t="shared" si="0"/>
        <v>29.972000000000001</v>
      </c>
      <c r="C35" s="1" t="str">
        <f t="shared" si="1"/>
        <v>29.972</v>
      </c>
      <c r="D35" s="1" t="str">
        <f t="shared" si="2"/>
        <v>29.972"</v>
      </c>
      <c r="E35" s="1" t="str">
        <f>RIGHT(chitar__3[[#This Row],[Column1.2]],LEN(chitar__3[[#This Row],[Column1.2]])-7)</f>
        <v xml:space="preserve"> chordId="7" &gt;&lt;chordNote </v>
      </c>
      <c r="F35" s="1" t="s">
        <v>412</v>
      </c>
      <c r="G35" s="1" t="s">
        <v>675</v>
      </c>
      <c r="H35" s="1" t="s">
        <v>676</v>
      </c>
      <c r="I35" s="1"/>
      <c r="J35" s="1"/>
      <c r="L35" s="5" t="s">
        <v>16</v>
      </c>
      <c r="M35" s="3" t="str">
        <f t="shared" si="3"/>
        <v xml:space="preserve">        &lt;note time="29.972" string="1" fret="5" /&gt;</v>
      </c>
      <c r="N35" s="8" t="str">
        <f>chitar__3[[#This Row],[Column1.14]]</f>
        <v>29.972</v>
      </c>
      <c r="O35" s="6" t="s">
        <v>1150</v>
      </c>
    </row>
    <row r="36" spans="1:15" x14ac:dyDescent="0.45">
      <c r="A36" s="1" t="s">
        <v>16</v>
      </c>
      <c r="B36" s="1">
        <f t="shared" si="0"/>
        <v>30.212</v>
      </c>
      <c r="C36" s="1" t="str">
        <f t="shared" si="1"/>
        <v>30.212</v>
      </c>
      <c r="D36" s="1" t="str">
        <f t="shared" si="2"/>
        <v>30.212"</v>
      </c>
      <c r="E36" s="1" t="str">
        <f>RIGHT(chitar__3[[#This Row],[Column1.2]],LEN(chitar__3[[#This Row],[Column1.2]])-7)</f>
        <v xml:space="preserve"> string="0" fret="10" palmMute="1" /&gt;</v>
      </c>
      <c r="F36" s="1" t="s">
        <v>26</v>
      </c>
      <c r="G36" s="1"/>
      <c r="H36" s="1"/>
      <c r="I36" s="1"/>
      <c r="J36" s="1"/>
      <c r="L36" s="2" t="s">
        <v>16</v>
      </c>
      <c r="M36" s="3" t="str">
        <f t="shared" si="3"/>
        <v xml:space="preserve">        &lt;note time="30.212" string="1" fret="5" /&gt;</v>
      </c>
      <c r="N36" s="8" t="str">
        <f>chitar__3[[#This Row],[Column1.14]]</f>
        <v>30.212</v>
      </c>
      <c r="O36" s="4" t="s">
        <v>1151</v>
      </c>
    </row>
    <row r="37" spans="1:15" x14ac:dyDescent="0.45">
      <c r="A37" s="1" t="s">
        <v>16</v>
      </c>
      <c r="B37" s="1">
        <f t="shared" si="0"/>
        <v>30.452000000000002</v>
      </c>
      <c r="C37" s="1" t="str">
        <f t="shared" si="1"/>
        <v>30.452</v>
      </c>
      <c r="D37" s="1" t="str">
        <f t="shared" si="2"/>
        <v>30.452"</v>
      </c>
      <c r="E37" s="1" t="str">
        <f>RIGHT(chitar__3[[#This Row],[Column1.2]],LEN(chitar__3[[#This Row],[Column1.2]])-7)</f>
        <v xml:space="preserve"> string="0" fret="10" palmMute="1" /&gt;</v>
      </c>
      <c r="F37" s="1" t="s">
        <v>27</v>
      </c>
      <c r="G37" s="1"/>
      <c r="H37" s="1"/>
      <c r="I37" s="1"/>
      <c r="J37" s="1"/>
      <c r="L37" s="5" t="s">
        <v>16</v>
      </c>
      <c r="M37" s="3" t="str">
        <f t="shared" si="3"/>
        <v xml:space="preserve">        &lt;note time="30.452" string="1" fret="5" /&gt;</v>
      </c>
      <c r="N37" s="8" t="str">
        <f>chitar__3[[#This Row],[Column1.14]]</f>
        <v>30.452</v>
      </c>
      <c r="O37" s="6" t="s">
        <v>1152</v>
      </c>
    </row>
    <row r="38" spans="1:15" x14ac:dyDescent="0.45">
      <c r="A38" s="1" t="s">
        <v>16</v>
      </c>
      <c r="B38" s="1">
        <f t="shared" si="0"/>
        <v>30.692</v>
      </c>
      <c r="C38" s="1" t="str">
        <f t="shared" si="1"/>
        <v>30.692</v>
      </c>
      <c r="D38" s="1" t="str">
        <f t="shared" si="2"/>
        <v>30.692"</v>
      </c>
      <c r="E38" s="1" t="str">
        <f>RIGHT(chitar__3[[#This Row],[Column1.2]],LEN(chitar__3[[#This Row],[Column1.2]])-7)</f>
        <v xml:space="preserve"> string="0" fret="10" palmMute="1" /&gt;</v>
      </c>
      <c r="F38" s="1" t="s">
        <v>28</v>
      </c>
      <c r="G38" s="1"/>
      <c r="H38" s="1"/>
      <c r="I38" s="1"/>
      <c r="J38" s="1"/>
      <c r="L38" s="2" t="s">
        <v>16</v>
      </c>
      <c r="M38" s="3" t="str">
        <f t="shared" si="3"/>
        <v xml:space="preserve">        &lt;note time="30.692" string="1" fret="5" /&gt;</v>
      </c>
      <c r="N38" s="8" t="str">
        <f>chitar__3[[#This Row],[Column1.14]]</f>
        <v>30.692</v>
      </c>
      <c r="O38" s="4" t="s">
        <v>1153</v>
      </c>
    </row>
    <row r="39" spans="1:15" x14ac:dyDescent="0.45">
      <c r="A39" s="1" t="s">
        <v>388</v>
      </c>
      <c r="B39" s="1">
        <f t="shared" si="0"/>
        <v>30.902000000000001</v>
      </c>
      <c r="C39" s="1" t="str">
        <f t="shared" si="1"/>
        <v>30.902</v>
      </c>
      <c r="D39" s="1" t="str">
        <f t="shared" si="2"/>
        <v>30.902"</v>
      </c>
      <c r="E39" s="1" t="str">
        <f>RIGHT(chitar__3[[#This Row],[Column1.2]],LEN(chitar__3[[#This Row],[Column1.2]])-7)</f>
        <v xml:space="preserve"> chordId="4" &gt;&lt;chordNote </v>
      </c>
      <c r="F39" s="1" t="s">
        <v>413</v>
      </c>
      <c r="G39" s="1" t="s">
        <v>677</v>
      </c>
      <c r="H39" s="1" t="s">
        <v>678</v>
      </c>
      <c r="I39" s="1"/>
      <c r="J39" s="1"/>
      <c r="L39" s="5" t="s">
        <v>16</v>
      </c>
      <c r="M39" s="3" t="str">
        <f t="shared" si="3"/>
        <v xml:space="preserve">        &lt;note time="30.902" string="2" fret="5" /&gt;</v>
      </c>
      <c r="N39" s="8" t="str">
        <f>chitar__3[[#This Row],[Column1.14]]</f>
        <v>30.902</v>
      </c>
      <c r="O39" s="6" t="s">
        <v>1154</v>
      </c>
    </row>
    <row r="40" spans="1:15" x14ac:dyDescent="0.45">
      <c r="A40" s="1" t="s">
        <v>388</v>
      </c>
      <c r="B40" s="1">
        <f t="shared" si="0"/>
        <v>31.292000000000002</v>
      </c>
      <c r="C40" s="1" t="str">
        <f t="shared" si="1"/>
        <v>31.292</v>
      </c>
      <c r="D40" s="1" t="str">
        <f t="shared" si="2"/>
        <v>31.292"</v>
      </c>
      <c r="E40" s="1" t="str">
        <f>RIGHT(chitar__3[[#This Row],[Column1.2]],LEN(chitar__3[[#This Row],[Column1.2]])-7)</f>
        <v xml:space="preserve"> chordId="5" &gt;&lt;chordNote </v>
      </c>
      <c r="F40" s="1" t="s">
        <v>414</v>
      </c>
      <c r="G40" s="1" t="s">
        <v>679</v>
      </c>
      <c r="H40" s="1" t="s">
        <v>680</v>
      </c>
      <c r="I40" s="1"/>
      <c r="J40" s="1"/>
      <c r="L40" s="2" t="s">
        <v>16</v>
      </c>
      <c r="M40" s="3" t="str">
        <f t="shared" si="3"/>
        <v xml:space="preserve">        &lt;note time="31.292" string="2" fret="3" sustain="0.21" /&gt;</v>
      </c>
      <c r="N40" s="8" t="str">
        <f>chitar__3[[#This Row],[Column1.14]]</f>
        <v>31.292</v>
      </c>
      <c r="O40" s="4" t="s">
        <v>1732</v>
      </c>
    </row>
    <row r="41" spans="1:15" x14ac:dyDescent="0.45">
      <c r="A41" s="1" t="s">
        <v>388</v>
      </c>
      <c r="B41" s="1">
        <f t="shared" si="0"/>
        <v>31.742000000000001</v>
      </c>
      <c r="C41" s="1" t="str">
        <f t="shared" si="1"/>
        <v>31.742</v>
      </c>
      <c r="D41" s="1" t="str">
        <f t="shared" si="2"/>
        <v>31.742"</v>
      </c>
      <c r="E41" s="1" t="str">
        <f>RIGHT(chitar__3[[#This Row],[Column1.2]],LEN(chitar__3[[#This Row],[Column1.2]])-7)</f>
        <v xml:space="preserve"> chordId="7" &gt;&lt;chordNote </v>
      </c>
      <c r="F41" s="1" t="s">
        <v>415</v>
      </c>
      <c r="G41" s="1" t="s">
        <v>681</v>
      </c>
      <c r="H41" s="1" t="s">
        <v>682</v>
      </c>
      <c r="I41" s="1"/>
      <c r="J41" s="1"/>
      <c r="L41" s="5" t="s">
        <v>16</v>
      </c>
      <c r="M41" s="3" t="str">
        <f t="shared" si="3"/>
        <v xml:space="preserve">        &lt;note time="31.742" string="1" fret="5" /&gt;</v>
      </c>
      <c r="N41" s="8" t="str">
        <f>chitar__3[[#This Row],[Column1.14]]</f>
        <v>31.742</v>
      </c>
      <c r="O41" s="6" t="s">
        <v>1156</v>
      </c>
    </row>
    <row r="42" spans="1:15" x14ac:dyDescent="0.45">
      <c r="A42" s="1" t="s">
        <v>16</v>
      </c>
      <c r="B42" s="1">
        <f t="shared" si="0"/>
        <v>31.981999999999999</v>
      </c>
      <c r="C42" s="1" t="str">
        <f t="shared" si="1"/>
        <v>31.982</v>
      </c>
      <c r="D42" s="1" t="str">
        <f t="shared" si="2"/>
        <v>31.982"</v>
      </c>
      <c r="E42" s="1" t="str">
        <f>RIGHT(chitar__3[[#This Row],[Column1.2]],LEN(chitar__3[[#This Row],[Column1.2]])-7)</f>
        <v xml:space="preserve"> string="0" fret="10" palmMute="1" /&gt;</v>
      </c>
      <c r="F42" s="1" t="s">
        <v>29</v>
      </c>
      <c r="G42" s="1"/>
      <c r="H42" s="1"/>
      <c r="I42" s="1"/>
      <c r="J42" s="1"/>
      <c r="L42" s="2" t="s">
        <v>16</v>
      </c>
      <c r="M42" s="3" t="str">
        <f t="shared" si="3"/>
        <v xml:space="preserve">        &lt;note time="31.982" string="1" fret="5" /&gt;</v>
      </c>
      <c r="N42" s="8" t="str">
        <f>chitar__3[[#This Row],[Column1.14]]</f>
        <v>31.982</v>
      </c>
      <c r="O42" s="4" t="s">
        <v>1157</v>
      </c>
    </row>
    <row r="43" spans="1:15" x14ac:dyDescent="0.45">
      <c r="A43" s="1" t="s">
        <v>16</v>
      </c>
      <c r="B43" s="1">
        <f t="shared" si="0"/>
        <v>32.222999999999999</v>
      </c>
      <c r="C43" s="1" t="str">
        <f t="shared" si="1"/>
        <v>32.223</v>
      </c>
      <c r="D43" s="1" t="str">
        <f t="shared" si="2"/>
        <v>32.223"</v>
      </c>
      <c r="E43" s="1" t="str">
        <f>RIGHT(chitar__3[[#This Row],[Column1.2]],LEN(chitar__3[[#This Row],[Column1.2]])-7)</f>
        <v xml:space="preserve"> string="0" fret="10" palmMute="1" /&gt;</v>
      </c>
      <c r="F43" s="1" t="s">
        <v>30</v>
      </c>
      <c r="G43" s="1"/>
      <c r="H43" s="1"/>
      <c r="I43" s="1"/>
      <c r="J43" s="1"/>
      <c r="L43" s="5" t="s">
        <v>16</v>
      </c>
      <c r="M43" s="3" t="str">
        <f t="shared" si="3"/>
        <v xml:space="preserve">        &lt;note time="32.223" string="1" fret="5" /&gt;</v>
      </c>
      <c r="N43" s="8" t="str">
        <f>chitar__3[[#This Row],[Column1.14]]</f>
        <v>32.223</v>
      </c>
      <c r="O43" s="6" t="s">
        <v>1158</v>
      </c>
    </row>
    <row r="44" spans="1:15" x14ac:dyDescent="0.45">
      <c r="A44" s="1" t="s">
        <v>16</v>
      </c>
      <c r="B44" s="1">
        <f t="shared" si="0"/>
        <v>32.462000000000003</v>
      </c>
      <c r="C44" s="1" t="str">
        <f t="shared" si="1"/>
        <v>32.462</v>
      </c>
      <c r="D44" s="1" t="str">
        <f t="shared" si="2"/>
        <v>32.462"</v>
      </c>
      <c r="E44" s="1" t="str">
        <f>RIGHT(chitar__3[[#This Row],[Column1.2]],LEN(chitar__3[[#This Row],[Column1.2]])-7)</f>
        <v xml:space="preserve"> string="0" fret="10" palmMute="1" /&gt;</v>
      </c>
      <c r="F44" s="1" t="s">
        <v>31</v>
      </c>
      <c r="G44" s="1"/>
      <c r="H44" s="1"/>
      <c r="I44" s="1"/>
      <c r="J44" s="1"/>
      <c r="L44" s="2" t="s">
        <v>16</v>
      </c>
      <c r="M44" s="3" t="str">
        <f t="shared" si="3"/>
        <v xml:space="preserve">        &lt;note time="32.462" string="1" fret="5" /&gt;</v>
      </c>
      <c r="N44" s="8" t="str">
        <f>chitar__3[[#This Row],[Column1.14]]</f>
        <v>32.462</v>
      </c>
      <c r="O44" s="4" t="s">
        <v>1159</v>
      </c>
    </row>
    <row r="45" spans="1:15" x14ac:dyDescent="0.45">
      <c r="A45" s="1" t="s">
        <v>388</v>
      </c>
      <c r="B45" s="1">
        <f t="shared" si="0"/>
        <v>32.612000000000002</v>
      </c>
      <c r="C45" s="1" t="str">
        <f t="shared" si="1"/>
        <v>32.612</v>
      </c>
      <c r="D45" s="1" t="str">
        <f t="shared" si="2"/>
        <v>32.612"</v>
      </c>
      <c r="E45" s="1" t="str">
        <f>RIGHT(chitar__3[[#This Row],[Column1.2]],LEN(chitar__3[[#This Row],[Column1.2]])-7)</f>
        <v xml:space="preserve"> chordId="4" &gt;&lt;chordNote </v>
      </c>
      <c r="F45" s="1" t="s">
        <v>416</v>
      </c>
      <c r="G45" s="1" t="s">
        <v>683</v>
      </c>
      <c r="H45" s="1" t="s">
        <v>684</v>
      </c>
      <c r="I45" s="1"/>
      <c r="J45" s="1"/>
      <c r="L45" s="5" t="s">
        <v>16</v>
      </c>
      <c r="M45" s="3" t="str">
        <f t="shared" si="3"/>
        <v xml:space="preserve">        &lt;note time="32.612" string="2" fret="5" sustain="0.5" /&gt;</v>
      </c>
      <c r="N45" s="8" t="str">
        <f>chitar__3[[#This Row],[Column1.14]]</f>
        <v>32.612</v>
      </c>
      <c r="O45" s="6" t="s">
        <v>1791</v>
      </c>
    </row>
    <row r="46" spans="1:15" x14ac:dyDescent="0.45">
      <c r="A46" s="1" t="s">
        <v>388</v>
      </c>
      <c r="B46" s="1">
        <f t="shared" si="0"/>
        <v>33</v>
      </c>
      <c r="C46" s="1" t="str">
        <f t="shared" si="1"/>
        <v>33.000</v>
      </c>
      <c r="D46" s="1" t="str">
        <f t="shared" si="2"/>
        <v>33.000"</v>
      </c>
      <c r="E46" s="1" t="str">
        <f>RIGHT(chitar__3[[#This Row],[Column1.2]],LEN(chitar__3[[#This Row],[Column1.2]])-7)</f>
        <v xml:space="preserve"> chordId="5" &gt;&lt;chordNote </v>
      </c>
      <c r="F46" s="1" t="s">
        <v>417</v>
      </c>
      <c r="G46" s="1" t="s">
        <v>685</v>
      </c>
      <c r="H46" s="1" t="s">
        <v>686</v>
      </c>
      <c r="I46" s="1"/>
      <c r="J46" s="1"/>
      <c r="L46" s="2" t="s">
        <v>16</v>
      </c>
      <c r="M46" s="3" t="str">
        <f t="shared" si="3"/>
        <v xml:space="preserve">        &lt;note time="33.000" string="1" fret="5" /&gt;</v>
      </c>
      <c r="N46" s="8" t="str">
        <f>chitar__3[[#This Row],[Column1.14]]</f>
        <v>33.000</v>
      </c>
      <c r="O46" s="4" t="s">
        <v>1161</v>
      </c>
    </row>
    <row r="47" spans="1:15" x14ac:dyDescent="0.45">
      <c r="A47" s="1" t="s">
        <v>388</v>
      </c>
      <c r="B47" s="1">
        <f t="shared" si="0"/>
        <v>33.451999999999998</v>
      </c>
      <c r="C47" s="1" t="str">
        <f t="shared" si="1"/>
        <v>33.452</v>
      </c>
      <c r="D47" s="1" t="str">
        <f t="shared" si="2"/>
        <v>33.452"</v>
      </c>
      <c r="E47" s="1" t="str">
        <f>RIGHT(chitar__3[[#This Row],[Column1.2]],LEN(chitar__3[[#This Row],[Column1.2]])-7)</f>
        <v xml:space="preserve"> chordId="7" &gt;&lt;chordNote </v>
      </c>
      <c r="F47" s="1" t="s">
        <v>418</v>
      </c>
      <c r="G47" s="1" t="s">
        <v>687</v>
      </c>
      <c r="H47" s="1" t="s">
        <v>688</v>
      </c>
      <c r="I47" s="1"/>
      <c r="J47" s="1"/>
      <c r="L47" s="5" t="s">
        <v>16</v>
      </c>
      <c r="M47" s="3" t="str">
        <f t="shared" si="3"/>
        <v xml:space="preserve">        &lt;note time="33.452" string="1" fret="5" /&gt;</v>
      </c>
      <c r="N47" s="8" t="str">
        <f>chitar__3[[#This Row],[Column1.14]]</f>
        <v>33.452</v>
      </c>
      <c r="O47" s="6" t="s">
        <v>1162</v>
      </c>
    </row>
    <row r="48" spans="1:15" x14ac:dyDescent="0.45">
      <c r="A48" s="1" t="s">
        <v>16</v>
      </c>
      <c r="B48" s="1">
        <f t="shared" si="0"/>
        <v>33.692</v>
      </c>
      <c r="C48" s="1" t="str">
        <f t="shared" si="1"/>
        <v>33.692</v>
      </c>
      <c r="D48" s="1" t="str">
        <f t="shared" si="2"/>
        <v>33.692"</v>
      </c>
      <c r="E48" s="1" t="str">
        <f>RIGHT(chitar__3[[#This Row],[Column1.2]],LEN(chitar__3[[#This Row],[Column1.2]])-7)</f>
        <v xml:space="preserve"> string="0" fret="10" palmMute="1" /&gt;</v>
      </c>
      <c r="F48" s="1" t="s">
        <v>32</v>
      </c>
      <c r="G48" s="1"/>
      <c r="H48" s="1"/>
      <c r="I48" s="1"/>
      <c r="J48" s="1"/>
      <c r="L48" s="2" t="s">
        <v>16</v>
      </c>
      <c r="M48" s="3" t="str">
        <f t="shared" si="3"/>
        <v xml:space="preserve">        &lt;note time="33.692" string="1" fret="5" /&gt;</v>
      </c>
      <c r="N48" s="8" t="str">
        <f>chitar__3[[#This Row],[Column1.14]]</f>
        <v>33.692</v>
      </c>
      <c r="O48" s="4" t="s">
        <v>1163</v>
      </c>
    </row>
    <row r="49" spans="1:15" x14ac:dyDescent="0.45">
      <c r="A49" s="1" t="s">
        <v>16</v>
      </c>
      <c r="B49" s="1">
        <f t="shared" si="0"/>
        <v>33.932000000000002</v>
      </c>
      <c r="C49" s="1" t="str">
        <f t="shared" si="1"/>
        <v>33.932</v>
      </c>
      <c r="D49" s="1" t="str">
        <f t="shared" si="2"/>
        <v>33.932"</v>
      </c>
      <c r="E49" s="1" t="str">
        <f>RIGHT(chitar__3[[#This Row],[Column1.2]],LEN(chitar__3[[#This Row],[Column1.2]])-7)</f>
        <v xml:space="preserve"> string="0" fret="10" palmMute="1" /&gt;</v>
      </c>
      <c r="F49" s="1" t="s">
        <v>33</v>
      </c>
      <c r="G49" s="1"/>
      <c r="H49" s="1"/>
      <c r="I49" s="1"/>
      <c r="J49" s="1"/>
      <c r="L49" s="5" t="s">
        <v>16</v>
      </c>
      <c r="M49" s="3" t="str">
        <f t="shared" si="3"/>
        <v xml:space="preserve">        &lt;note time="33.932" string="1" fret="5" /&gt;</v>
      </c>
      <c r="N49" s="8" t="str">
        <f>chitar__3[[#This Row],[Column1.14]]</f>
        <v>33.932</v>
      </c>
      <c r="O49" s="6" t="s">
        <v>1164</v>
      </c>
    </row>
    <row r="50" spans="1:15" x14ac:dyDescent="0.45">
      <c r="A50" s="1" t="s">
        <v>16</v>
      </c>
      <c r="B50" s="1">
        <f t="shared" si="0"/>
        <v>34.171999999999997</v>
      </c>
      <c r="C50" s="1" t="str">
        <f t="shared" si="1"/>
        <v>34.172</v>
      </c>
      <c r="D50" s="1" t="str">
        <f t="shared" si="2"/>
        <v>34.172"</v>
      </c>
      <c r="E50" s="1" t="str">
        <f>RIGHT(chitar__3[[#This Row],[Column1.2]],LEN(chitar__3[[#This Row],[Column1.2]])-7)</f>
        <v xml:space="preserve"> string="0" fret="10" palmMute="1" /&gt;</v>
      </c>
      <c r="F50" s="1" t="s">
        <v>34</v>
      </c>
      <c r="G50" s="1"/>
      <c r="H50" s="1"/>
      <c r="I50" s="1"/>
      <c r="J50" s="1"/>
      <c r="L50" s="2" t="s">
        <v>16</v>
      </c>
      <c r="M50" s="3" t="str">
        <f t="shared" si="3"/>
        <v xml:space="preserve">        &lt;note time="34.172" string="1" fret="5" /&gt;</v>
      </c>
      <c r="N50" s="8" t="str">
        <f>chitar__3[[#This Row],[Column1.14]]</f>
        <v>34.172</v>
      </c>
      <c r="O50" s="4" t="s">
        <v>1165</v>
      </c>
    </row>
    <row r="51" spans="1:15" x14ac:dyDescent="0.45">
      <c r="A51" s="1" t="s">
        <v>388</v>
      </c>
      <c r="B51" s="1">
        <f t="shared" si="0"/>
        <v>34.322000000000003</v>
      </c>
      <c r="C51" s="1" t="str">
        <f t="shared" si="1"/>
        <v>34.322</v>
      </c>
      <c r="D51" s="1" t="str">
        <f t="shared" si="2"/>
        <v>34.322"</v>
      </c>
      <c r="E51" s="1" t="str">
        <f>RIGHT(chitar__3[[#This Row],[Column1.2]],LEN(chitar__3[[#This Row],[Column1.2]])-7)</f>
        <v xml:space="preserve"> chordId="4" &gt;&lt;chordNote </v>
      </c>
      <c r="F51" s="1" t="s">
        <v>419</v>
      </c>
      <c r="G51" s="1" t="s">
        <v>689</v>
      </c>
      <c r="H51" s="1" t="s">
        <v>690</v>
      </c>
      <c r="I51" s="1"/>
      <c r="J51" s="1"/>
      <c r="L51" s="5" t="s">
        <v>16</v>
      </c>
      <c r="M51" s="3" t="str">
        <f t="shared" si="3"/>
        <v xml:space="preserve">        &lt;note time="34.322" string="2" fret="5" /&gt;</v>
      </c>
      <c r="N51" s="8" t="str">
        <f>chitar__3[[#This Row],[Column1.14]]</f>
        <v>34.322</v>
      </c>
      <c r="O51" s="6" t="s">
        <v>1166</v>
      </c>
    </row>
    <row r="52" spans="1:15" x14ac:dyDescent="0.45">
      <c r="A52" s="1" t="s">
        <v>388</v>
      </c>
      <c r="B52" s="1">
        <f t="shared" si="0"/>
        <v>34.713000000000001</v>
      </c>
      <c r="C52" s="1" t="str">
        <f t="shared" si="1"/>
        <v>34.713</v>
      </c>
      <c r="D52" s="1" t="str">
        <f t="shared" si="2"/>
        <v>34.713"</v>
      </c>
      <c r="E52" s="1" t="str">
        <f>RIGHT(chitar__3[[#This Row],[Column1.2]],LEN(chitar__3[[#This Row],[Column1.2]])-7)</f>
        <v xml:space="preserve"> chordId="5" &gt;&lt;chordNote </v>
      </c>
      <c r="F52" s="1" t="s">
        <v>420</v>
      </c>
      <c r="G52" s="1" t="s">
        <v>691</v>
      </c>
      <c r="H52" s="1" t="s">
        <v>692</v>
      </c>
      <c r="I52" s="1"/>
      <c r="J52" s="1"/>
      <c r="L52" s="2" t="s">
        <v>16</v>
      </c>
      <c r="M52" s="3" t="str">
        <f t="shared" si="3"/>
        <v xml:space="preserve">        &lt;note time="34.713" string="2" fret="3" sustain="0.21" /&gt;</v>
      </c>
      <c r="N52" s="8" t="str">
        <f>chitar__3[[#This Row],[Column1.14]]</f>
        <v>34.713</v>
      </c>
      <c r="O52" s="4" t="s">
        <v>1733</v>
      </c>
    </row>
    <row r="53" spans="1:15" x14ac:dyDescent="0.45">
      <c r="A53" s="1" t="s">
        <v>388</v>
      </c>
      <c r="B53" s="1">
        <f t="shared" si="0"/>
        <v>35.161999999999999</v>
      </c>
      <c r="C53" s="1" t="str">
        <f t="shared" si="1"/>
        <v>35.162</v>
      </c>
      <c r="D53" s="1" t="str">
        <f t="shared" si="2"/>
        <v>35.162"</v>
      </c>
      <c r="E53" s="1" t="str">
        <f>RIGHT(chitar__3[[#This Row],[Column1.2]],LEN(chitar__3[[#This Row],[Column1.2]])-7)</f>
        <v xml:space="preserve"> chordId="7" &gt;&lt;chordNote </v>
      </c>
      <c r="F53" s="1" t="s">
        <v>421</v>
      </c>
      <c r="G53" s="1" t="s">
        <v>693</v>
      </c>
      <c r="H53" s="1" t="s">
        <v>694</v>
      </c>
      <c r="I53" s="1"/>
      <c r="J53" s="1"/>
      <c r="L53" s="5" t="s">
        <v>16</v>
      </c>
      <c r="M53" s="3" t="str">
        <f t="shared" si="3"/>
        <v xml:space="preserve">        &lt;note time="35.162" string="1" fret="5" /&gt;</v>
      </c>
      <c r="N53" s="8" t="str">
        <f>chitar__3[[#This Row],[Column1.14]]</f>
        <v>35.162</v>
      </c>
      <c r="O53" s="6" t="s">
        <v>1168</v>
      </c>
    </row>
    <row r="54" spans="1:15" x14ac:dyDescent="0.45">
      <c r="A54" s="1" t="s">
        <v>16</v>
      </c>
      <c r="B54" s="1">
        <f t="shared" si="0"/>
        <v>35.402000000000001</v>
      </c>
      <c r="C54" s="1" t="str">
        <f t="shared" si="1"/>
        <v>35.402</v>
      </c>
      <c r="D54" s="1" t="str">
        <f t="shared" si="2"/>
        <v>35.402"</v>
      </c>
      <c r="E54" s="1" t="str">
        <f>RIGHT(chitar__3[[#This Row],[Column1.2]],LEN(chitar__3[[#This Row],[Column1.2]])-7)</f>
        <v xml:space="preserve"> string="0" fret="10" palmMute="1" /&gt;</v>
      </c>
      <c r="F54" s="1" t="s">
        <v>35</v>
      </c>
      <c r="G54" s="1"/>
      <c r="H54" s="1"/>
      <c r="I54" s="1"/>
      <c r="J54" s="1"/>
      <c r="L54" s="2" t="s">
        <v>16</v>
      </c>
      <c r="M54" s="3" t="str">
        <f t="shared" si="3"/>
        <v xml:space="preserve">        &lt;note time="35.402" string="1" fret="5" /&gt;</v>
      </c>
      <c r="N54" s="8" t="str">
        <f>chitar__3[[#This Row],[Column1.14]]</f>
        <v>35.402</v>
      </c>
      <c r="O54" s="4" t="s">
        <v>1169</v>
      </c>
    </row>
    <row r="55" spans="1:15" x14ac:dyDescent="0.45">
      <c r="A55" s="1" t="s">
        <v>16</v>
      </c>
      <c r="B55" s="1">
        <f t="shared" si="0"/>
        <v>35.642000000000003</v>
      </c>
      <c r="C55" s="1" t="str">
        <f t="shared" si="1"/>
        <v>35.642</v>
      </c>
      <c r="D55" s="1" t="str">
        <f t="shared" si="2"/>
        <v>35.642"</v>
      </c>
      <c r="E55" s="1" t="str">
        <f>RIGHT(chitar__3[[#This Row],[Column1.2]],LEN(chitar__3[[#This Row],[Column1.2]])-7)</f>
        <v xml:space="preserve"> string="0" fret="10" palmMute="1" /&gt;</v>
      </c>
      <c r="F55" s="1" t="s">
        <v>36</v>
      </c>
      <c r="G55" s="1"/>
      <c r="H55" s="1"/>
      <c r="I55" s="1"/>
      <c r="J55" s="1"/>
      <c r="L55" s="5" t="s">
        <v>16</v>
      </c>
      <c r="M55" s="3" t="str">
        <f t="shared" si="3"/>
        <v xml:space="preserve">        &lt;note time="35.642" string="1" fret="5" /&gt;</v>
      </c>
      <c r="N55" s="8" t="str">
        <f>chitar__3[[#This Row],[Column1.14]]</f>
        <v>35.642</v>
      </c>
      <c r="O55" s="6" t="s">
        <v>1170</v>
      </c>
    </row>
    <row r="56" spans="1:15" x14ac:dyDescent="0.45">
      <c r="A56" s="1" t="s">
        <v>16</v>
      </c>
      <c r="B56" s="1">
        <f t="shared" si="0"/>
        <v>35.881999999999998</v>
      </c>
      <c r="C56" s="1" t="str">
        <f t="shared" si="1"/>
        <v>35.882</v>
      </c>
      <c r="D56" s="1" t="str">
        <f t="shared" si="2"/>
        <v>35.882"</v>
      </c>
      <c r="E56" s="1" t="str">
        <f>RIGHT(chitar__3[[#This Row],[Column1.2]],LEN(chitar__3[[#This Row],[Column1.2]])-7)</f>
        <v xml:space="preserve"> string="0" fret="10" palmMute="1" /&gt;</v>
      </c>
      <c r="F56" s="1" t="s">
        <v>37</v>
      </c>
      <c r="G56" s="1"/>
      <c r="H56" s="1"/>
      <c r="I56" s="1"/>
      <c r="J56" s="1"/>
      <c r="L56" s="2" t="s">
        <v>16</v>
      </c>
      <c r="M56" s="3" t="str">
        <f t="shared" si="3"/>
        <v xml:space="preserve">        &lt;note time="35.882" string="1" fret="5" /&gt;</v>
      </c>
      <c r="N56" s="8" t="str">
        <f>chitar__3[[#This Row],[Column1.14]]</f>
        <v>35.882</v>
      </c>
      <c r="O56" s="4" t="s">
        <v>1171</v>
      </c>
    </row>
    <row r="57" spans="1:15" x14ac:dyDescent="0.45">
      <c r="A57" s="1" t="s">
        <v>388</v>
      </c>
      <c r="B57" s="1">
        <f t="shared" si="0"/>
        <v>36.036999999999999</v>
      </c>
      <c r="C57" s="1" t="str">
        <f t="shared" si="1"/>
        <v>36.037</v>
      </c>
      <c r="D57" s="1" t="str">
        <f t="shared" si="2"/>
        <v>36.037"</v>
      </c>
      <c r="E57" s="1" t="str">
        <f>RIGHT(chitar__3[[#This Row],[Column1.2]],LEN(chitar__3[[#This Row],[Column1.2]])-7)</f>
        <v xml:space="preserve"> chordId="4" &gt;&lt;chordNote </v>
      </c>
      <c r="F57" s="1" t="s">
        <v>422</v>
      </c>
      <c r="G57" s="1" t="s">
        <v>695</v>
      </c>
      <c r="H57" s="1" t="s">
        <v>696</v>
      </c>
      <c r="I57" s="1"/>
      <c r="J57" s="1"/>
      <c r="L57" s="5" t="s">
        <v>16</v>
      </c>
      <c r="M57" s="3" t="str">
        <f t="shared" si="3"/>
        <v xml:space="preserve">        &lt;note time="36.037" string="2" fret="5" /&gt;</v>
      </c>
      <c r="N57" s="8" t="str">
        <f>chitar__3[[#This Row],[Column1.14]]</f>
        <v>36.037</v>
      </c>
      <c r="O57" s="6" t="s">
        <v>1172</v>
      </c>
    </row>
    <row r="58" spans="1:15" x14ac:dyDescent="0.45">
      <c r="A58" s="1" t="s">
        <v>388</v>
      </c>
      <c r="B58" s="1">
        <f t="shared" si="0"/>
        <v>36.427</v>
      </c>
      <c r="C58" s="1" t="str">
        <f t="shared" si="1"/>
        <v>36.427</v>
      </c>
      <c r="D58" s="1" t="str">
        <f t="shared" si="2"/>
        <v>36.427"</v>
      </c>
      <c r="E58" s="1" t="str">
        <f>RIGHT(chitar__3[[#This Row],[Column1.2]],LEN(chitar__3[[#This Row],[Column1.2]])-7)</f>
        <v xml:space="preserve"> chordId="5" &gt;&lt;chordNote </v>
      </c>
      <c r="F58" s="1" t="s">
        <v>423</v>
      </c>
      <c r="G58" s="1" t="s">
        <v>697</v>
      </c>
      <c r="H58" s="1" t="s">
        <v>698</v>
      </c>
      <c r="I58" s="1"/>
      <c r="J58" s="1"/>
      <c r="L58" s="2" t="s">
        <v>16</v>
      </c>
      <c r="M58" s="3" t="str">
        <f t="shared" si="3"/>
        <v xml:space="preserve">        &lt;note time="36.427" string="2" fret="3" sustain="0.21" /&gt;</v>
      </c>
      <c r="N58" s="8" t="str">
        <f>chitar__3[[#This Row],[Column1.14]]</f>
        <v>36.427</v>
      </c>
      <c r="O58" s="4" t="s">
        <v>1734</v>
      </c>
    </row>
    <row r="59" spans="1:15" x14ac:dyDescent="0.45">
      <c r="A59" s="1" t="s">
        <v>388</v>
      </c>
      <c r="B59" s="1">
        <f t="shared" si="0"/>
        <v>36.877000000000002</v>
      </c>
      <c r="C59" s="1" t="str">
        <f t="shared" si="1"/>
        <v>36.877</v>
      </c>
      <c r="D59" s="1" t="str">
        <f t="shared" si="2"/>
        <v>36.877"</v>
      </c>
      <c r="E59" s="1" t="str">
        <f>RIGHT(chitar__3[[#This Row],[Column1.2]],LEN(chitar__3[[#This Row],[Column1.2]])-7)</f>
        <v xml:space="preserve"> chordId="7" &gt;&lt;chordNote </v>
      </c>
      <c r="F59" s="1" t="s">
        <v>424</v>
      </c>
      <c r="G59" s="1" t="s">
        <v>699</v>
      </c>
      <c r="H59" s="1" t="s">
        <v>700</v>
      </c>
      <c r="I59" s="1"/>
      <c r="J59" s="1"/>
      <c r="L59" s="5" t="s">
        <v>16</v>
      </c>
      <c r="M59" s="3" t="str">
        <f t="shared" si="3"/>
        <v xml:space="preserve">        &lt;note time="36.877" string="1" fret="5" /&gt;</v>
      </c>
      <c r="N59" s="8" t="str">
        <f>chitar__3[[#This Row],[Column1.14]]</f>
        <v>36.877</v>
      </c>
      <c r="O59" s="6" t="s">
        <v>1174</v>
      </c>
    </row>
    <row r="60" spans="1:15" x14ac:dyDescent="0.45">
      <c r="A60" s="1" t="s">
        <v>16</v>
      </c>
      <c r="B60" s="1">
        <f t="shared" si="0"/>
        <v>37.116999999999997</v>
      </c>
      <c r="C60" s="1" t="str">
        <f t="shared" si="1"/>
        <v>37.117</v>
      </c>
      <c r="D60" s="1" t="str">
        <f t="shared" si="2"/>
        <v>37.117"</v>
      </c>
      <c r="E60" s="1" t="str">
        <f>RIGHT(chitar__3[[#This Row],[Column1.2]],LEN(chitar__3[[#This Row],[Column1.2]])-7)</f>
        <v xml:space="preserve"> string="0" fret="10" palmMute="1" /&gt;</v>
      </c>
      <c r="F60" s="1" t="s">
        <v>38</v>
      </c>
      <c r="G60" s="1"/>
      <c r="H60" s="1"/>
      <c r="I60" s="1"/>
      <c r="J60" s="1"/>
      <c r="L60" s="2" t="s">
        <v>16</v>
      </c>
      <c r="M60" s="3" t="str">
        <f t="shared" si="3"/>
        <v xml:space="preserve">        &lt;note time="37.117" string="1" fret="5" /&gt;</v>
      </c>
      <c r="N60" s="8" t="str">
        <f>chitar__3[[#This Row],[Column1.14]]</f>
        <v>37.117</v>
      </c>
      <c r="O60" s="4" t="s">
        <v>1175</v>
      </c>
    </row>
    <row r="61" spans="1:15" x14ac:dyDescent="0.45">
      <c r="A61" s="1" t="s">
        <v>16</v>
      </c>
      <c r="B61" s="1">
        <f t="shared" si="0"/>
        <v>37.356999999999999</v>
      </c>
      <c r="C61" s="1" t="str">
        <f t="shared" si="1"/>
        <v>37.357</v>
      </c>
      <c r="D61" s="1" t="str">
        <f t="shared" si="2"/>
        <v>37.357"</v>
      </c>
      <c r="E61" s="1" t="str">
        <f>RIGHT(chitar__3[[#This Row],[Column1.2]],LEN(chitar__3[[#This Row],[Column1.2]])-7)</f>
        <v xml:space="preserve"> string="0" fret="10" palmMute="1" /&gt;</v>
      </c>
      <c r="F61" s="1" t="s">
        <v>39</v>
      </c>
      <c r="G61" s="1"/>
      <c r="H61" s="1"/>
      <c r="I61" s="1"/>
      <c r="J61" s="1"/>
      <c r="L61" s="5" t="s">
        <v>16</v>
      </c>
      <c r="M61" s="3" t="str">
        <f t="shared" si="3"/>
        <v xml:space="preserve">        &lt;note time="37.357" string="1" fret="5" /&gt;</v>
      </c>
      <c r="N61" s="8" t="str">
        <f>chitar__3[[#This Row],[Column1.14]]</f>
        <v>37.357</v>
      </c>
      <c r="O61" s="6" t="s">
        <v>1176</v>
      </c>
    </row>
    <row r="62" spans="1:15" x14ac:dyDescent="0.45">
      <c r="A62" s="1" t="s">
        <v>16</v>
      </c>
      <c r="B62" s="1">
        <f t="shared" si="0"/>
        <v>37.597000000000001</v>
      </c>
      <c r="C62" s="1" t="str">
        <f t="shared" si="1"/>
        <v>37.597</v>
      </c>
      <c r="D62" s="1" t="str">
        <f t="shared" si="2"/>
        <v>37.597"</v>
      </c>
      <c r="E62" s="1" t="str">
        <f>RIGHT(chitar__3[[#This Row],[Column1.2]],LEN(chitar__3[[#This Row],[Column1.2]])-7)</f>
        <v xml:space="preserve"> string="0" fret="10" palmMute="1" /&gt;</v>
      </c>
      <c r="F62" s="1" t="s">
        <v>40</v>
      </c>
      <c r="G62" s="1"/>
      <c r="H62" s="1"/>
      <c r="I62" s="1"/>
      <c r="J62" s="1"/>
      <c r="L62" s="2" t="s">
        <v>16</v>
      </c>
      <c r="M62" s="3" t="str">
        <f t="shared" si="3"/>
        <v xml:space="preserve">        &lt;note time="37.597" string="1" fret="5" /&gt;</v>
      </c>
      <c r="N62" s="8" t="str">
        <f>chitar__3[[#This Row],[Column1.14]]</f>
        <v>37.597</v>
      </c>
      <c r="O62" s="4" t="s">
        <v>1177</v>
      </c>
    </row>
    <row r="63" spans="1:15" x14ac:dyDescent="0.45">
      <c r="A63" s="1" t="s">
        <v>388</v>
      </c>
      <c r="B63" s="1">
        <f t="shared" si="0"/>
        <v>37.826999999999998</v>
      </c>
      <c r="C63" s="1" t="str">
        <f t="shared" si="1"/>
        <v>37.827</v>
      </c>
      <c r="D63" s="1" t="str">
        <f t="shared" si="2"/>
        <v>37.827"</v>
      </c>
      <c r="E63" s="1" t="str">
        <f>RIGHT(chitar__3[[#This Row],[Column1.2]],LEN(chitar__3[[#This Row],[Column1.2]])-7)</f>
        <v xml:space="preserve"> chordId="4" &gt;&lt;chordNote </v>
      </c>
      <c r="F63" s="1" t="s">
        <v>425</v>
      </c>
      <c r="G63" s="1" t="s">
        <v>701</v>
      </c>
      <c r="H63" s="1" t="s">
        <v>702</v>
      </c>
      <c r="I63" s="1"/>
      <c r="J63" s="1"/>
      <c r="L63" s="5" t="s">
        <v>16</v>
      </c>
      <c r="M63" s="3" t="str">
        <f t="shared" si="3"/>
        <v xml:space="preserve">        &lt;note time="37.827" string="2" fret="5" /&gt;</v>
      </c>
      <c r="N63" s="8" t="str">
        <f>chitar__3[[#This Row],[Column1.14]]</f>
        <v>37.827</v>
      </c>
      <c r="O63" s="6" t="s">
        <v>1178</v>
      </c>
    </row>
    <row r="64" spans="1:15" x14ac:dyDescent="0.45">
      <c r="A64" s="1" t="s">
        <v>388</v>
      </c>
      <c r="B64" s="1">
        <f t="shared" si="0"/>
        <v>38.216999999999999</v>
      </c>
      <c r="C64" s="1" t="str">
        <f t="shared" si="1"/>
        <v>38.217</v>
      </c>
      <c r="D64" s="1" t="str">
        <f t="shared" si="2"/>
        <v>38.217"</v>
      </c>
      <c r="E64" s="1" t="str">
        <f>RIGHT(chitar__3[[#This Row],[Column1.2]],LEN(chitar__3[[#This Row],[Column1.2]])-7)</f>
        <v xml:space="preserve"> chordId="5" &gt;&lt;chordNote </v>
      </c>
      <c r="F64" s="1" t="s">
        <v>426</v>
      </c>
      <c r="G64" s="1" t="s">
        <v>703</v>
      </c>
      <c r="H64" s="1" t="s">
        <v>704</v>
      </c>
      <c r="I64" s="1"/>
      <c r="J64" s="1"/>
      <c r="L64" s="2" t="s">
        <v>16</v>
      </c>
      <c r="M64" s="3" t="str">
        <f t="shared" si="3"/>
        <v xml:space="preserve">        &lt;note time="38.217" string="2" fret="3" sustain="0.21" /&gt;</v>
      </c>
      <c r="N64" s="8" t="str">
        <f>chitar__3[[#This Row],[Column1.14]]</f>
        <v>38.217</v>
      </c>
      <c r="O64" s="4" t="s">
        <v>1735</v>
      </c>
    </row>
    <row r="65" spans="1:15" x14ac:dyDescent="0.45">
      <c r="A65" s="1" t="s">
        <v>388</v>
      </c>
      <c r="B65" s="1">
        <f t="shared" si="0"/>
        <v>38.667000000000002</v>
      </c>
      <c r="C65" s="1" t="str">
        <f t="shared" si="1"/>
        <v>38.667</v>
      </c>
      <c r="D65" s="1" t="str">
        <f t="shared" si="2"/>
        <v>38.667"</v>
      </c>
      <c r="E65" s="1" t="str">
        <f>RIGHT(chitar__3[[#This Row],[Column1.2]],LEN(chitar__3[[#This Row],[Column1.2]])-7)</f>
        <v xml:space="preserve"> chordId="7" &gt;&lt;chordNote </v>
      </c>
      <c r="F65" s="1" t="s">
        <v>427</v>
      </c>
      <c r="G65" s="1" t="s">
        <v>705</v>
      </c>
      <c r="H65" s="1" t="s">
        <v>706</v>
      </c>
      <c r="I65" s="1"/>
      <c r="J65" s="1"/>
      <c r="L65" s="5" t="s">
        <v>16</v>
      </c>
      <c r="M65" s="3" t="str">
        <f t="shared" si="3"/>
        <v xml:space="preserve">        &lt;note time="38.667" string="1" fret="5" /&gt;</v>
      </c>
      <c r="N65" s="8" t="str">
        <f>chitar__3[[#This Row],[Column1.14]]</f>
        <v>38.667</v>
      </c>
      <c r="O65" s="6" t="s">
        <v>1180</v>
      </c>
    </row>
    <row r="66" spans="1:15" x14ac:dyDescent="0.45">
      <c r="A66" s="1" t="s">
        <v>16</v>
      </c>
      <c r="B66" s="1">
        <f t="shared" ref="B66:B129" si="4">VALUE(C66)</f>
        <v>38.896999999999998</v>
      </c>
      <c r="C66" s="1" t="str">
        <f t="shared" ref="C66:C129" si="5">SUBSTITUTE(D66,"""","")</f>
        <v>38.897</v>
      </c>
      <c r="D66" s="1" t="str">
        <f t="shared" ref="D66:D129" si="6">LEFT(F66,7)</f>
        <v>38.897"</v>
      </c>
      <c r="E66" s="1" t="str">
        <f>RIGHT(chitar__3[[#This Row],[Column1.2]],LEN(chitar__3[[#This Row],[Column1.2]])-7)</f>
        <v xml:space="preserve"> string="0" fret="10" palmMute="1" /&gt;</v>
      </c>
      <c r="F66" s="1" t="s">
        <v>41</v>
      </c>
      <c r="G66" s="1"/>
      <c r="H66" s="1"/>
      <c r="I66" s="1"/>
      <c r="J66" s="1"/>
      <c r="L66" s="2" t="s">
        <v>16</v>
      </c>
      <c r="M66" s="3" t="str">
        <f t="shared" si="3"/>
        <v xml:space="preserve">        &lt;note time="38.897" string="1" fret="5" /&gt;</v>
      </c>
      <c r="N66" s="8" t="str">
        <f>chitar__3[[#This Row],[Column1.14]]</f>
        <v>38.897</v>
      </c>
      <c r="O66" s="4" t="s">
        <v>1181</v>
      </c>
    </row>
    <row r="67" spans="1:15" x14ac:dyDescent="0.45">
      <c r="A67" s="1" t="s">
        <v>16</v>
      </c>
      <c r="B67" s="1">
        <f t="shared" si="4"/>
        <v>39.127000000000002</v>
      </c>
      <c r="C67" s="1" t="str">
        <f t="shared" si="5"/>
        <v>39.127</v>
      </c>
      <c r="D67" s="1" t="str">
        <f t="shared" si="6"/>
        <v>39.127"</v>
      </c>
      <c r="E67" s="1" t="str">
        <f>RIGHT(chitar__3[[#This Row],[Column1.2]],LEN(chitar__3[[#This Row],[Column1.2]])-7)</f>
        <v xml:space="preserve"> string="0" fret="10" palmMute="1" /&gt;</v>
      </c>
      <c r="F67" s="1" t="s">
        <v>42</v>
      </c>
      <c r="G67" s="1"/>
      <c r="H67" s="1"/>
      <c r="I67" s="1"/>
      <c r="J67" s="1"/>
      <c r="L67" s="5" t="s">
        <v>16</v>
      </c>
      <c r="M67" s="3" t="str">
        <f t="shared" ref="M67:M130" si="7">L67&amp;"time="""&amp;N67&amp;RIGHT(O67,LEN(O67)-6)</f>
        <v xml:space="preserve">        &lt;note time="39.127" string="1" fret="5" /&gt;</v>
      </c>
      <c r="N67" s="8" t="str">
        <f>chitar__3[[#This Row],[Column1.14]]</f>
        <v>39.127</v>
      </c>
      <c r="O67" s="6" t="s">
        <v>1182</v>
      </c>
    </row>
    <row r="68" spans="1:15" x14ac:dyDescent="0.45">
      <c r="A68" s="1" t="s">
        <v>16</v>
      </c>
      <c r="B68" s="1">
        <f t="shared" si="4"/>
        <v>39.356999999999999</v>
      </c>
      <c r="C68" s="1" t="str">
        <f t="shared" si="5"/>
        <v>39.357</v>
      </c>
      <c r="D68" s="1" t="str">
        <f t="shared" si="6"/>
        <v>39.357"</v>
      </c>
      <c r="E68" s="1" t="str">
        <f>RIGHT(chitar__3[[#This Row],[Column1.2]],LEN(chitar__3[[#This Row],[Column1.2]])-7)</f>
        <v xml:space="preserve"> string="0" fret="10" palmMute="1" /&gt;</v>
      </c>
      <c r="F68" s="1" t="s">
        <v>43</v>
      </c>
      <c r="G68" s="1"/>
      <c r="H68" s="1"/>
      <c r="I68" s="1"/>
      <c r="J68" s="1"/>
      <c r="L68" s="2" t="s">
        <v>16</v>
      </c>
      <c r="M68" s="3" t="str">
        <f t="shared" si="7"/>
        <v xml:space="preserve">        &lt;note time="39.357" string="1" fret="5" /&gt;</v>
      </c>
      <c r="N68" s="8" t="str">
        <f>chitar__3[[#This Row],[Column1.14]]</f>
        <v>39.357</v>
      </c>
      <c r="O68" s="4" t="s">
        <v>1183</v>
      </c>
    </row>
    <row r="69" spans="1:15" x14ac:dyDescent="0.45">
      <c r="A69" s="1" t="s">
        <v>16</v>
      </c>
      <c r="B69" s="1">
        <f t="shared" si="4"/>
        <v>39.58</v>
      </c>
      <c r="C69" s="1" t="str">
        <f t="shared" si="5"/>
        <v>39.580</v>
      </c>
      <c r="D69" s="1" t="str">
        <f t="shared" si="6"/>
        <v>39.580"</v>
      </c>
      <c r="E69" s="1" t="str">
        <f>RIGHT(chitar__3[[#This Row],[Column1.2]],LEN(chitar__3[[#This Row],[Column1.2]])-7)</f>
        <v xml:space="preserve"> string="0" fret="10" palmMute="1" /&gt;</v>
      </c>
      <c r="F69" s="1" t="s">
        <v>44</v>
      </c>
      <c r="G69" s="1"/>
      <c r="H69" s="1"/>
      <c r="I69" s="1"/>
      <c r="J69" s="1"/>
      <c r="L69" s="5" t="s">
        <v>16</v>
      </c>
      <c r="M69" s="3" t="str">
        <f t="shared" si="7"/>
        <v xml:space="preserve">        &lt;note time="39.580" string="1" fret="5" /&gt;</v>
      </c>
      <c r="N69" s="8" t="str">
        <f>chitar__3[[#This Row],[Column1.14]]</f>
        <v>39.580</v>
      </c>
      <c r="O69" s="6" t="s">
        <v>1184</v>
      </c>
    </row>
    <row r="70" spans="1:15" x14ac:dyDescent="0.45">
      <c r="A70" s="1" t="s">
        <v>16</v>
      </c>
      <c r="B70" s="1">
        <f t="shared" si="4"/>
        <v>39.81</v>
      </c>
      <c r="C70" s="1" t="str">
        <f t="shared" si="5"/>
        <v>39.810</v>
      </c>
      <c r="D70" s="1" t="str">
        <f t="shared" si="6"/>
        <v>39.810"</v>
      </c>
      <c r="E70" s="1" t="str">
        <f>RIGHT(chitar__3[[#This Row],[Column1.2]],LEN(chitar__3[[#This Row],[Column1.2]])-7)</f>
        <v xml:space="preserve"> string="0" fret="10" palmMute="1" /&gt;</v>
      </c>
      <c r="F70" s="1" t="s">
        <v>45</v>
      </c>
      <c r="G70" s="1"/>
      <c r="H70" s="1"/>
      <c r="I70" s="1"/>
      <c r="J70" s="1"/>
      <c r="L70" s="2" t="s">
        <v>16</v>
      </c>
      <c r="M70" s="3" t="str">
        <f t="shared" si="7"/>
        <v xml:space="preserve">        &lt;note time="39.810" string="1" fret="5" /&gt;</v>
      </c>
      <c r="N70" s="8" t="str">
        <f>chitar__3[[#This Row],[Column1.14]]</f>
        <v>39.810</v>
      </c>
      <c r="O70" s="4" t="s">
        <v>1185</v>
      </c>
    </row>
    <row r="71" spans="1:15" x14ac:dyDescent="0.45">
      <c r="A71" s="1" t="s">
        <v>16</v>
      </c>
      <c r="B71" s="1">
        <f t="shared" si="4"/>
        <v>40.04</v>
      </c>
      <c r="C71" s="1" t="str">
        <f t="shared" si="5"/>
        <v>40.040</v>
      </c>
      <c r="D71" s="1" t="str">
        <f t="shared" si="6"/>
        <v>40.040"</v>
      </c>
      <c r="E71" s="1" t="str">
        <f>RIGHT(chitar__3[[#This Row],[Column1.2]],LEN(chitar__3[[#This Row],[Column1.2]])-7)</f>
        <v xml:space="preserve"> string="0" fret="10" palmMute="1" /&gt;</v>
      </c>
      <c r="F71" s="1" t="s">
        <v>46</v>
      </c>
      <c r="G71" s="1"/>
      <c r="H71" s="1"/>
      <c r="I71" s="1"/>
      <c r="J71" s="1"/>
      <c r="L71" s="5" t="s">
        <v>16</v>
      </c>
      <c r="M71" s="3" t="str">
        <f t="shared" si="7"/>
        <v xml:space="preserve">        &lt;note time="40.040" string="1" fret="5" /&gt;</v>
      </c>
      <c r="N71" s="8" t="str">
        <f>chitar__3[[#This Row],[Column1.14]]</f>
        <v>40.040</v>
      </c>
      <c r="O71" s="6" t="s">
        <v>1186</v>
      </c>
    </row>
    <row r="72" spans="1:15" x14ac:dyDescent="0.45">
      <c r="A72" s="1" t="s">
        <v>16</v>
      </c>
      <c r="B72" s="1">
        <f t="shared" si="4"/>
        <v>40.270000000000003</v>
      </c>
      <c r="C72" s="1" t="str">
        <f t="shared" si="5"/>
        <v>40.270</v>
      </c>
      <c r="D72" s="1" t="str">
        <f t="shared" si="6"/>
        <v>40.270"</v>
      </c>
      <c r="E72" s="1" t="str">
        <f>RIGHT(chitar__3[[#This Row],[Column1.2]],LEN(chitar__3[[#This Row],[Column1.2]])-7)</f>
        <v xml:space="preserve"> string="0" fret="10" palmMute="1" /&gt;</v>
      </c>
      <c r="F72" s="1" t="s">
        <v>47</v>
      </c>
      <c r="G72" s="1"/>
      <c r="H72" s="1"/>
      <c r="I72" s="1"/>
      <c r="J72" s="1"/>
      <c r="L72" s="2" t="s">
        <v>16</v>
      </c>
      <c r="M72" s="3" t="str">
        <f t="shared" si="7"/>
        <v xml:space="preserve">        &lt;note time="40.270" string="1" fret="5" /&gt;</v>
      </c>
      <c r="N72" s="8" t="str">
        <f>chitar__3[[#This Row],[Column1.14]]</f>
        <v>40.270</v>
      </c>
      <c r="O72" s="4" t="s">
        <v>1187</v>
      </c>
    </row>
    <row r="73" spans="1:15" x14ac:dyDescent="0.45">
      <c r="A73" s="1" t="s">
        <v>16</v>
      </c>
      <c r="B73" s="1">
        <f t="shared" si="4"/>
        <v>40.5</v>
      </c>
      <c r="C73" s="1" t="str">
        <f t="shared" si="5"/>
        <v>40.500</v>
      </c>
      <c r="D73" s="1" t="str">
        <f t="shared" si="6"/>
        <v>40.500"</v>
      </c>
      <c r="E73" s="1" t="str">
        <f>RIGHT(chitar__3[[#This Row],[Column1.2]],LEN(chitar__3[[#This Row],[Column1.2]])-7)</f>
        <v xml:space="preserve"> string="0" fret="10" palmMute="1" /&gt;</v>
      </c>
      <c r="F73" s="1" t="s">
        <v>48</v>
      </c>
      <c r="G73" s="1"/>
      <c r="H73" s="1"/>
      <c r="I73" s="1"/>
      <c r="J73" s="1"/>
      <c r="L73" s="5" t="s">
        <v>16</v>
      </c>
      <c r="M73" s="3" t="str">
        <f t="shared" si="7"/>
        <v xml:space="preserve">        &lt;note time="40.500" string="1" fret="5" /&gt;</v>
      </c>
      <c r="N73" s="8" t="str">
        <f>chitar__3[[#This Row],[Column1.14]]</f>
        <v>40.500</v>
      </c>
      <c r="O73" s="6" t="s">
        <v>1188</v>
      </c>
    </row>
    <row r="74" spans="1:15" x14ac:dyDescent="0.45">
      <c r="A74" s="1" t="s">
        <v>16</v>
      </c>
      <c r="B74" s="1">
        <f t="shared" si="4"/>
        <v>40.729999999999997</v>
      </c>
      <c r="C74" s="1" t="str">
        <f t="shared" si="5"/>
        <v>40.730</v>
      </c>
      <c r="D74" s="1" t="str">
        <f t="shared" si="6"/>
        <v>40.730"</v>
      </c>
      <c r="E74" s="1" t="str">
        <f>RIGHT(chitar__3[[#This Row],[Column1.2]],LEN(chitar__3[[#This Row],[Column1.2]])-7)</f>
        <v xml:space="preserve"> string="0" fret="10" palmMute="1" /&gt;</v>
      </c>
      <c r="F74" s="1" t="s">
        <v>49</v>
      </c>
      <c r="G74" s="1"/>
      <c r="H74" s="1"/>
      <c r="I74" s="1"/>
      <c r="J74" s="1"/>
      <c r="L74" s="2" t="s">
        <v>16</v>
      </c>
      <c r="M74" s="3" t="str">
        <f t="shared" si="7"/>
        <v xml:space="preserve">        &lt;note time="40.730" string="1" fret="5" /&gt;</v>
      </c>
      <c r="N74" s="8" t="str">
        <f>chitar__3[[#This Row],[Column1.14]]</f>
        <v>40.730</v>
      </c>
      <c r="O74" s="4" t="s">
        <v>1189</v>
      </c>
    </row>
    <row r="75" spans="1:15" x14ac:dyDescent="0.45">
      <c r="A75" s="1" t="s">
        <v>16</v>
      </c>
      <c r="B75" s="1">
        <f t="shared" si="4"/>
        <v>40.96</v>
      </c>
      <c r="C75" s="1" t="str">
        <f t="shared" si="5"/>
        <v>40.960</v>
      </c>
      <c r="D75" s="1" t="str">
        <f t="shared" si="6"/>
        <v>40.960"</v>
      </c>
      <c r="E75" s="1" t="str">
        <f>RIGHT(chitar__3[[#This Row],[Column1.2]],LEN(chitar__3[[#This Row],[Column1.2]])-7)</f>
        <v xml:space="preserve"> string="0" fret="10" palmMute="1" /&gt;</v>
      </c>
      <c r="F75" s="1" t="s">
        <v>50</v>
      </c>
      <c r="G75" s="1"/>
      <c r="H75" s="1"/>
      <c r="I75" s="1"/>
      <c r="J75" s="1"/>
      <c r="L75" s="5" t="s">
        <v>16</v>
      </c>
      <c r="M75" s="3" t="str">
        <f t="shared" si="7"/>
        <v xml:space="preserve">        &lt;note time="40.960" string="1" fret="5" /&gt;</v>
      </c>
      <c r="N75" s="8" t="str">
        <f>chitar__3[[#This Row],[Column1.14]]</f>
        <v>40.960</v>
      </c>
      <c r="O75" s="6" t="s">
        <v>1190</v>
      </c>
    </row>
    <row r="76" spans="1:15" x14ac:dyDescent="0.45">
      <c r="A76" s="1" t="s">
        <v>16</v>
      </c>
      <c r="B76" s="1">
        <f t="shared" si="4"/>
        <v>41.19</v>
      </c>
      <c r="C76" s="1" t="str">
        <f t="shared" si="5"/>
        <v>41.190</v>
      </c>
      <c r="D76" s="1" t="str">
        <f t="shared" si="6"/>
        <v>41.190"</v>
      </c>
      <c r="E76" s="1" t="str">
        <f>RIGHT(chitar__3[[#This Row],[Column1.2]],LEN(chitar__3[[#This Row],[Column1.2]])-7)</f>
        <v xml:space="preserve"> string="0" fret="10" palmMute="1" /&gt;</v>
      </c>
      <c r="F76" s="1" t="s">
        <v>51</v>
      </c>
      <c r="G76" s="1"/>
      <c r="H76" s="1"/>
      <c r="I76" s="1"/>
      <c r="J76" s="1"/>
      <c r="L76" s="2" t="s">
        <v>16</v>
      </c>
      <c r="M76" s="3" t="str">
        <f t="shared" si="7"/>
        <v xml:space="preserve">        &lt;note time="41.190" string="1" fret="5" /&gt;</v>
      </c>
      <c r="N76" s="8" t="str">
        <f>chitar__3[[#This Row],[Column1.14]]</f>
        <v>41.190</v>
      </c>
      <c r="O76" s="4" t="s">
        <v>1191</v>
      </c>
    </row>
    <row r="77" spans="1:15" x14ac:dyDescent="0.45">
      <c r="A77" s="1" t="s">
        <v>388</v>
      </c>
      <c r="B77" s="1">
        <f t="shared" si="4"/>
        <v>41.35</v>
      </c>
      <c r="C77" s="1" t="str">
        <f t="shared" si="5"/>
        <v>41.350</v>
      </c>
      <c r="D77" s="1" t="str">
        <f t="shared" si="6"/>
        <v>41.350"</v>
      </c>
      <c r="E77" s="1" t="str">
        <f>RIGHT(chitar__3[[#This Row],[Column1.2]],LEN(chitar__3[[#This Row],[Column1.2]])-7)</f>
        <v xml:space="preserve"> chordId="0" &gt;&lt;chordNote </v>
      </c>
      <c r="F77" s="1" t="s">
        <v>428</v>
      </c>
      <c r="G77" s="1" t="s">
        <v>707</v>
      </c>
      <c r="H77" s="1" t="s">
        <v>708</v>
      </c>
      <c r="I77" s="1"/>
      <c r="J77" s="1"/>
      <c r="L77" s="5" t="s">
        <v>16</v>
      </c>
      <c r="M77" s="3" t="str">
        <f t="shared" si="7"/>
        <v xml:space="preserve">        &lt;note time="41.350" string="2" fret="5" /&gt;</v>
      </c>
      <c r="N77" s="8" t="str">
        <f>chitar__3[[#This Row],[Column1.14]]</f>
        <v>41.350</v>
      </c>
      <c r="O77" s="6" t="s">
        <v>1192</v>
      </c>
    </row>
    <row r="78" spans="1:15" x14ac:dyDescent="0.45">
      <c r="A78" s="1" t="s">
        <v>388</v>
      </c>
      <c r="B78" s="1">
        <f t="shared" si="4"/>
        <v>41.73</v>
      </c>
      <c r="C78" s="1" t="str">
        <f t="shared" si="5"/>
        <v>41.730</v>
      </c>
      <c r="D78" s="1" t="str">
        <f t="shared" si="6"/>
        <v>41.730"</v>
      </c>
      <c r="E78" s="1" t="str">
        <f>RIGHT(chitar__3[[#This Row],[Column1.2]],LEN(chitar__3[[#This Row],[Column1.2]])-7)</f>
        <v xml:space="preserve"> chordId="1" &gt;&lt;chordNote </v>
      </c>
      <c r="F78" s="1" t="s">
        <v>429</v>
      </c>
      <c r="G78" s="1" t="s">
        <v>709</v>
      </c>
      <c r="H78" s="1" t="s">
        <v>710</v>
      </c>
      <c r="I78" s="1"/>
      <c r="J78" s="1"/>
      <c r="L78" s="2" t="s">
        <v>16</v>
      </c>
      <c r="M78" s="3" t="str">
        <f t="shared" si="7"/>
        <v xml:space="preserve">        &lt;note time="41.730" string="2" fret="3" sustain="0.21" /&gt;</v>
      </c>
      <c r="N78" s="8" t="str">
        <f>chitar__3[[#This Row],[Column1.14]]</f>
        <v>41.730</v>
      </c>
      <c r="O78" s="4" t="s">
        <v>1736</v>
      </c>
    </row>
    <row r="79" spans="1:15" x14ac:dyDescent="0.45">
      <c r="A79" s="1" t="s">
        <v>388</v>
      </c>
      <c r="B79" s="1">
        <f t="shared" si="4"/>
        <v>42.182000000000002</v>
      </c>
      <c r="C79" s="1" t="str">
        <f t="shared" si="5"/>
        <v>42.182</v>
      </c>
      <c r="D79" s="1" t="str">
        <f t="shared" si="6"/>
        <v>42.182"</v>
      </c>
      <c r="E79" s="1" t="str">
        <f>RIGHT(chitar__3[[#This Row],[Column1.2]],LEN(chitar__3[[#This Row],[Column1.2]])-7)</f>
        <v xml:space="preserve"> chordId="7" &gt;&lt;chordNote </v>
      </c>
      <c r="F79" s="1" t="s">
        <v>430</v>
      </c>
      <c r="G79" s="1" t="s">
        <v>711</v>
      </c>
      <c r="H79" s="1" t="s">
        <v>712</v>
      </c>
      <c r="I79" s="1"/>
      <c r="J79" s="1"/>
      <c r="L79" s="5" t="s">
        <v>16</v>
      </c>
      <c r="M79" s="3" t="str">
        <f t="shared" si="7"/>
        <v xml:space="preserve">        &lt;note time="42.182" string="1" fret="5" /&gt;</v>
      </c>
      <c r="N79" s="8" t="str">
        <f>chitar__3[[#This Row],[Column1.14]]</f>
        <v>42.182</v>
      </c>
      <c r="O79" s="6" t="s">
        <v>1194</v>
      </c>
    </row>
    <row r="80" spans="1:15" x14ac:dyDescent="0.45">
      <c r="A80" s="1" t="s">
        <v>16</v>
      </c>
      <c r="B80" s="1">
        <f t="shared" si="4"/>
        <v>42.411999999999999</v>
      </c>
      <c r="C80" s="1" t="str">
        <f t="shared" si="5"/>
        <v>42.412</v>
      </c>
      <c r="D80" s="1" t="str">
        <f t="shared" si="6"/>
        <v>42.412"</v>
      </c>
      <c r="E80" s="1" t="str">
        <f>RIGHT(chitar__3[[#This Row],[Column1.2]],LEN(chitar__3[[#This Row],[Column1.2]])-7)</f>
        <v xml:space="preserve"> string="0" fret="10" palmMute="1" /&gt;</v>
      </c>
      <c r="F80" s="1" t="s">
        <v>52</v>
      </c>
      <c r="G80" s="1"/>
      <c r="H80" s="1"/>
      <c r="I80" s="1"/>
      <c r="J80" s="1"/>
      <c r="L80" s="2" t="s">
        <v>16</v>
      </c>
      <c r="M80" s="3" t="str">
        <f t="shared" si="7"/>
        <v xml:space="preserve">        &lt;note time="42.412" string="1" fret="5" /&gt;</v>
      </c>
      <c r="N80" s="8" t="str">
        <f>chitar__3[[#This Row],[Column1.14]]</f>
        <v>42.412</v>
      </c>
      <c r="O80" s="4" t="s">
        <v>1195</v>
      </c>
    </row>
    <row r="81" spans="1:15" x14ac:dyDescent="0.45">
      <c r="A81" s="1" t="s">
        <v>16</v>
      </c>
      <c r="B81" s="1">
        <f t="shared" si="4"/>
        <v>42.642000000000003</v>
      </c>
      <c r="C81" s="1" t="str">
        <f t="shared" si="5"/>
        <v>42.642</v>
      </c>
      <c r="D81" s="1" t="str">
        <f t="shared" si="6"/>
        <v>42.642"</v>
      </c>
      <c r="E81" s="1" t="str">
        <f>RIGHT(chitar__3[[#This Row],[Column1.2]],LEN(chitar__3[[#This Row],[Column1.2]])-7)</f>
        <v xml:space="preserve"> string="0" fret="10" palmMute="1" /&gt;</v>
      </c>
      <c r="F81" s="1" t="s">
        <v>53</v>
      </c>
      <c r="G81" s="1"/>
      <c r="H81" s="1"/>
      <c r="I81" s="1"/>
      <c r="J81" s="1"/>
      <c r="L81" s="5" t="s">
        <v>16</v>
      </c>
      <c r="M81" s="3" t="str">
        <f t="shared" si="7"/>
        <v xml:space="preserve">        &lt;note time="42.642" string="1" fret="5" /&gt;</v>
      </c>
      <c r="N81" s="8" t="str">
        <f>chitar__3[[#This Row],[Column1.14]]</f>
        <v>42.642</v>
      </c>
      <c r="O81" s="6" t="s">
        <v>1196</v>
      </c>
    </row>
    <row r="82" spans="1:15" x14ac:dyDescent="0.45">
      <c r="A82" s="1" t="s">
        <v>16</v>
      </c>
      <c r="B82" s="1">
        <f t="shared" si="4"/>
        <v>42.872</v>
      </c>
      <c r="C82" s="1" t="str">
        <f t="shared" si="5"/>
        <v>42.872</v>
      </c>
      <c r="D82" s="1" t="str">
        <f t="shared" si="6"/>
        <v>42.872"</v>
      </c>
      <c r="E82" s="1" t="str">
        <f>RIGHT(chitar__3[[#This Row],[Column1.2]],LEN(chitar__3[[#This Row],[Column1.2]])-7)</f>
        <v xml:space="preserve"> string="0" fret="10" palmMute="1" /&gt;</v>
      </c>
      <c r="F82" s="1" t="s">
        <v>54</v>
      </c>
      <c r="G82" s="1"/>
      <c r="H82" s="1"/>
      <c r="I82" s="1"/>
      <c r="J82" s="1"/>
      <c r="L82" s="2" t="s">
        <v>16</v>
      </c>
      <c r="M82" s="3" t="str">
        <f t="shared" si="7"/>
        <v xml:space="preserve">        &lt;note time="42.872" string="1" fret="5" /&gt;</v>
      </c>
      <c r="N82" s="8" t="str">
        <f>chitar__3[[#This Row],[Column1.14]]</f>
        <v>42.872</v>
      </c>
      <c r="O82" s="4" t="s">
        <v>1197</v>
      </c>
    </row>
    <row r="83" spans="1:15" x14ac:dyDescent="0.45">
      <c r="A83" s="1" t="s">
        <v>16</v>
      </c>
      <c r="B83" s="1">
        <f t="shared" si="4"/>
        <v>43.094999999999999</v>
      </c>
      <c r="C83" s="1" t="str">
        <f t="shared" si="5"/>
        <v>43.095</v>
      </c>
      <c r="D83" s="1" t="str">
        <f t="shared" si="6"/>
        <v>43.095"</v>
      </c>
      <c r="E83" s="1" t="str">
        <f>RIGHT(chitar__3[[#This Row],[Column1.2]],LEN(chitar__3[[#This Row],[Column1.2]])-7)</f>
        <v xml:space="preserve"> string="0" fret="10" palmMute="1" /&gt;</v>
      </c>
      <c r="F83" s="1" t="s">
        <v>55</v>
      </c>
      <c r="G83" s="1"/>
      <c r="H83" s="1"/>
      <c r="I83" s="1"/>
      <c r="J83" s="1"/>
      <c r="L83" s="5" t="s">
        <v>16</v>
      </c>
      <c r="M83" s="3" t="str">
        <f t="shared" si="7"/>
        <v xml:space="preserve">        &lt;note time="43.095" string="1" fret="5" /&gt;</v>
      </c>
      <c r="N83" s="8" t="str">
        <f>chitar__3[[#This Row],[Column1.14]]</f>
        <v>43.095</v>
      </c>
      <c r="O83" s="6" t="s">
        <v>1198</v>
      </c>
    </row>
    <row r="84" spans="1:15" x14ac:dyDescent="0.45">
      <c r="A84" s="1" t="s">
        <v>16</v>
      </c>
      <c r="B84" s="1">
        <f t="shared" si="4"/>
        <v>43.325000000000003</v>
      </c>
      <c r="C84" s="1" t="str">
        <f t="shared" si="5"/>
        <v>43.325</v>
      </c>
      <c r="D84" s="1" t="str">
        <f t="shared" si="6"/>
        <v>43.325"</v>
      </c>
      <c r="E84" s="1" t="str">
        <f>RIGHT(chitar__3[[#This Row],[Column1.2]],LEN(chitar__3[[#This Row],[Column1.2]])-7)</f>
        <v xml:space="preserve"> string="0" fret="10" palmMute="1" /&gt;</v>
      </c>
      <c r="F84" s="1" t="s">
        <v>56</v>
      </c>
      <c r="G84" s="1"/>
      <c r="H84" s="1"/>
      <c r="I84" s="1"/>
      <c r="J84" s="1"/>
      <c r="L84" s="2" t="s">
        <v>16</v>
      </c>
      <c r="M84" s="3" t="str">
        <f t="shared" si="7"/>
        <v xml:space="preserve">        &lt;note time="43.325" string="1" fret="5" /&gt;</v>
      </c>
      <c r="N84" s="8" t="str">
        <f>chitar__3[[#This Row],[Column1.14]]</f>
        <v>43.325</v>
      </c>
      <c r="O84" s="4" t="s">
        <v>1199</v>
      </c>
    </row>
    <row r="85" spans="1:15" x14ac:dyDescent="0.45">
      <c r="A85" s="1" t="s">
        <v>16</v>
      </c>
      <c r="B85" s="1">
        <f t="shared" si="4"/>
        <v>43.555</v>
      </c>
      <c r="C85" s="1" t="str">
        <f t="shared" si="5"/>
        <v>43.555</v>
      </c>
      <c r="D85" s="1" t="str">
        <f t="shared" si="6"/>
        <v>43.555"</v>
      </c>
      <c r="E85" s="1" t="str">
        <f>RIGHT(chitar__3[[#This Row],[Column1.2]],LEN(chitar__3[[#This Row],[Column1.2]])-7)</f>
        <v xml:space="preserve"> string="0" fret="10" palmMute="1" /&gt;</v>
      </c>
      <c r="F85" s="1" t="s">
        <v>57</v>
      </c>
      <c r="G85" s="1"/>
      <c r="H85" s="1"/>
      <c r="I85" s="1"/>
      <c r="J85" s="1"/>
      <c r="L85" s="5" t="s">
        <v>16</v>
      </c>
      <c r="M85" s="3" t="str">
        <f t="shared" si="7"/>
        <v xml:space="preserve">        &lt;note time="43.555" string="1" fret="5" /&gt;</v>
      </c>
      <c r="N85" s="8" t="str">
        <f>chitar__3[[#This Row],[Column1.14]]</f>
        <v>43.555</v>
      </c>
      <c r="O85" s="6" t="s">
        <v>1200</v>
      </c>
    </row>
    <row r="86" spans="1:15" x14ac:dyDescent="0.45">
      <c r="A86" s="1" t="s">
        <v>16</v>
      </c>
      <c r="B86" s="1">
        <f t="shared" si="4"/>
        <v>43.784999999999997</v>
      </c>
      <c r="C86" s="1" t="str">
        <f t="shared" si="5"/>
        <v>43.785</v>
      </c>
      <c r="D86" s="1" t="str">
        <f t="shared" si="6"/>
        <v>43.785"</v>
      </c>
      <c r="E86" s="1" t="str">
        <f>RIGHT(chitar__3[[#This Row],[Column1.2]],LEN(chitar__3[[#This Row],[Column1.2]])-7)</f>
        <v xml:space="preserve"> string="0" fret="10" palmMute="1" /&gt;</v>
      </c>
      <c r="F86" s="1" t="s">
        <v>58</v>
      </c>
      <c r="G86" s="1"/>
      <c r="H86" s="1"/>
      <c r="I86" s="1"/>
      <c r="J86" s="1"/>
      <c r="L86" s="2" t="s">
        <v>16</v>
      </c>
      <c r="M86" s="3" t="str">
        <f t="shared" si="7"/>
        <v xml:space="preserve">        &lt;note time="43.785" string="1" fret="5" /&gt;</v>
      </c>
      <c r="N86" s="8" t="str">
        <f>chitar__3[[#This Row],[Column1.14]]</f>
        <v>43.785</v>
      </c>
      <c r="O86" s="4" t="s">
        <v>1201</v>
      </c>
    </row>
    <row r="87" spans="1:15" x14ac:dyDescent="0.45">
      <c r="A87" s="1" t="s">
        <v>16</v>
      </c>
      <c r="B87" s="1">
        <f t="shared" si="4"/>
        <v>44.015000000000001</v>
      </c>
      <c r="C87" s="1" t="str">
        <f t="shared" si="5"/>
        <v>44.015</v>
      </c>
      <c r="D87" s="1" t="str">
        <f t="shared" si="6"/>
        <v>44.015"</v>
      </c>
      <c r="E87" s="1" t="str">
        <f>RIGHT(chitar__3[[#This Row],[Column1.2]],LEN(chitar__3[[#This Row],[Column1.2]])-7)</f>
        <v xml:space="preserve"> string="0" fret="10" palmMute="1" /&gt;</v>
      </c>
      <c r="F87" s="1" t="s">
        <v>59</v>
      </c>
      <c r="G87" s="1"/>
      <c r="H87" s="1"/>
      <c r="I87" s="1"/>
      <c r="J87" s="1"/>
      <c r="L87" s="5" t="s">
        <v>16</v>
      </c>
      <c r="M87" s="3" t="str">
        <f t="shared" si="7"/>
        <v xml:space="preserve">        &lt;note time="44.015" string="1" fret="5" /&gt;</v>
      </c>
      <c r="N87" s="8" t="str">
        <f>chitar__3[[#This Row],[Column1.14]]</f>
        <v>44.015</v>
      </c>
      <c r="O87" s="6" t="s">
        <v>1202</v>
      </c>
    </row>
    <row r="88" spans="1:15" x14ac:dyDescent="0.45">
      <c r="A88" s="1" t="s">
        <v>16</v>
      </c>
      <c r="B88" s="1">
        <f t="shared" si="4"/>
        <v>44.244999999999997</v>
      </c>
      <c r="C88" s="1" t="str">
        <f t="shared" si="5"/>
        <v>44.245</v>
      </c>
      <c r="D88" s="1" t="str">
        <f t="shared" si="6"/>
        <v>44.245"</v>
      </c>
      <c r="E88" s="1" t="str">
        <f>RIGHT(chitar__3[[#This Row],[Column1.2]],LEN(chitar__3[[#This Row],[Column1.2]])-7)</f>
        <v xml:space="preserve"> string="0" fret="10" palmMute="1" /&gt;</v>
      </c>
      <c r="F88" s="1" t="s">
        <v>60</v>
      </c>
      <c r="G88" s="1"/>
      <c r="H88" s="1"/>
      <c r="I88" s="1"/>
      <c r="J88" s="1"/>
      <c r="L88" s="2" t="s">
        <v>16</v>
      </c>
      <c r="M88" s="3" t="str">
        <f t="shared" si="7"/>
        <v xml:space="preserve">        &lt;note time="44.245" string="1" fret="5" /&gt;</v>
      </c>
      <c r="N88" s="8" t="str">
        <f>chitar__3[[#This Row],[Column1.14]]</f>
        <v>44.245</v>
      </c>
      <c r="O88" s="4" t="s">
        <v>1203</v>
      </c>
    </row>
    <row r="89" spans="1:15" x14ac:dyDescent="0.45">
      <c r="A89" s="1" t="s">
        <v>16</v>
      </c>
      <c r="B89" s="1">
        <f t="shared" si="4"/>
        <v>44.475000000000001</v>
      </c>
      <c r="C89" s="1" t="str">
        <f t="shared" si="5"/>
        <v>44.475</v>
      </c>
      <c r="D89" s="1" t="str">
        <f t="shared" si="6"/>
        <v>44.475"</v>
      </c>
      <c r="E89" s="1" t="str">
        <f>RIGHT(chitar__3[[#This Row],[Column1.2]],LEN(chitar__3[[#This Row],[Column1.2]])-7)</f>
        <v xml:space="preserve"> string="0" fret="10" palmMute="1" /&gt;</v>
      </c>
      <c r="F89" s="1" t="s">
        <v>61</v>
      </c>
      <c r="G89" s="1"/>
      <c r="H89" s="1"/>
      <c r="I89" s="1"/>
      <c r="J89" s="1"/>
      <c r="L89" s="5" t="s">
        <v>16</v>
      </c>
      <c r="M89" s="3" t="str">
        <f t="shared" si="7"/>
        <v xml:space="preserve">        &lt;note time="44.475" string="1" fret="5" /&gt;</v>
      </c>
      <c r="N89" s="8" t="str">
        <f>chitar__3[[#This Row],[Column1.14]]</f>
        <v>44.475</v>
      </c>
      <c r="O89" s="6" t="s">
        <v>1204</v>
      </c>
    </row>
    <row r="90" spans="1:15" x14ac:dyDescent="0.45">
      <c r="A90" s="1" t="s">
        <v>16</v>
      </c>
      <c r="B90" s="1">
        <f t="shared" si="4"/>
        <v>44.704999999999998</v>
      </c>
      <c r="C90" s="1" t="str">
        <f t="shared" si="5"/>
        <v>44.705</v>
      </c>
      <c r="D90" s="1" t="str">
        <f t="shared" si="6"/>
        <v>44.705"</v>
      </c>
      <c r="E90" s="1" t="str">
        <f>RIGHT(chitar__3[[#This Row],[Column1.2]],LEN(chitar__3[[#This Row],[Column1.2]])-7)</f>
        <v xml:space="preserve"> string="0" fret="10" palmMute="1" /&gt;</v>
      </c>
      <c r="F90" s="1" t="s">
        <v>62</v>
      </c>
      <c r="G90" s="1"/>
      <c r="H90" s="1"/>
      <c r="I90" s="1"/>
      <c r="J90" s="1"/>
      <c r="L90" s="2" t="s">
        <v>16</v>
      </c>
      <c r="M90" s="3" t="str">
        <f t="shared" si="7"/>
        <v xml:space="preserve">        &lt;note time="44.705" string="1" fret="5" /&gt;</v>
      </c>
      <c r="N90" s="8" t="str">
        <f>chitar__3[[#This Row],[Column1.14]]</f>
        <v>44.705</v>
      </c>
      <c r="O90" s="4" t="s">
        <v>1205</v>
      </c>
    </row>
    <row r="91" spans="1:15" x14ac:dyDescent="0.45">
      <c r="A91" s="1" t="s">
        <v>388</v>
      </c>
      <c r="B91" s="1">
        <f t="shared" si="4"/>
        <v>44.865000000000002</v>
      </c>
      <c r="C91" s="1" t="str">
        <f t="shared" si="5"/>
        <v>44.865</v>
      </c>
      <c r="D91" s="1" t="str">
        <f t="shared" si="6"/>
        <v>44.865"</v>
      </c>
      <c r="E91" s="1" t="str">
        <f>RIGHT(chitar__3[[#This Row],[Column1.2]],LEN(chitar__3[[#This Row],[Column1.2]])-7)</f>
        <v xml:space="preserve"> chordId="0" &gt;&lt;chordNote </v>
      </c>
      <c r="F91" s="1" t="s">
        <v>431</v>
      </c>
      <c r="G91" s="1" t="s">
        <v>713</v>
      </c>
      <c r="H91" s="1" t="s">
        <v>714</v>
      </c>
      <c r="I91" s="1"/>
      <c r="J91" s="1"/>
      <c r="L91" s="5" t="s">
        <v>16</v>
      </c>
      <c r="M91" s="3" t="str">
        <f t="shared" si="7"/>
        <v xml:space="preserve">        &lt;note time="44.865" string="2" fret="5" /&gt;</v>
      </c>
      <c r="N91" s="8" t="str">
        <f>chitar__3[[#This Row],[Column1.14]]</f>
        <v>44.865</v>
      </c>
      <c r="O91" s="6" t="s">
        <v>1206</v>
      </c>
    </row>
    <row r="92" spans="1:15" x14ac:dyDescent="0.45">
      <c r="A92" s="1" t="s">
        <v>388</v>
      </c>
      <c r="B92" s="1">
        <f t="shared" si="4"/>
        <v>45.255000000000003</v>
      </c>
      <c r="C92" s="1" t="str">
        <f t="shared" si="5"/>
        <v>45.255</v>
      </c>
      <c r="D92" s="1" t="str">
        <f t="shared" si="6"/>
        <v>45.255"</v>
      </c>
      <c r="E92" s="1" t="str">
        <f>RIGHT(chitar__3[[#This Row],[Column1.2]],LEN(chitar__3[[#This Row],[Column1.2]])-7)</f>
        <v xml:space="preserve"> chordId="1" &gt;&lt;chordNote </v>
      </c>
      <c r="F92" s="1" t="s">
        <v>432</v>
      </c>
      <c r="G92" s="1" t="s">
        <v>715</v>
      </c>
      <c r="H92" s="1" t="s">
        <v>716</v>
      </c>
      <c r="I92" s="1"/>
      <c r="J92" s="1"/>
      <c r="L92" s="2" t="s">
        <v>16</v>
      </c>
      <c r="M92" s="3" t="str">
        <f t="shared" si="7"/>
        <v xml:space="preserve">        &lt;note time="45.255" string="2" fret="3" sustain="0.21" /&gt;</v>
      </c>
      <c r="N92" s="8" t="str">
        <f>chitar__3[[#This Row],[Column1.14]]</f>
        <v>45.255</v>
      </c>
      <c r="O92" s="4" t="s">
        <v>1737</v>
      </c>
    </row>
    <row r="93" spans="1:15" x14ac:dyDescent="0.45">
      <c r="A93" s="1" t="s">
        <v>388</v>
      </c>
      <c r="B93" s="1">
        <f t="shared" si="4"/>
        <v>45.704999999999998</v>
      </c>
      <c r="C93" s="1" t="str">
        <f t="shared" si="5"/>
        <v>45.705</v>
      </c>
      <c r="D93" s="1" t="str">
        <f t="shared" si="6"/>
        <v>45.705"</v>
      </c>
      <c r="E93" s="1" t="str">
        <f>RIGHT(chitar__3[[#This Row],[Column1.2]],LEN(chitar__3[[#This Row],[Column1.2]])-7)</f>
        <v xml:space="preserve"> chordId="7" &gt;&lt;chordNote </v>
      </c>
      <c r="F93" s="1" t="s">
        <v>433</v>
      </c>
      <c r="G93" s="1" t="s">
        <v>717</v>
      </c>
      <c r="H93" s="1" t="s">
        <v>718</v>
      </c>
      <c r="I93" s="1"/>
      <c r="J93" s="1"/>
      <c r="L93" s="5" t="s">
        <v>16</v>
      </c>
      <c r="M93" s="3" t="str">
        <f t="shared" si="7"/>
        <v xml:space="preserve">        &lt;note time="45.705" string="1" fret="5" /&gt;</v>
      </c>
      <c r="N93" s="8" t="str">
        <f>chitar__3[[#This Row],[Column1.14]]</f>
        <v>45.705</v>
      </c>
      <c r="O93" s="6" t="s">
        <v>1208</v>
      </c>
    </row>
    <row r="94" spans="1:15" x14ac:dyDescent="0.45">
      <c r="A94" s="1" t="s">
        <v>16</v>
      </c>
      <c r="B94" s="1">
        <f t="shared" si="4"/>
        <v>45.935000000000002</v>
      </c>
      <c r="C94" s="1" t="str">
        <f t="shared" si="5"/>
        <v>45.935</v>
      </c>
      <c r="D94" s="1" t="str">
        <f t="shared" si="6"/>
        <v>45.935"</v>
      </c>
      <c r="E94" s="1" t="str">
        <f>RIGHT(chitar__3[[#This Row],[Column1.2]],LEN(chitar__3[[#This Row],[Column1.2]])-7)</f>
        <v xml:space="preserve"> string="0" fret="10" palmMute="1" /&gt;</v>
      </c>
      <c r="F94" s="1" t="s">
        <v>63</v>
      </c>
      <c r="G94" s="1"/>
      <c r="H94" s="1"/>
      <c r="I94" s="1"/>
      <c r="J94" s="1"/>
      <c r="L94" s="2" t="s">
        <v>16</v>
      </c>
      <c r="M94" s="3" t="str">
        <f t="shared" si="7"/>
        <v xml:space="preserve">        &lt;note time="45.935" string="1" fret="5" /&gt;</v>
      </c>
      <c r="N94" s="8" t="str">
        <f>chitar__3[[#This Row],[Column1.14]]</f>
        <v>45.935</v>
      </c>
      <c r="O94" s="4" t="s">
        <v>1209</v>
      </c>
    </row>
    <row r="95" spans="1:15" x14ac:dyDescent="0.45">
      <c r="A95" s="1" t="s">
        <v>16</v>
      </c>
      <c r="B95" s="1">
        <f t="shared" si="4"/>
        <v>46.164999999999999</v>
      </c>
      <c r="C95" s="1" t="str">
        <f t="shared" si="5"/>
        <v>46.165</v>
      </c>
      <c r="D95" s="1" t="str">
        <f t="shared" si="6"/>
        <v>46.165"</v>
      </c>
      <c r="E95" s="1" t="str">
        <f>RIGHT(chitar__3[[#This Row],[Column1.2]],LEN(chitar__3[[#This Row],[Column1.2]])-7)</f>
        <v xml:space="preserve"> string="0" fret="10" palmMute="1" /&gt;</v>
      </c>
      <c r="F95" s="1" t="s">
        <v>64</v>
      </c>
      <c r="G95" s="1"/>
      <c r="H95" s="1"/>
      <c r="I95" s="1"/>
      <c r="J95" s="1"/>
      <c r="L95" s="5" t="s">
        <v>16</v>
      </c>
      <c r="M95" s="3" t="str">
        <f t="shared" si="7"/>
        <v xml:space="preserve">        &lt;note time="46.165" string="1" fret="5" /&gt;</v>
      </c>
      <c r="N95" s="8" t="str">
        <f>chitar__3[[#This Row],[Column1.14]]</f>
        <v>46.165</v>
      </c>
      <c r="O95" s="6" t="s">
        <v>1210</v>
      </c>
    </row>
    <row r="96" spans="1:15" x14ac:dyDescent="0.45">
      <c r="A96" s="1" t="s">
        <v>16</v>
      </c>
      <c r="B96" s="1">
        <f t="shared" si="4"/>
        <v>46.395000000000003</v>
      </c>
      <c r="C96" s="1" t="str">
        <f t="shared" si="5"/>
        <v>46.395</v>
      </c>
      <c r="D96" s="1" t="str">
        <f t="shared" si="6"/>
        <v>46.395"</v>
      </c>
      <c r="E96" s="1" t="str">
        <f>RIGHT(chitar__3[[#This Row],[Column1.2]],LEN(chitar__3[[#This Row],[Column1.2]])-7)</f>
        <v xml:space="preserve"> string="0" fret="10" palmMute="1" /&gt;</v>
      </c>
      <c r="F96" s="1" t="s">
        <v>65</v>
      </c>
      <c r="G96" s="1"/>
      <c r="H96" s="1"/>
      <c r="I96" s="1"/>
      <c r="J96" s="1"/>
      <c r="L96" s="2" t="s">
        <v>16</v>
      </c>
      <c r="M96" s="3" t="str">
        <f t="shared" si="7"/>
        <v xml:space="preserve">        &lt;note time="46.395" string="1" fret="5" /&gt;</v>
      </c>
      <c r="N96" s="8" t="str">
        <f>chitar__3[[#This Row],[Column1.14]]</f>
        <v>46.395</v>
      </c>
      <c r="O96" s="4" t="s">
        <v>1211</v>
      </c>
    </row>
    <row r="97" spans="1:15" x14ac:dyDescent="0.45">
      <c r="A97" s="1" t="s">
        <v>16</v>
      </c>
      <c r="B97" s="1">
        <f t="shared" si="4"/>
        <v>46.618000000000002</v>
      </c>
      <c r="C97" s="1" t="str">
        <f t="shared" si="5"/>
        <v>46.618</v>
      </c>
      <c r="D97" s="1" t="str">
        <f t="shared" si="6"/>
        <v>46.618"</v>
      </c>
      <c r="E97" s="1" t="str">
        <f>RIGHT(chitar__3[[#This Row],[Column1.2]],LEN(chitar__3[[#This Row],[Column1.2]])-7)</f>
        <v xml:space="preserve"> string="0" fret="10" palmMute="1" /&gt;</v>
      </c>
      <c r="F97" s="1" t="s">
        <v>66</v>
      </c>
      <c r="G97" s="1"/>
      <c r="H97" s="1"/>
      <c r="I97" s="1"/>
      <c r="J97" s="1"/>
      <c r="L97" s="5" t="s">
        <v>16</v>
      </c>
      <c r="M97" s="3" t="str">
        <f t="shared" si="7"/>
        <v xml:space="preserve">        &lt;note time="46.618" string="1" fret="5" /&gt;</v>
      </c>
      <c r="N97" s="8" t="str">
        <f>chitar__3[[#This Row],[Column1.14]]</f>
        <v>46.618</v>
      </c>
      <c r="O97" s="6" t="s">
        <v>1212</v>
      </c>
    </row>
    <row r="98" spans="1:15" x14ac:dyDescent="0.45">
      <c r="A98" s="1" t="s">
        <v>16</v>
      </c>
      <c r="B98" s="1">
        <f t="shared" si="4"/>
        <v>46.838000000000001</v>
      </c>
      <c r="C98" s="1" t="str">
        <f t="shared" si="5"/>
        <v>46.838</v>
      </c>
      <c r="D98" s="1" t="str">
        <f t="shared" si="6"/>
        <v>46.838"</v>
      </c>
      <c r="E98" s="1" t="str">
        <f>RIGHT(chitar__3[[#This Row],[Column1.2]],LEN(chitar__3[[#This Row],[Column1.2]])-7)</f>
        <v xml:space="preserve"> string="0" fret="10" palmMute="1" /&gt;</v>
      </c>
      <c r="F98" s="1" t="s">
        <v>67</v>
      </c>
      <c r="G98" s="1"/>
      <c r="H98" s="1"/>
      <c r="I98" s="1"/>
      <c r="J98" s="1"/>
      <c r="L98" s="2" t="s">
        <v>16</v>
      </c>
      <c r="M98" s="3" t="str">
        <f t="shared" si="7"/>
        <v xml:space="preserve">        &lt;note time="46.838" string="1" fret="5" /&gt;</v>
      </c>
      <c r="N98" s="8" t="str">
        <f>chitar__3[[#This Row],[Column1.14]]</f>
        <v>46.838</v>
      </c>
      <c r="O98" s="4" t="s">
        <v>1213</v>
      </c>
    </row>
    <row r="99" spans="1:15" x14ac:dyDescent="0.45">
      <c r="A99" s="1" t="s">
        <v>16</v>
      </c>
      <c r="B99" s="1">
        <f t="shared" si="4"/>
        <v>47.058</v>
      </c>
      <c r="C99" s="1" t="str">
        <f t="shared" si="5"/>
        <v>47.058</v>
      </c>
      <c r="D99" s="1" t="str">
        <f t="shared" si="6"/>
        <v>47.058"</v>
      </c>
      <c r="E99" s="1" t="str">
        <f>RIGHT(chitar__3[[#This Row],[Column1.2]],LEN(chitar__3[[#This Row],[Column1.2]])-7)</f>
        <v xml:space="preserve"> string="0" fret="10" palmMute="1" /&gt;</v>
      </c>
      <c r="F99" s="1" t="s">
        <v>68</v>
      </c>
      <c r="G99" s="1"/>
      <c r="H99" s="1"/>
      <c r="I99" s="1"/>
      <c r="J99" s="1"/>
      <c r="L99" s="5" t="s">
        <v>16</v>
      </c>
      <c r="M99" s="3" t="str">
        <f t="shared" si="7"/>
        <v xml:space="preserve">        &lt;note time="47.058" string="1" fret="5" /&gt;</v>
      </c>
      <c r="N99" s="8" t="str">
        <f>chitar__3[[#This Row],[Column1.14]]</f>
        <v>47.058</v>
      </c>
      <c r="O99" s="6" t="s">
        <v>1214</v>
      </c>
    </row>
    <row r="100" spans="1:15" x14ac:dyDescent="0.45">
      <c r="A100" s="1" t="s">
        <v>16</v>
      </c>
      <c r="B100" s="1">
        <f t="shared" si="4"/>
        <v>47.277999999999999</v>
      </c>
      <c r="C100" s="1" t="str">
        <f t="shared" si="5"/>
        <v>47.278</v>
      </c>
      <c r="D100" s="1" t="str">
        <f t="shared" si="6"/>
        <v>47.278"</v>
      </c>
      <c r="E100" s="1" t="str">
        <f>RIGHT(chitar__3[[#This Row],[Column1.2]],LEN(chitar__3[[#This Row],[Column1.2]])-7)</f>
        <v xml:space="preserve"> string="0" fret="10" palmMute="1" /&gt;</v>
      </c>
      <c r="F100" s="1" t="s">
        <v>69</v>
      </c>
      <c r="G100" s="1"/>
      <c r="H100" s="1"/>
      <c r="I100" s="1"/>
      <c r="J100" s="1"/>
      <c r="L100" s="2" t="s">
        <v>16</v>
      </c>
      <c r="M100" s="3" t="str">
        <f t="shared" si="7"/>
        <v xml:space="preserve">        &lt;note time="47.278" string="1" fret="5" /&gt;</v>
      </c>
      <c r="N100" s="8" t="str">
        <f>chitar__3[[#This Row],[Column1.14]]</f>
        <v>47.278</v>
      </c>
      <c r="O100" s="4" t="s">
        <v>1215</v>
      </c>
    </row>
    <row r="101" spans="1:15" x14ac:dyDescent="0.45">
      <c r="A101" s="1" t="s">
        <v>16</v>
      </c>
      <c r="B101" s="1">
        <f t="shared" si="4"/>
        <v>47.497999999999998</v>
      </c>
      <c r="C101" s="1" t="str">
        <f t="shared" si="5"/>
        <v>47.498</v>
      </c>
      <c r="D101" s="1" t="str">
        <f t="shared" si="6"/>
        <v>47.498"</v>
      </c>
      <c r="E101" s="1" t="str">
        <f>RIGHT(chitar__3[[#This Row],[Column1.2]],LEN(chitar__3[[#This Row],[Column1.2]])-7)</f>
        <v xml:space="preserve"> string="0" fret="10" palmMute="1" /&gt;</v>
      </c>
      <c r="F101" s="1" t="s">
        <v>70</v>
      </c>
      <c r="G101" s="1"/>
      <c r="H101" s="1"/>
      <c r="I101" s="1"/>
      <c r="J101" s="1"/>
      <c r="L101" s="5" t="s">
        <v>16</v>
      </c>
      <c r="M101" s="3" t="str">
        <f t="shared" si="7"/>
        <v xml:space="preserve">        &lt;note time="47.498" string="1" fret="5" /&gt;</v>
      </c>
      <c r="N101" s="8" t="str">
        <f>chitar__3[[#This Row],[Column1.14]]</f>
        <v>47.498</v>
      </c>
      <c r="O101" s="6" t="s">
        <v>1216</v>
      </c>
    </row>
    <row r="102" spans="1:15" x14ac:dyDescent="0.45">
      <c r="A102" s="1" t="s">
        <v>16</v>
      </c>
      <c r="B102" s="1">
        <f t="shared" si="4"/>
        <v>47.718000000000004</v>
      </c>
      <c r="C102" s="1" t="str">
        <f t="shared" si="5"/>
        <v>47.718</v>
      </c>
      <c r="D102" s="1" t="str">
        <f t="shared" si="6"/>
        <v>47.718"</v>
      </c>
      <c r="E102" s="1" t="str">
        <f>RIGHT(chitar__3[[#This Row],[Column1.2]],LEN(chitar__3[[#This Row],[Column1.2]])-7)</f>
        <v xml:space="preserve"> string="0" fret="10" palmMute="1" /&gt;</v>
      </c>
      <c r="F102" s="1" t="s">
        <v>71</v>
      </c>
      <c r="G102" s="1"/>
      <c r="H102" s="1"/>
      <c r="I102" s="1"/>
      <c r="J102" s="1"/>
      <c r="L102" s="2" t="s">
        <v>16</v>
      </c>
      <c r="M102" s="3" t="str">
        <f t="shared" si="7"/>
        <v xml:space="preserve">        &lt;note time="47.718" string="1" fret="5" /&gt;</v>
      </c>
      <c r="N102" s="8" t="str">
        <f>chitar__3[[#This Row],[Column1.14]]</f>
        <v>47.718</v>
      </c>
      <c r="O102" s="4" t="s">
        <v>1217</v>
      </c>
    </row>
    <row r="103" spans="1:15" x14ac:dyDescent="0.45">
      <c r="A103" s="1" t="s">
        <v>16</v>
      </c>
      <c r="B103" s="1">
        <f t="shared" si="4"/>
        <v>47.938000000000002</v>
      </c>
      <c r="C103" s="1" t="str">
        <f t="shared" si="5"/>
        <v>47.938</v>
      </c>
      <c r="D103" s="1" t="str">
        <f t="shared" si="6"/>
        <v>47.938"</v>
      </c>
      <c r="E103" s="1" t="str">
        <f>RIGHT(chitar__3[[#This Row],[Column1.2]],LEN(chitar__3[[#This Row],[Column1.2]])-7)</f>
        <v xml:space="preserve"> string="0" fret="10" palmMute="1" /&gt;</v>
      </c>
      <c r="F103" s="1" t="s">
        <v>72</v>
      </c>
      <c r="G103" s="1"/>
      <c r="H103" s="1"/>
      <c r="I103" s="1"/>
      <c r="J103" s="1"/>
      <c r="L103" s="5" t="s">
        <v>16</v>
      </c>
      <c r="M103" s="3" t="str">
        <f t="shared" si="7"/>
        <v xml:space="preserve">        &lt;note time="47.938" string="1" fret="5" /&gt;</v>
      </c>
      <c r="N103" s="8" t="str">
        <f>chitar__3[[#This Row],[Column1.14]]</f>
        <v>47.938</v>
      </c>
      <c r="O103" s="6" t="s">
        <v>1218</v>
      </c>
    </row>
    <row r="104" spans="1:15" x14ac:dyDescent="0.45">
      <c r="A104" s="1" t="s">
        <v>16</v>
      </c>
      <c r="B104" s="1">
        <f t="shared" si="4"/>
        <v>48.167999999999999</v>
      </c>
      <c r="C104" s="1" t="str">
        <f t="shared" si="5"/>
        <v>48.168</v>
      </c>
      <c r="D104" s="1" t="str">
        <f t="shared" si="6"/>
        <v>48.168"</v>
      </c>
      <c r="E104" s="1" t="str">
        <f>RIGHT(chitar__3[[#This Row],[Column1.2]],LEN(chitar__3[[#This Row],[Column1.2]])-7)</f>
        <v xml:space="preserve"> string="0" fret="10" palmMute="1" /&gt;</v>
      </c>
      <c r="F104" s="1" t="s">
        <v>73</v>
      </c>
      <c r="G104" s="1"/>
      <c r="H104" s="1"/>
      <c r="I104" s="1"/>
      <c r="J104" s="1"/>
      <c r="L104" s="2" t="s">
        <v>16</v>
      </c>
      <c r="M104" s="3" t="str">
        <f t="shared" si="7"/>
        <v xml:space="preserve">        &lt;note time="48.168" string="1" fret="5" /&gt;</v>
      </c>
      <c r="N104" s="8" t="str">
        <f>chitar__3[[#This Row],[Column1.14]]</f>
        <v>48.168</v>
      </c>
      <c r="O104" s="4" t="s">
        <v>1219</v>
      </c>
    </row>
    <row r="105" spans="1:15" x14ac:dyDescent="0.45">
      <c r="A105" s="1" t="s">
        <v>388</v>
      </c>
      <c r="B105" s="1">
        <f t="shared" si="4"/>
        <v>48.268000000000001</v>
      </c>
      <c r="C105" s="1" t="str">
        <f t="shared" si="5"/>
        <v>48.268</v>
      </c>
      <c r="D105" s="1" t="str">
        <f t="shared" si="6"/>
        <v>48.268"</v>
      </c>
      <c r="E105" s="1" t="str">
        <f>RIGHT(chitar__3[[#This Row],[Column1.2]],LEN(chitar__3[[#This Row],[Column1.2]])-7)</f>
        <v xml:space="preserve"> chordId="0" &gt;&lt;chordNote </v>
      </c>
      <c r="F105" s="1" t="s">
        <v>434</v>
      </c>
      <c r="G105" s="1" t="s">
        <v>719</v>
      </c>
      <c r="H105" s="1" t="s">
        <v>720</v>
      </c>
      <c r="I105" s="1"/>
      <c r="J105" s="1"/>
      <c r="L105" s="5" t="s">
        <v>16</v>
      </c>
      <c r="M105" s="3" t="str">
        <f t="shared" si="7"/>
        <v xml:space="preserve">        &lt;note time="48.268" string="2" fret="5" /&gt;</v>
      </c>
      <c r="N105" s="8" t="str">
        <f>chitar__3[[#This Row],[Column1.14]]</f>
        <v>48.268</v>
      </c>
      <c r="O105" s="6" t="s">
        <v>1220</v>
      </c>
    </row>
    <row r="106" spans="1:15" x14ac:dyDescent="0.45">
      <c r="A106" s="1" t="s">
        <v>388</v>
      </c>
      <c r="B106" s="1">
        <f t="shared" si="4"/>
        <v>48.667999999999999</v>
      </c>
      <c r="C106" s="1" t="str">
        <f t="shared" si="5"/>
        <v>48.668</v>
      </c>
      <c r="D106" s="1" t="str">
        <f t="shared" si="6"/>
        <v>48.668"</v>
      </c>
      <c r="E106" s="1" t="str">
        <f>RIGHT(chitar__3[[#This Row],[Column1.2]],LEN(chitar__3[[#This Row],[Column1.2]])-7)</f>
        <v xml:space="preserve"> chordId="1" &gt;&lt;chordNote </v>
      </c>
      <c r="F106" s="1" t="s">
        <v>435</v>
      </c>
      <c r="G106" s="1" t="s">
        <v>721</v>
      </c>
      <c r="H106" s="1" t="s">
        <v>722</v>
      </c>
      <c r="I106" s="1"/>
      <c r="J106" s="1"/>
      <c r="L106" s="2" t="s">
        <v>16</v>
      </c>
      <c r="M106" s="3" t="str">
        <f t="shared" si="7"/>
        <v xml:space="preserve">        &lt;note time="48.668" string="2" fret="3" sustain="0.21" /&gt;</v>
      </c>
      <c r="N106" s="8" t="str">
        <f>chitar__3[[#This Row],[Column1.14]]</f>
        <v>48.668</v>
      </c>
      <c r="O106" s="4" t="s">
        <v>1738</v>
      </c>
    </row>
    <row r="107" spans="1:15" x14ac:dyDescent="0.45">
      <c r="A107" s="1" t="s">
        <v>388</v>
      </c>
      <c r="B107" s="1">
        <f t="shared" si="4"/>
        <v>49.125</v>
      </c>
      <c r="C107" s="1" t="str">
        <f t="shared" si="5"/>
        <v>49.125</v>
      </c>
      <c r="D107" s="1" t="str">
        <f t="shared" si="6"/>
        <v>49.125"</v>
      </c>
      <c r="E107" s="1" t="str">
        <f>RIGHT(chitar__3[[#This Row],[Column1.2]],LEN(chitar__3[[#This Row],[Column1.2]])-7)</f>
        <v xml:space="preserve"> chordId="7" &gt;&lt;chordNote </v>
      </c>
      <c r="F107" s="1" t="s">
        <v>436</v>
      </c>
      <c r="G107" s="1" t="s">
        <v>723</v>
      </c>
      <c r="H107" s="1" t="s">
        <v>724</v>
      </c>
      <c r="I107" s="1"/>
      <c r="J107" s="1"/>
      <c r="L107" s="5" t="s">
        <v>16</v>
      </c>
      <c r="M107" s="3" t="str">
        <f t="shared" si="7"/>
        <v xml:space="preserve">        &lt;note time="49.125" string="1" fret="5" /&gt;</v>
      </c>
      <c r="N107" s="8" t="str">
        <f>chitar__3[[#This Row],[Column1.14]]</f>
        <v>49.125</v>
      </c>
      <c r="O107" s="6" t="s">
        <v>1222</v>
      </c>
    </row>
    <row r="108" spans="1:15" x14ac:dyDescent="0.45">
      <c r="A108" s="1" t="s">
        <v>16</v>
      </c>
      <c r="B108" s="1">
        <f t="shared" si="4"/>
        <v>49.354999999999997</v>
      </c>
      <c r="C108" s="1" t="str">
        <f t="shared" si="5"/>
        <v>49.355</v>
      </c>
      <c r="D108" s="1" t="str">
        <f t="shared" si="6"/>
        <v>49.355"</v>
      </c>
      <c r="E108" s="1" t="str">
        <f>RIGHT(chitar__3[[#This Row],[Column1.2]],LEN(chitar__3[[#This Row],[Column1.2]])-7)</f>
        <v xml:space="preserve"> string="0" fret="10" palmMute="1" /&gt;</v>
      </c>
      <c r="F108" s="1" t="s">
        <v>74</v>
      </c>
      <c r="G108" s="1"/>
      <c r="H108" s="1"/>
      <c r="I108" s="1"/>
      <c r="J108" s="1"/>
      <c r="L108" s="2" t="s">
        <v>16</v>
      </c>
      <c r="M108" s="3" t="str">
        <f t="shared" si="7"/>
        <v xml:space="preserve">        &lt;note time="49.355" string="1" fret="5" /&gt;</v>
      </c>
      <c r="N108" s="8" t="str">
        <f>chitar__3[[#This Row],[Column1.14]]</f>
        <v>49.355</v>
      </c>
      <c r="O108" s="4" t="s">
        <v>1223</v>
      </c>
    </row>
    <row r="109" spans="1:15" x14ac:dyDescent="0.45">
      <c r="A109" s="1" t="s">
        <v>16</v>
      </c>
      <c r="B109" s="1">
        <f t="shared" si="4"/>
        <v>49.585000000000001</v>
      </c>
      <c r="C109" s="1" t="str">
        <f t="shared" si="5"/>
        <v>49.585</v>
      </c>
      <c r="D109" s="1" t="str">
        <f t="shared" si="6"/>
        <v>49.585"</v>
      </c>
      <c r="E109" s="1" t="str">
        <f>RIGHT(chitar__3[[#This Row],[Column1.2]],LEN(chitar__3[[#This Row],[Column1.2]])-7)</f>
        <v xml:space="preserve"> string="0" fret="10" palmMute="1" /&gt;</v>
      </c>
      <c r="F109" s="1" t="s">
        <v>75</v>
      </c>
      <c r="G109" s="1"/>
      <c r="H109" s="1"/>
      <c r="I109" s="1"/>
      <c r="J109" s="1"/>
      <c r="L109" s="5" t="s">
        <v>16</v>
      </c>
      <c r="M109" s="3" t="str">
        <f t="shared" si="7"/>
        <v xml:space="preserve">        &lt;note time="49.585" string="1" fret="5" /&gt;</v>
      </c>
      <c r="N109" s="8" t="str">
        <f>chitar__3[[#This Row],[Column1.14]]</f>
        <v>49.585</v>
      </c>
      <c r="O109" s="6" t="s">
        <v>1224</v>
      </c>
    </row>
    <row r="110" spans="1:15" x14ac:dyDescent="0.45">
      <c r="A110" s="1" t="s">
        <v>16</v>
      </c>
      <c r="B110" s="1">
        <f t="shared" si="4"/>
        <v>49.814999999999998</v>
      </c>
      <c r="C110" s="1" t="str">
        <f t="shared" si="5"/>
        <v>49.815</v>
      </c>
      <c r="D110" s="1" t="str">
        <f t="shared" si="6"/>
        <v>49.815"</v>
      </c>
      <c r="E110" s="1" t="str">
        <f>RIGHT(chitar__3[[#This Row],[Column1.2]],LEN(chitar__3[[#This Row],[Column1.2]])-7)</f>
        <v xml:space="preserve"> string="0" fret="10" palmMute="1" /&gt;</v>
      </c>
      <c r="F110" s="1" t="s">
        <v>76</v>
      </c>
      <c r="G110" s="1"/>
      <c r="H110" s="1"/>
      <c r="I110" s="1"/>
      <c r="J110" s="1"/>
      <c r="L110" s="2" t="s">
        <v>16</v>
      </c>
      <c r="M110" s="3" t="str">
        <f t="shared" si="7"/>
        <v xml:space="preserve">        &lt;note time="49.815" string="1" fret="5" /&gt;</v>
      </c>
      <c r="N110" s="8" t="str">
        <f>chitar__3[[#This Row],[Column1.14]]</f>
        <v>49.815</v>
      </c>
      <c r="O110" s="4" t="s">
        <v>1225</v>
      </c>
    </row>
    <row r="111" spans="1:15" x14ac:dyDescent="0.45">
      <c r="A111" s="1" t="s">
        <v>16</v>
      </c>
      <c r="B111" s="1">
        <f t="shared" si="4"/>
        <v>50.037999999999997</v>
      </c>
      <c r="C111" s="1" t="str">
        <f t="shared" si="5"/>
        <v>50.038</v>
      </c>
      <c r="D111" s="1" t="str">
        <f t="shared" si="6"/>
        <v>50.038"</v>
      </c>
      <c r="E111" s="1" t="str">
        <f>RIGHT(chitar__3[[#This Row],[Column1.2]],LEN(chitar__3[[#This Row],[Column1.2]])-7)</f>
        <v xml:space="preserve"> string="0" fret="10" palmMute="1" /&gt;</v>
      </c>
      <c r="F111" s="1" t="s">
        <v>77</v>
      </c>
      <c r="G111" s="1"/>
      <c r="H111" s="1"/>
      <c r="I111" s="1"/>
      <c r="J111" s="1"/>
      <c r="L111" s="5" t="s">
        <v>16</v>
      </c>
      <c r="M111" s="3" t="str">
        <f t="shared" si="7"/>
        <v xml:space="preserve">        &lt;note time="50.038" string="1" fret="5" /&gt;</v>
      </c>
      <c r="N111" s="8" t="str">
        <f>chitar__3[[#This Row],[Column1.14]]</f>
        <v>50.038</v>
      </c>
      <c r="O111" s="6" t="s">
        <v>1226</v>
      </c>
    </row>
    <row r="112" spans="1:15" x14ac:dyDescent="0.45">
      <c r="A112" s="1" t="s">
        <v>16</v>
      </c>
      <c r="B112" s="1">
        <f t="shared" si="4"/>
        <v>50.258000000000003</v>
      </c>
      <c r="C112" s="1" t="str">
        <f t="shared" si="5"/>
        <v>50.258</v>
      </c>
      <c r="D112" s="1" t="str">
        <f t="shared" si="6"/>
        <v>50.258"</v>
      </c>
      <c r="E112" s="1" t="str">
        <f>RIGHT(chitar__3[[#This Row],[Column1.2]],LEN(chitar__3[[#This Row],[Column1.2]])-7)</f>
        <v xml:space="preserve"> string="0" fret="10" palmMute="1" /&gt;</v>
      </c>
      <c r="F112" s="1" t="s">
        <v>78</v>
      </c>
      <c r="G112" s="1"/>
      <c r="H112" s="1"/>
      <c r="I112" s="1"/>
      <c r="J112" s="1"/>
      <c r="L112" s="2" t="s">
        <v>16</v>
      </c>
      <c r="M112" s="3" t="str">
        <f t="shared" si="7"/>
        <v xml:space="preserve">        &lt;note time="50.258" string="1" fret="5" /&gt;</v>
      </c>
      <c r="N112" s="8" t="str">
        <f>chitar__3[[#This Row],[Column1.14]]</f>
        <v>50.258</v>
      </c>
      <c r="O112" s="4" t="s">
        <v>1227</v>
      </c>
    </row>
    <row r="113" spans="1:15" x14ac:dyDescent="0.45">
      <c r="A113" s="1" t="s">
        <v>16</v>
      </c>
      <c r="B113" s="1">
        <f t="shared" si="4"/>
        <v>50.478000000000002</v>
      </c>
      <c r="C113" s="1" t="str">
        <f t="shared" si="5"/>
        <v>50.478</v>
      </c>
      <c r="D113" s="1" t="str">
        <f t="shared" si="6"/>
        <v>50.478"</v>
      </c>
      <c r="E113" s="1" t="str">
        <f>RIGHT(chitar__3[[#This Row],[Column1.2]],LEN(chitar__3[[#This Row],[Column1.2]])-7)</f>
        <v xml:space="preserve"> string="0" fret="10" palmMute="1" /&gt;</v>
      </c>
      <c r="F113" s="1" t="s">
        <v>79</v>
      </c>
      <c r="G113" s="1"/>
      <c r="H113" s="1"/>
      <c r="I113" s="1"/>
      <c r="J113" s="1"/>
      <c r="L113" s="5" t="s">
        <v>16</v>
      </c>
      <c r="M113" s="3" t="str">
        <f t="shared" si="7"/>
        <v xml:space="preserve">        &lt;note time="50.478" string="1" fret="5" /&gt;</v>
      </c>
      <c r="N113" s="8" t="str">
        <f>chitar__3[[#This Row],[Column1.14]]</f>
        <v>50.478</v>
      </c>
      <c r="O113" s="6" t="s">
        <v>1228</v>
      </c>
    </row>
    <row r="114" spans="1:15" x14ac:dyDescent="0.45">
      <c r="A114" s="1" t="s">
        <v>16</v>
      </c>
      <c r="B114" s="1">
        <f t="shared" si="4"/>
        <v>50.698</v>
      </c>
      <c r="C114" s="1" t="str">
        <f t="shared" si="5"/>
        <v>50.698</v>
      </c>
      <c r="D114" s="1" t="str">
        <f t="shared" si="6"/>
        <v>50.698"</v>
      </c>
      <c r="E114" s="1" t="str">
        <f>RIGHT(chitar__3[[#This Row],[Column1.2]],LEN(chitar__3[[#This Row],[Column1.2]])-7)</f>
        <v xml:space="preserve"> string="0" fret="10" palmMute="1" /&gt;</v>
      </c>
      <c r="F114" s="1" t="s">
        <v>80</v>
      </c>
      <c r="G114" s="1"/>
      <c r="H114" s="1"/>
      <c r="I114" s="1"/>
      <c r="J114" s="1"/>
      <c r="L114" s="2" t="s">
        <v>16</v>
      </c>
      <c r="M114" s="3" t="str">
        <f t="shared" si="7"/>
        <v xml:space="preserve">        &lt;note time="50.698" string="1" fret="5" /&gt;</v>
      </c>
      <c r="N114" s="8" t="str">
        <f>chitar__3[[#This Row],[Column1.14]]</f>
        <v>50.698</v>
      </c>
      <c r="O114" s="4" t="s">
        <v>1229</v>
      </c>
    </row>
    <row r="115" spans="1:15" x14ac:dyDescent="0.45">
      <c r="A115" s="1" t="s">
        <v>16</v>
      </c>
      <c r="B115" s="1">
        <f t="shared" si="4"/>
        <v>50.927999999999997</v>
      </c>
      <c r="C115" s="1" t="str">
        <f t="shared" si="5"/>
        <v>50.928</v>
      </c>
      <c r="D115" s="1" t="str">
        <f t="shared" si="6"/>
        <v>50.928"</v>
      </c>
      <c r="E115" s="1" t="str">
        <f>RIGHT(chitar__3[[#This Row],[Column1.2]],LEN(chitar__3[[#This Row],[Column1.2]])-7)</f>
        <v xml:space="preserve"> string="0" fret="10" palmMute="1" /&gt;</v>
      </c>
      <c r="F115" s="1" t="s">
        <v>81</v>
      </c>
      <c r="G115" s="1"/>
      <c r="H115" s="1"/>
      <c r="I115" s="1"/>
      <c r="J115" s="1"/>
      <c r="L115" s="5" t="s">
        <v>16</v>
      </c>
      <c r="M115" s="3" t="str">
        <f t="shared" si="7"/>
        <v xml:space="preserve">        &lt;note time="50.928" string="1" fret="5" /&gt;</v>
      </c>
      <c r="N115" s="8" t="str">
        <f>chitar__3[[#This Row],[Column1.14]]</f>
        <v>50.928</v>
      </c>
      <c r="O115" s="6" t="s">
        <v>1230</v>
      </c>
    </row>
    <row r="116" spans="1:15" x14ac:dyDescent="0.45">
      <c r="A116" s="1" t="s">
        <v>16</v>
      </c>
      <c r="B116" s="1">
        <f t="shared" si="4"/>
        <v>51.148000000000003</v>
      </c>
      <c r="C116" s="1" t="str">
        <f t="shared" si="5"/>
        <v>51.148</v>
      </c>
      <c r="D116" s="1" t="str">
        <f t="shared" si="6"/>
        <v>51.148"</v>
      </c>
      <c r="E116" s="1" t="str">
        <f>RIGHT(chitar__3[[#This Row],[Column1.2]],LEN(chitar__3[[#This Row],[Column1.2]])-7)</f>
        <v xml:space="preserve"> string="0" fret="10" palmMute="1" /&gt;</v>
      </c>
      <c r="F116" s="1" t="s">
        <v>82</v>
      </c>
      <c r="G116" s="1"/>
      <c r="H116" s="1"/>
      <c r="I116" s="1"/>
      <c r="J116" s="1"/>
      <c r="L116" s="2" t="s">
        <v>16</v>
      </c>
      <c r="M116" s="3" t="str">
        <f t="shared" si="7"/>
        <v xml:space="preserve">        &lt;note time="51.148" string="1" fret="5" /&gt;</v>
      </c>
      <c r="N116" s="8" t="str">
        <f>chitar__3[[#This Row],[Column1.14]]</f>
        <v>51.148</v>
      </c>
      <c r="O116" s="4" t="s">
        <v>1231</v>
      </c>
    </row>
    <row r="117" spans="1:15" x14ac:dyDescent="0.45">
      <c r="A117" s="1" t="s">
        <v>16</v>
      </c>
      <c r="B117" s="1">
        <f t="shared" si="4"/>
        <v>51.368000000000002</v>
      </c>
      <c r="C117" s="1" t="str">
        <f t="shared" si="5"/>
        <v>51.368</v>
      </c>
      <c r="D117" s="1" t="str">
        <f t="shared" si="6"/>
        <v>51.368"</v>
      </c>
      <c r="E117" s="1" t="str">
        <f>RIGHT(chitar__3[[#This Row],[Column1.2]],LEN(chitar__3[[#This Row],[Column1.2]])-7)</f>
        <v xml:space="preserve"> string="0" fret="10" palmMute="1" /&gt;</v>
      </c>
      <c r="F117" s="1" t="s">
        <v>83</v>
      </c>
      <c r="G117" s="1"/>
      <c r="H117" s="1"/>
      <c r="I117" s="1"/>
      <c r="J117" s="1"/>
      <c r="L117" s="5" t="s">
        <v>16</v>
      </c>
      <c r="M117" s="3" t="str">
        <f t="shared" si="7"/>
        <v xml:space="preserve">        &lt;note time="51.368" string="1" fret="5" /&gt;</v>
      </c>
      <c r="N117" s="8" t="str">
        <f>chitar__3[[#This Row],[Column1.14]]</f>
        <v>51.368</v>
      </c>
      <c r="O117" s="6" t="s">
        <v>1232</v>
      </c>
    </row>
    <row r="118" spans="1:15" x14ac:dyDescent="0.45">
      <c r="A118" s="1" t="s">
        <v>16</v>
      </c>
      <c r="B118" s="1">
        <f t="shared" si="4"/>
        <v>51.588000000000001</v>
      </c>
      <c r="C118" s="1" t="str">
        <f t="shared" si="5"/>
        <v>51.588</v>
      </c>
      <c r="D118" s="1" t="str">
        <f t="shared" si="6"/>
        <v>51.588"</v>
      </c>
      <c r="E118" s="1" t="str">
        <f>RIGHT(chitar__3[[#This Row],[Column1.2]],LEN(chitar__3[[#This Row],[Column1.2]])-7)</f>
        <v xml:space="preserve"> string="0" fret="10" palmMute="1" /&gt;</v>
      </c>
      <c r="F118" s="1" t="s">
        <v>84</v>
      </c>
      <c r="G118" s="1"/>
      <c r="H118" s="1"/>
      <c r="I118" s="1"/>
      <c r="J118" s="1"/>
      <c r="L118" s="2" t="s">
        <v>16</v>
      </c>
      <c r="M118" s="3" t="str">
        <f t="shared" si="7"/>
        <v xml:space="preserve">        &lt;note time="51.588" string="1" fret="5" /&gt;</v>
      </c>
      <c r="N118" s="8" t="str">
        <f>chitar__3[[#This Row],[Column1.14]]</f>
        <v>51.588</v>
      </c>
      <c r="O118" s="4" t="s">
        <v>1233</v>
      </c>
    </row>
    <row r="119" spans="1:15" x14ac:dyDescent="0.45">
      <c r="A119" s="1" t="s">
        <v>388</v>
      </c>
      <c r="B119" s="1">
        <f t="shared" si="4"/>
        <v>51.728000000000002</v>
      </c>
      <c r="C119" s="1" t="str">
        <f t="shared" si="5"/>
        <v>51.728</v>
      </c>
      <c r="D119" s="1" t="str">
        <f t="shared" si="6"/>
        <v>51.728"</v>
      </c>
      <c r="E119" s="1" t="str">
        <f>RIGHT(chitar__3[[#This Row],[Column1.2]],LEN(chitar__3[[#This Row],[Column1.2]])-7)</f>
        <v xml:space="preserve"> chordId="0" &gt;&lt;chordNote </v>
      </c>
      <c r="F119" s="1" t="s">
        <v>437</v>
      </c>
      <c r="G119" s="1" t="s">
        <v>725</v>
      </c>
      <c r="H119" s="1" t="s">
        <v>726</v>
      </c>
      <c r="I119" s="1"/>
      <c r="J119" s="1"/>
      <c r="L119" s="5" t="s">
        <v>16</v>
      </c>
      <c r="M119" s="3" t="str">
        <f t="shared" si="7"/>
        <v xml:space="preserve">        &lt;note time="51.728" string="2" fret="5" /&gt;</v>
      </c>
      <c r="N119" s="8" t="str">
        <f>chitar__3[[#This Row],[Column1.14]]</f>
        <v>51.728</v>
      </c>
      <c r="O119" s="6" t="s">
        <v>1234</v>
      </c>
    </row>
    <row r="120" spans="1:15" x14ac:dyDescent="0.45">
      <c r="A120" s="1" t="s">
        <v>388</v>
      </c>
      <c r="B120" s="1">
        <f t="shared" si="4"/>
        <v>52.118000000000002</v>
      </c>
      <c r="C120" s="1" t="str">
        <f t="shared" si="5"/>
        <v>52.118</v>
      </c>
      <c r="D120" s="1" t="str">
        <f t="shared" si="6"/>
        <v>52.118"</v>
      </c>
      <c r="E120" s="1" t="str">
        <f>RIGHT(chitar__3[[#This Row],[Column1.2]],LEN(chitar__3[[#This Row],[Column1.2]])-7)</f>
        <v xml:space="preserve"> chordId="1" &gt;&lt;chordNote </v>
      </c>
      <c r="F120" s="1" t="s">
        <v>438</v>
      </c>
      <c r="G120" s="1" t="s">
        <v>727</v>
      </c>
      <c r="H120" s="1" t="s">
        <v>728</v>
      </c>
      <c r="I120" s="1"/>
      <c r="J120" s="1"/>
      <c r="L120" s="2" t="s">
        <v>16</v>
      </c>
      <c r="M120" s="3" t="str">
        <f t="shared" si="7"/>
        <v xml:space="preserve">        &lt;note time="52.118" string="2" fret="3" sustain="0.21" /&gt;</v>
      </c>
      <c r="N120" s="8" t="str">
        <f>chitar__3[[#This Row],[Column1.14]]</f>
        <v>52.118</v>
      </c>
      <c r="O120" s="4" t="s">
        <v>1739</v>
      </c>
    </row>
    <row r="121" spans="1:15" x14ac:dyDescent="0.45">
      <c r="A121" s="1" t="s">
        <v>388</v>
      </c>
      <c r="B121" s="1">
        <f t="shared" si="4"/>
        <v>52.67</v>
      </c>
      <c r="C121" s="1" t="str">
        <f t="shared" si="5"/>
        <v>52.670</v>
      </c>
      <c r="D121" s="1" t="str">
        <f t="shared" si="6"/>
        <v>52.670"</v>
      </c>
      <c r="E121" s="1" t="str">
        <f>RIGHT(chitar__3[[#This Row],[Column1.2]],LEN(chitar__3[[#This Row],[Column1.2]])-7)</f>
        <v xml:space="preserve"> chordId="7" &gt;&lt;chordNote </v>
      </c>
      <c r="F121" s="1" t="s">
        <v>439</v>
      </c>
      <c r="G121" s="1" t="s">
        <v>729</v>
      </c>
      <c r="H121" s="1" t="s">
        <v>730</v>
      </c>
      <c r="I121" s="1"/>
      <c r="J121" s="1"/>
      <c r="L121" s="5" t="s">
        <v>16</v>
      </c>
      <c r="M121" s="3" t="str">
        <f t="shared" si="7"/>
        <v xml:space="preserve">        &lt;note time="52.670" string="1" fret="5" /&gt;</v>
      </c>
      <c r="N121" s="8" t="str">
        <f>chitar__3[[#This Row],[Column1.14]]</f>
        <v>52.670</v>
      </c>
      <c r="O121" s="6" t="s">
        <v>1236</v>
      </c>
    </row>
    <row r="122" spans="1:15" x14ac:dyDescent="0.45">
      <c r="A122" s="1" t="s">
        <v>16</v>
      </c>
      <c r="B122" s="1">
        <f t="shared" si="4"/>
        <v>52.9</v>
      </c>
      <c r="C122" s="1" t="str">
        <f t="shared" si="5"/>
        <v>52.900</v>
      </c>
      <c r="D122" s="1" t="str">
        <f t="shared" si="6"/>
        <v>52.900"</v>
      </c>
      <c r="E122" s="1" t="str">
        <f>RIGHT(chitar__3[[#This Row],[Column1.2]],LEN(chitar__3[[#This Row],[Column1.2]])-7)</f>
        <v xml:space="preserve"> string="0" fret="10" palmMute="1" /&gt;</v>
      </c>
      <c r="F122" s="1" t="s">
        <v>85</v>
      </c>
      <c r="G122" s="1"/>
      <c r="H122" s="1"/>
      <c r="I122" s="1"/>
      <c r="J122" s="1"/>
      <c r="L122" s="2" t="s">
        <v>16</v>
      </c>
      <c r="M122" s="3" t="str">
        <f t="shared" si="7"/>
        <v xml:space="preserve">        &lt;note time="52.900" string="1" fret="5" /&gt;</v>
      </c>
      <c r="N122" s="8" t="str">
        <f>chitar__3[[#This Row],[Column1.14]]</f>
        <v>52.900</v>
      </c>
      <c r="O122" s="4" t="s">
        <v>1237</v>
      </c>
    </row>
    <row r="123" spans="1:15" x14ac:dyDescent="0.45">
      <c r="A123" s="1" t="s">
        <v>16</v>
      </c>
      <c r="B123" s="1">
        <f t="shared" si="4"/>
        <v>53.13</v>
      </c>
      <c r="C123" s="1" t="str">
        <f t="shared" si="5"/>
        <v>53.130</v>
      </c>
      <c r="D123" s="1" t="str">
        <f t="shared" si="6"/>
        <v>53.130"</v>
      </c>
      <c r="E123" s="1" t="str">
        <f>RIGHT(chitar__3[[#This Row],[Column1.2]],LEN(chitar__3[[#This Row],[Column1.2]])-7)</f>
        <v xml:space="preserve"> string="0" fret="10" palmMute="1" /&gt;</v>
      </c>
      <c r="F123" s="1" t="s">
        <v>86</v>
      </c>
      <c r="G123" s="1"/>
      <c r="H123" s="1"/>
      <c r="I123" s="1"/>
      <c r="J123" s="1"/>
      <c r="L123" s="5" t="s">
        <v>16</v>
      </c>
      <c r="M123" s="3" t="str">
        <f t="shared" si="7"/>
        <v xml:space="preserve">        &lt;note time="53.130" string="1" fret="5" /&gt;</v>
      </c>
      <c r="N123" s="8" t="str">
        <f>chitar__3[[#This Row],[Column1.14]]</f>
        <v>53.130</v>
      </c>
      <c r="O123" s="6" t="s">
        <v>1238</v>
      </c>
    </row>
    <row r="124" spans="1:15" x14ac:dyDescent="0.45">
      <c r="A124" s="1" t="s">
        <v>16</v>
      </c>
      <c r="B124" s="1">
        <f t="shared" si="4"/>
        <v>53.36</v>
      </c>
      <c r="C124" s="1" t="str">
        <f t="shared" si="5"/>
        <v>53.360</v>
      </c>
      <c r="D124" s="1" t="str">
        <f t="shared" si="6"/>
        <v>53.360"</v>
      </c>
      <c r="E124" s="1" t="str">
        <f>RIGHT(chitar__3[[#This Row],[Column1.2]],LEN(chitar__3[[#This Row],[Column1.2]])-7)</f>
        <v xml:space="preserve"> string="0" fret="10" palmMute="1" /&gt;</v>
      </c>
      <c r="F124" s="1" t="s">
        <v>87</v>
      </c>
      <c r="G124" s="1"/>
      <c r="H124" s="1"/>
      <c r="I124" s="1"/>
      <c r="J124" s="1"/>
      <c r="L124" s="2" t="s">
        <v>16</v>
      </c>
      <c r="M124" s="3" t="str">
        <f t="shared" si="7"/>
        <v xml:space="preserve">        &lt;note time="53.360" string="1" fret="5" /&gt;</v>
      </c>
      <c r="N124" s="8" t="str">
        <f>chitar__3[[#This Row],[Column1.14]]</f>
        <v>53.360</v>
      </c>
      <c r="O124" s="4" t="s">
        <v>1239</v>
      </c>
    </row>
    <row r="125" spans="1:15" x14ac:dyDescent="0.45">
      <c r="A125" s="1" t="s">
        <v>16</v>
      </c>
      <c r="B125" s="1">
        <f t="shared" si="4"/>
        <v>53.582999999999998</v>
      </c>
      <c r="C125" s="1" t="str">
        <f t="shared" si="5"/>
        <v>53.583</v>
      </c>
      <c r="D125" s="1" t="str">
        <f t="shared" si="6"/>
        <v>53.583"</v>
      </c>
      <c r="E125" s="1" t="str">
        <f>RIGHT(chitar__3[[#This Row],[Column1.2]],LEN(chitar__3[[#This Row],[Column1.2]])-7)</f>
        <v xml:space="preserve"> string="0" fret="10" palmMute="1" /&gt;</v>
      </c>
      <c r="F125" s="1" t="s">
        <v>88</v>
      </c>
      <c r="G125" s="1"/>
      <c r="H125" s="1"/>
      <c r="I125" s="1"/>
      <c r="J125" s="1"/>
      <c r="L125" s="5" t="s">
        <v>16</v>
      </c>
      <c r="M125" s="3" t="str">
        <f t="shared" si="7"/>
        <v xml:space="preserve">        &lt;note time="53.583" string="1" fret="5" /&gt;</v>
      </c>
      <c r="N125" s="8" t="str">
        <f>chitar__3[[#This Row],[Column1.14]]</f>
        <v>53.583</v>
      </c>
      <c r="O125" s="6" t="s">
        <v>1240</v>
      </c>
    </row>
    <row r="126" spans="1:15" x14ac:dyDescent="0.45">
      <c r="A126" s="1" t="s">
        <v>16</v>
      </c>
      <c r="B126" s="1">
        <f t="shared" si="4"/>
        <v>53.802999999999997</v>
      </c>
      <c r="C126" s="1" t="str">
        <f t="shared" si="5"/>
        <v>53.803</v>
      </c>
      <c r="D126" s="1" t="str">
        <f t="shared" si="6"/>
        <v>53.803"</v>
      </c>
      <c r="E126" s="1" t="str">
        <f>RIGHT(chitar__3[[#This Row],[Column1.2]],LEN(chitar__3[[#This Row],[Column1.2]])-7)</f>
        <v xml:space="preserve"> string="0" fret="10" palmMute="1" /&gt;</v>
      </c>
      <c r="F126" s="1" t="s">
        <v>89</v>
      </c>
      <c r="G126" s="1"/>
      <c r="H126" s="1"/>
      <c r="I126" s="1"/>
      <c r="J126" s="1"/>
      <c r="L126" s="2" t="s">
        <v>16</v>
      </c>
      <c r="M126" s="3" t="str">
        <f t="shared" si="7"/>
        <v xml:space="preserve">        &lt;note time="53.803" string="1" fret="5" /&gt;</v>
      </c>
      <c r="N126" s="8" t="str">
        <f>chitar__3[[#This Row],[Column1.14]]</f>
        <v>53.803</v>
      </c>
      <c r="O126" s="4" t="s">
        <v>1241</v>
      </c>
    </row>
    <row r="127" spans="1:15" x14ac:dyDescent="0.45">
      <c r="A127" s="1" t="s">
        <v>16</v>
      </c>
      <c r="B127" s="1">
        <f t="shared" si="4"/>
        <v>54.023000000000003</v>
      </c>
      <c r="C127" s="1" t="str">
        <f t="shared" si="5"/>
        <v>54.023</v>
      </c>
      <c r="D127" s="1" t="str">
        <f t="shared" si="6"/>
        <v>54.023"</v>
      </c>
      <c r="E127" s="1" t="str">
        <f>RIGHT(chitar__3[[#This Row],[Column1.2]],LEN(chitar__3[[#This Row],[Column1.2]])-7)</f>
        <v xml:space="preserve"> string="0" fret="10" palmMute="1" /&gt;</v>
      </c>
      <c r="F127" s="1" t="s">
        <v>90</v>
      </c>
      <c r="G127" s="1"/>
      <c r="H127" s="1"/>
      <c r="I127" s="1"/>
      <c r="J127" s="1"/>
      <c r="L127" s="5" t="s">
        <v>16</v>
      </c>
      <c r="M127" s="3" t="str">
        <f t="shared" si="7"/>
        <v xml:space="preserve">        &lt;note time="54.023" string="1" fret="5" /&gt;</v>
      </c>
      <c r="N127" s="8" t="str">
        <f>chitar__3[[#This Row],[Column1.14]]</f>
        <v>54.023</v>
      </c>
      <c r="O127" s="6" t="s">
        <v>1242</v>
      </c>
    </row>
    <row r="128" spans="1:15" x14ac:dyDescent="0.45">
      <c r="A128" s="1" t="s">
        <v>16</v>
      </c>
      <c r="B128" s="1">
        <f t="shared" si="4"/>
        <v>54.243000000000002</v>
      </c>
      <c r="C128" s="1" t="str">
        <f t="shared" si="5"/>
        <v>54.243</v>
      </c>
      <c r="D128" s="1" t="str">
        <f t="shared" si="6"/>
        <v>54.243"</v>
      </c>
      <c r="E128" s="1" t="str">
        <f>RIGHT(chitar__3[[#This Row],[Column1.2]],LEN(chitar__3[[#This Row],[Column1.2]])-7)</f>
        <v xml:space="preserve"> string="0" fret="10" palmMute="1" /&gt;</v>
      </c>
      <c r="F128" s="1" t="s">
        <v>91</v>
      </c>
      <c r="G128" s="1"/>
      <c r="H128" s="1"/>
      <c r="I128" s="1"/>
      <c r="J128" s="1"/>
      <c r="L128" s="2" t="s">
        <v>16</v>
      </c>
      <c r="M128" s="3" t="str">
        <f t="shared" si="7"/>
        <v xml:space="preserve">        &lt;note time="54.243" string="1" fret="5" /&gt;</v>
      </c>
      <c r="N128" s="8" t="str">
        <f>chitar__3[[#This Row],[Column1.14]]</f>
        <v>54.243</v>
      </c>
      <c r="O128" s="4" t="s">
        <v>1243</v>
      </c>
    </row>
    <row r="129" spans="1:15" x14ac:dyDescent="0.45">
      <c r="A129" s="1" t="s">
        <v>16</v>
      </c>
      <c r="B129" s="1">
        <f t="shared" si="4"/>
        <v>54.472999999999999</v>
      </c>
      <c r="C129" s="1" t="str">
        <f t="shared" si="5"/>
        <v>54.473</v>
      </c>
      <c r="D129" s="1" t="str">
        <f t="shared" si="6"/>
        <v>54.473"</v>
      </c>
      <c r="E129" s="1" t="str">
        <f>RIGHT(chitar__3[[#This Row],[Column1.2]],LEN(chitar__3[[#This Row],[Column1.2]])-7)</f>
        <v xml:space="preserve"> string="0" fret="10" palmMute="1" /&gt;</v>
      </c>
      <c r="F129" s="1" t="s">
        <v>92</v>
      </c>
      <c r="G129" s="1"/>
      <c r="H129" s="1"/>
      <c r="I129" s="1"/>
      <c r="J129" s="1"/>
      <c r="L129" s="5" t="s">
        <v>16</v>
      </c>
      <c r="M129" s="3" t="str">
        <f t="shared" si="7"/>
        <v xml:space="preserve">        &lt;note time="54.473" string="1" fret="5" /&gt;</v>
      </c>
      <c r="N129" s="8" t="str">
        <f>chitar__3[[#This Row],[Column1.14]]</f>
        <v>54.473</v>
      </c>
      <c r="O129" s="6" t="s">
        <v>1244</v>
      </c>
    </row>
    <row r="130" spans="1:15" x14ac:dyDescent="0.45">
      <c r="A130" s="1" t="s">
        <v>16</v>
      </c>
      <c r="B130" s="1">
        <f t="shared" ref="B130:B193" si="8">VALUE(C130)</f>
        <v>54.692999999999998</v>
      </c>
      <c r="C130" s="1" t="str">
        <f t="shared" ref="C130:C193" si="9">SUBSTITUTE(D130,"""","")</f>
        <v>54.693</v>
      </c>
      <c r="D130" s="1" t="str">
        <f t="shared" ref="D130:D193" si="10">LEFT(F130,7)</f>
        <v>54.693"</v>
      </c>
      <c r="E130" s="1" t="str">
        <f>RIGHT(chitar__3[[#This Row],[Column1.2]],LEN(chitar__3[[#This Row],[Column1.2]])-7)</f>
        <v xml:space="preserve"> string="0" fret="10" palmMute="1" /&gt;</v>
      </c>
      <c r="F130" s="1" t="s">
        <v>93</v>
      </c>
      <c r="G130" s="1"/>
      <c r="H130" s="1"/>
      <c r="I130" s="1"/>
      <c r="J130" s="1"/>
      <c r="L130" s="2" t="s">
        <v>16</v>
      </c>
      <c r="M130" s="3" t="str">
        <f t="shared" si="7"/>
        <v xml:space="preserve">        &lt;note time="54.693" string="1" fret="5" /&gt;</v>
      </c>
      <c r="N130" s="8" t="str">
        <f>chitar__3[[#This Row],[Column1.14]]</f>
        <v>54.693</v>
      </c>
      <c r="O130" s="4" t="s">
        <v>1245</v>
      </c>
    </row>
    <row r="131" spans="1:15" x14ac:dyDescent="0.45">
      <c r="A131" s="1" t="s">
        <v>16</v>
      </c>
      <c r="B131" s="1">
        <f t="shared" si="8"/>
        <v>54.912999999999997</v>
      </c>
      <c r="C131" s="1" t="str">
        <f t="shared" si="9"/>
        <v>54.913</v>
      </c>
      <c r="D131" s="1" t="str">
        <f t="shared" si="10"/>
        <v>54.913"</v>
      </c>
      <c r="E131" s="1" t="str">
        <f>RIGHT(chitar__3[[#This Row],[Column1.2]],LEN(chitar__3[[#This Row],[Column1.2]])-7)</f>
        <v xml:space="preserve"> string="0" fret="10" palmMute="1" /&gt;</v>
      </c>
      <c r="F131" s="1" t="s">
        <v>94</v>
      </c>
      <c r="G131" s="1"/>
      <c r="H131" s="1"/>
      <c r="I131" s="1"/>
      <c r="J131" s="1"/>
      <c r="L131" s="5" t="s">
        <v>16</v>
      </c>
      <c r="M131" s="3" t="str">
        <f t="shared" ref="M131:M194" si="11">L131&amp;"time="""&amp;N131&amp;RIGHT(O131,LEN(O131)-6)</f>
        <v xml:space="preserve">        &lt;note time="54.913" string="1" fret="5" /&gt;</v>
      </c>
      <c r="N131" s="8" t="str">
        <f>chitar__3[[#This Row],[Column1.14]]</f>
        <v>54.913</v>
      </c>
      <c r="O131" s="6" t="s">
        <v>1246</v>
      </c>
    </row>
    <row r="132" spans="1:15" x14ac:dyDescent="0.45">
      <c r="A132" s="1" t="s">
        <v>16</v>
      </c>
      <c r="B132" s="1">
        <f t="shared" si="8"/>
        <v>55.133000000000003</v>
      </c>
      <c r="C132" s="1" t="str">
        <f t="shared" si="9"/>
        <v>55.133</v>
      </c>
      <c r="D132" s="1" t="str">
        <f t="shared" si="10"/>
        <v>55.133"</v>
      </c>
      <c r="E132" s="1" t="str">
        <f>RIGHT(chitar__3[[#This Row],[Column1.2]],LEN(chitar__3[[#This Row],[Column1.2]])-7)</f>
        <v xml:space="preserve"> string="0" fret="10" palmMute="1" /&gt;</v>
      </c>
      <c r="F132" s="1" t="s">
        <v>95</v>
      </c>
      <c r="G132" s="1"/>
      <c r="H132" s="1"/>
      <c r="I132" s="1"/>
      <c r="J132" s="1"/>
      <c r="L132" s="2" t="s">
        <v>16</v>
      </c>
      <c r="M132" s="3" t="str">
        <f t="shared" si="11"/>
        <v xml:space="preserve">        &lt;note time="55.133" string="1" fret="5" /&gt;</v>
      </c>
      <c r="N132" s="8" t="str">
        <f>chitar__3[[#This Row],[Column1.14]]</f>
        <v>55.133</v>
      </c>
      <c r="O132" s="4" t="s">
        <v>1247</v>
      </c>
    </row>
    <row r="133" spans="1:15" x14ac:dyDescent="0.45">
      <c r="A133" s="1" t="s">
        <v>388</v>
      </c>
      <c r="B133" s="1">
        <f t="shared" si="8"/>
        <v>55.273000000000003</v>
      </c>
      <c r="C133" s="1" t="str">
        <f t="shared" si="9"/>
        <v>55.273</v>
      </c>
      <c r="D133" s="1" t="str">
        <f t="shared" si="10"/>
        <v>55.273"</v>
      </c>
      <c r="E133" s="1" t="str">
        <f>RIGHT(chitar__3[[#This Row],[Column1.2]],LEN(chitar__3[[#This Row],[Column1.2]])-7)</f>
        <v xml:space="preserve"> chordId="0" &gt;&lt;chordNote </v>
      </c>
      <c r="F133" s="1" t="s">
        <v>440</v>
      </c>
      <c r="G133" s="1" t="s">
        <v>731</v>
      </c>
      <c r="H133" s="1" t="s">
        <v>732</v>
      </c>
      <c r="I133" s="1"/>
      <c r="J133" s="1"/>
      <c r="L133" s="5" t="s">
        <v>16</v>
      </c>
      <c r="M133" s="3" t="str">
        <f t="shared" si="11"/>
        <v xml:space="preserve">        &lt;note time="55.273" string="2" fret="5" /&gt;</v>
      </c>
      <c r="N133" s="8" t="str">
        <f>chitar__3[[#This Row],[Column1.14]]</f>
        <v>55.273</v>
      </c>
      <c r="O133" s="6" t="s">
        <v>1248</v>
      </c>
    </row>
    <row r="134" spans="1:15" x14ac:dyDescent="0.45">
      <c r="A134" s="1" t="s">
        <v>388</v>
      </c>
      <c r="B134" s="1">
        <f t="shared" si="8"/>
        <v>55.662999999999997</v>
      </c>
      <c r="C134" s="1" t="str">
        <f t="shared" si="9"/>
        <v>55.663</v>
      </c>
      <c r="D134" s="1" t="str">
        <f t="shared" si="10"/>
        <v>55.663"</v>
      </c>
      <c r="E134" s="1" t="str">
        <f>RIGHT(chitar__3[[#This Row],[Column1.2]],LEN(chitar__3[[#This Row],[Column1.2]])-7)</f>
        <v xml:space="preserve"> chordId="1" &gt;&lt;chordNote </v>
      </c>
      <c r="F134" s="1" t="s">
        <v>441</v>
      </c>
      <c r="G134" s="1" t="s">
        <v>733</v>
      </c>
      <c r="H134" s="1" t="s">
        <v>734</v>
      </c>
      <c r="I134" s="1"/>
      <c r="J134" s="1"/>
      <c r="L134" s="2" t="s">
        <v>16</v>
      </c>
      <c r="M134" s="3" t="str">
        <f t="shared" si="11"/>
        <v xml:space="preserve">        &lt;note time="55.663" string="2" fret="3" sustain="0.21" /&gt;</v>
      </c>
      <c r="N134" s="8" t="str">
        <f>chitar__3[[#This Row],[Column1.14]]</f>
        <v>55.663</v>
      </c>
      <c r="O134" s="4" t="s">
        <v>1740</v>
      </c>
    </row>
    <row r="135" spans="1:15" x14ac:dyDescent="0.45">
      <c r="A135" s="1" t="s">
        <v>388</v>
      </c>
      <c r="B135" s="1">
        <f t="shared" si="8"/>
        <v>56.14</v>
      </c>
      <c r="C135" s="1" t="str">
        <f t="shared" si="9"/>
        <v>56.140</v>
      </c>
      <c r="D135" s="1" t="str">
        <f t="shared" si="10"/>
        <v>56.140"</v>
      </c>
      <c r="E135" s="1" t="str">
        <f>RIGHT(chitar__3[[#This Row],[Column1.2]],LEN(chitar__3[[#This Row],[Column1.2]])-7)</f>
        <v xml:space="preserve"> chordId="7" &gt;&lt;chordNote </v>
      </c>
      <c r="F135" s="1" t="s">
        <v>442</v>
      </c>
      <c r="G135" s="1" t="s">
        <v>735</v>
      </c>
      <c r="H135" s="1" t="s">
        <v>736</v>
      </c>
      <c r="I135" s="1"/>
      <c r="J135" s="1"/>
      <c r="L135" s="5" t="s">
        <v>16</v>
      </c>
      <c r="M135" s="3" t="str">
        <f t="shared" si="11"/>
        <v xml:space="preserve">        &lt;note time="56.140" string="1" fret="5" /&gt;</v>
      </c>
      <c r="N135" s="8" t="str">
        <f>chitar__3[[#This Row],[Column1.14]]</f>
        <v>56.140</v>
      </c>
      <c r="O135" s="6" t="s">
        <v>1250</v>
      </c>
    </row>
    <row r="136" spans="1:15" x14ac:dyDescent="0.45">
      <c r="A136" s="1" t="s">
        <v>16</v>
      </c>
      <c r="B136" s="1">
        <f t="shared" si="8"/>
        <v>56.37</v>
      </c>
      <c r="C136" s="1" t="str">
        <f t="shared" si="9"/>
        <v>56.370</v>
      </c>
      <c r="D136" s="1" t="str">
        <f t="shared" si="10"/>
        <v>56.370"</v>
      </c>
      <c r="E136" s="1" t="str">
        <f>RIGHT(chitar__3[[#This Row],[Column1.2]],LEN(chitar__3[[#This Row],[Column1.2]])-7)</f>
        <v xml:space="preserve"> string="0" fret="10" palmMute="1" /&gt;</v>
      </c>
      <c r="F136" s="1" t="s">
        <v>96</v>
      </c>
      <c r="G136" s="1"/>
      <c r="H136" s="1"/>
      <c r="I136" s="1"/>
      <c r="J136" s="1"/>
      <c r="L136" s="2" t="s">
        <v>16</v>
      </c>
      <c r="M136" s="3" t="str">
        <f t="shared" si="11"/>
        <v xml:space="preserve">        &lt;note time="56.370" string="1" fret="5" /&gt;</v>
      </c>
      <c r="N136" s="8" t="str">
        <f>chitar__3[[#This Row],[Column1.14]]</f>
        <v>56.370</v>
      </c>
      <c r="O136" s="4" t="s">
        <v>1251</v>
      </c>
    </row>
    <row r="137" spans="1:15" x14ac:dyDescent="0.45">
      <c r="A137" s="1" t="s">
        <v>16</v>
      </c>
      <c r="B137" s="1">
        <f t="shared" si="8"/>
        <v>56.6</v>
      </c>
      <c r="C137" s="1" t="str">
        <f t="shared" si="9"/>
        <v>56.600</v>
      </c>
      <c r="D137" s="1" t="str">
        <f t="shared" si="10"/>
        <v>56.600"</v>
      </c>
      <c r="E137" s="1" t="str">
        <f>RIGHT(chitar__3[[#This Row],[Column1.2]],LEN(chitar__3[[#This Row],[Column1.2]])-7)</f>
        <v xml:space="preserve"> string="0" fret="10" palmMute="1" /&gt;</v>
      </c>
      <c r="F137" s="1" t="s">
        <v>97</v>
      </c>
      <c r="G137" s="1"/>
      <c r="H137" s="1"/>
      <c r="I137" s="1"/>
      <c r="J137" s="1"/>
      <c r="L137" s="5" t="s">
        <v>16</v>
      </c>
      <c r="M137" s="3" t="str">
        <f t="shared" si="11"/>
        <v xml:space="preserve">        &lt;note time="56.600" string="1" fret="5" /&gt;</v>
      </c>
      <c r="N137" s="8" t="str">
        <f>chitar__3[[#This Row],[Column1.14]]</f>
        <v>56.600</v>
      </c>
      <c r="O137" s="6" t="s">
        <v>1252</v>
      </c>
    </row>
    <row r="138" spans="1:15" x14ac:dyDescent="0.45">
      <c r="A138" s="1" t="s">
        <v>16</v>
      </c>
      <c r="B138" s="1">
        <f t="shared" si="8"/>
        <v>56.83</v>
      </c>
      <c r="C138" s="1" t="str">
        <f t="shared" si="9"/>
        <v>56.830</v>
      </c>
      <c r="D138" s="1" t="str">
        <f t="shared" si="10"/>
        <v>56.830"</v>
      </c>
      <c r="E138" s="1" t="str">
        <f>RIGHT(chitar__3[[#This Row],[Column1.2]],LEN(chitar__3[[#This Row],[Column1.2]])-7)</f>
        <v xml:space="preserve"> string="0" fret="10" palmMute="1" /&gt;</v>
      </c>
      <c r="F138" s="1" t="s">
        <v>98</v>
      </c>
      <c r="G138" s="1"/>
      <c r="H138" s="1"/>
      <c r="I138" s="1"/>
      <c r="J138" s="1"/>
      <c r="L138" s="2" t="s">
        <v>16</v>
      </c>
      <c r="M138" s="3" t="str">
        <f t="shared" si="11"/>
        <v xml:space="preserve">        &lt;note time="56.830" string="1" fret="5" /&gt;</v>
      </c>
      <c r="N138" s="8" t="str">
        <f>chitar__3[[#This Row],[Column1.14]]</f>
        <v>56.830</v>
      </c>
      <c r="O138" s="4" t="s">
        <v>1253</v>
      </c>
    </row>
    <row r="139" spans="1:15" x14ac:dyDescent="0.45">
      <c r="A139" s="1" t="s">
        <v>16</v>
      </c>
      <c r="B139" s="1">
        <f t="shared" si="8"/>
        <v>57.052999999999997</v>
      </c>
      <c r="C139" s="1" t="str">
        <f t="shared" si="9"/>
        <v>57.053</v>
      </c>
      <c r="D139" s="1" t="str">
        <f t="shared" si="10"/>
        <v>57.053"</v>
      </c>
      <c r="E139" s="1" t="str">
        <f>RIGHT(chitar__3[[#This Row],[Column1.2]],LEN(chitar__3[[#This Row],[Column1.2]])-7)</f>
        <v xml:space="preserve"> string="0" fret="10" palmMute="1" /&gt;</v>
      </c>
      <c r="F139" s="1" t="s">
        <v>99</v>
      </c>
      <c r="G139" s="1"/>
      <c r="H139" s="1"/>
      <c r="I139" s="1"/>
      <c r="J139" s="1"/>
      <c r="L139" s="5" t="s">
        <v>16</v>
      </c>
      <c r="M139" s="3" t="str">
        <f t="shared" si="11"/>
        <v xml:space="preserve">        &lt;note time="57.053" string="1" fret="5" /&gt;</v>
      </c>
      <c r="N139" s="8" t="str">
        <f>chitar__3[[#This Row],[Column1.14]]</f>
        <v>57.053</v>
      </c>
      <c r="O139" s="6" t="s">
        <v>1254</v>
      </c>
    </row>
    <row r="140" spans="1:15" x14ac:dyDescent="0.45">
      <c r="A140" s="1" t="s">
        <v>16</v>
      </c>
      <c r="B140" s="1">
        <f t="shared" si="8"/>
        <v>57.273000000000003</v>
      </c>
      <c r="C140" s="1" t="str">
        <f t="shared" si="9"/>
        <v>57.273</v>
      </c>
      <c r="D140" s="1" t="str">
        <f t="shared" si="10"/>
        <v>57.273"</v>
      </c>
      <c r="E140" s="1" t="str">
        <f>RIGHT(chitar__3[[#This Row],[Column1.2]],LEN(chitar__3[[#This Row],[Column1.2]])-7)</f>
        <v xml:space="preserve"> string="0" fret="10" palmMute="1" /&gt;</v>
      </c>
      <c r="F140" s="1" t="s">
        <v>100</v>
      </c>
      <c r="G140" s="1"/>
      <c r="H140" s="1"/>
      <c r="I140" s="1"/>
      <c r="J140" s="1"/>
      <c r="L140" s="2" t="s">
        <v>16</v>
      </c>
      <c r="M140" s="3" t="str">
        <f t="shared" si="11"/>
        <v xml:space="preserve">        &lt;note time="57.273" string="1" fret="5" /&gt;</v>
      </c>
      <c r="N140" s="8" t="str">
        <f>chitar__3[[#This Row],[Column1.14]]</f>
        <v>57.273</v>
      </c>
      <c r="O140" s="4" t="s">
        <v>1255</v>
      </c>
    </row>
    <row r="141" spans="1:15" x14ac:dyDescent="0.45">
      <c r="A141" s="1" t="s">
        <v>16</v>
      </c>
      <c r="B141" s="1">
        <f t="shared" si="8"/>
        <v>57.493000000000002</v>
      </c>
      <c r="C141" s="1" t="str">
        <f t="shared" si="9"/>
        <v>57.493</v>
      </c>
      <c r="D141" s="1" t="str">
        <f t="shared" si="10"/>
        <v>57.493"</v>
      </c>
      <c r="E141" s="1" t="str">
        <f>RIGHT(chitar__3[[#This Row],[Column1.2]],LEN(chitar__3[[#This Row],[Column1.2]])-7)</f>
        <v xml:space="preserve"> string="0" fret="10" palmMute="1" /&gt;</v>
      </c>
      <c r="F141" s="1" t="s">
        <v>101</v>
      </c>
      <c r="G141" s="1"/>
      <c r="H141" s="1"/>
      <c r="I141" s="1"/>
      <c r="J141" s="1"/>
      <c r="L141" s="5" t="s">
        <v>16</v>
      </c>
      <c r="M141" s="3" t="str">
        <f t="shared" si="11"/>
        <v xml:space="preserve">        &lt;note time="57.493" string="1" fret="5" /&gt;</v>
      </c>
      <c r="N141" s="8" t="str">
        <f>chitar__3[[#This Row],[Column1.14]]</f>
        <v>57.493</v>
      </c>
      <c r="O141" s="6" t="s">
        <v>1256</v>
      </c>
    </row>
    <row r="142" spans="1:15" x14ac:dyDescent="0.45">
      <c r="A142" s="1" t="s">
        <v>16</v>
      </c>
      <c r="B142" s="1">
        <f t="shared" si="8"/>
        <v>57.713000000000001</v>
      </c>
      <c r="C142" s="1" t="str">
        <f t="shared" si="9"/>
        <v>57.713</v>
      </c>
      <c r="D142" s="1" t="str">
        <f t="shared" si="10"/>
        <v>57.713"</v>
      </c>
      <c r="E142" s="1" t="str">
        <f>RIGHT(chitar__3[[#This Row],[Column1.2]],LEN(chitar__3[[#This Row],[Column1.2]])-7)</f>
        <v xml:space="preserve"> string="0" fret="10" palmMute="1" /&gt;</v>
      </c>
      <c r="F142" s="1" t="s">
        <v>102</v>
      </c>
      <c r="G142" s="1"/>
      <c r="H142" s="1"/>
      <c r="I142" s="1"/>
      <c r="J142" s="1"/>
      <c r="L142" s="2" t="s">
        <v>16</v>
      </c>
      <c r="M142" s="3" t="str">
        <f t="shared" si="11"/>
        <v xml:space="preserve">        &lt;note time="57.713" string="1" fret="5" /&gt;</v>
      </c>
      <c r="N142" s="8" t="str">
        <f>chitar__3[[#This Row],[Column1.14]]</f>
        <v>57.713</v>
      </c>
      <c r="O142" s="4" t="s">
        <v>1257</v>
      </c>
    </row>
    <row r="143" spans="1:15" x14ac:dyDescent="0.45">
      <c r="A143" s="1" t="s">
        <v>16</v>
      </c>
      <c r="B143" s="1">
        <f t="shared" si="8"/>
        <v>57.942999999999998</v>
      </c>
      <c r="C143" s="1" t="str">
        <f t="shared" si="9"/>
        <v>57.943</v>
      </c>
      <c r="D143" s="1" t="str">
        <f t="shared" si="10"/>
        <v>57.943"</v>
      </c>
      <c r="E143" s="1" t="str">
        <f>RIGHT(chitar__3[[#This Row],[Column1.2]],LEN(chitar__3[[#This Row],[Column1.2]])-7)</f>
        <v xml:space="preserve"> string="0" fret="10" palmMute="1" /&gt;</v>
      </c>
      <c r="F143" s="1" t="s">
        <v>103</v>
      </c>
      <c r="G143" s="1"/>
      <c r="H143" s="1"/>
      <c r="I143" s="1"/>
      <c r="J143" s="1"/>
      <c r="L143" s="5" t="s">
        <v>16</v>
      </c>
      <c r="M143" s="3" t="str">
        <f t="shared" si="11"/>
        <v xml:space="preserve">        &lt;note time="57.943" string="1" fret="5" /&gt;</v>
      </c>
      <c r="N143" s="8" t="str">
        <f>chitar__3[[#This Row],[Column1.14]]</f>
        <v>57.943</v>
      </c>
      <c r="O143" s="6" t="s">
        <v>1258</v>
      </c>
    </row>
    <row r="144" spans="1:15" x14ac:dyDescent="0.45">
      <c r="A144" s="1" t="s">
        <v>16</v>
      </c>
      <c r="B144" s="1">
        <f t="shared" si="8"/>
        <v>58.162999999999997</v>
      </c>
      <c r="C144" s="1" t="str">
        <f t="shared" si="9"/>
        <v>58.163</v>
      </c>
      <c r="D144" s="1" t="str">
        <f t="shared" si="10"/>
        <v>58.163"</v>
      </c>
      <c r="E144" s="1" t="str">
        <f>RIGHT(chitar__3[[#This Row],[Column1.2]],LEN(chitar__3[[#This Row],[Column1.2]])-7)</f>
        <v xml:space="preserve"> string="0" fret="10" palmMute="1" /&gt;</v>
      </c>
      <c r="F144" s="1" t="s">
        <v>104</v>
      </c>
      <c r="G144" s="1"/>
      <c r="H144" s="1"/>
      <c r="I144" s="1"/>
      <c r="J144" s="1"/>
      <c r="L144" s="2" t="s">
        <v>16</v>
      </c>
      <c r="M144" s="3" t="str">
        <f t="shared" si="11"/>
        <v xml:space="preserve">        &lt;note time="58.163" string="1" fret="5" /&gt;</v>
      </c>
      <c r="N144" s="8" t="str">
        <f>chitar__3[[#This Row],[Column1.14]]</f>
        <v>58.163</v>
      </c>
      <c r="O144" s="4" t="s">
        <v>1259</v>
      </c>
    </row>
    <row r="145" spans="1:15" x14ac:dyDescent="0.45">
      <c r="A145" s="1" t="s">
        <v>16</v>
      </c>
      <c r="B145" s="1">
        <f t="shared" si="8"/>
        <v>58.383000000000003</v>
      </c>
      <c r="C145" s="1" t="str">
        <f t="shared" si="9"/>
        <v>58.383</v>
      </c>
      <c r="D145" s="1" t="str">
        <f t="shared" si="10"/>
        <v>58.383"</v>
      </c>
      <c r="E145" s="1" t="str">
        <f>RIGHT(chitar__3[[#This Row],[Column1.2]],LEN(chitar__3[[#This Row],[Column1.2]])-7)</f>
        <v xml:space="preserve"> string="0" fret="10" palmMute="1" /&gt;</v>
      </c>
      <c r="F145" s="1" t="s">
        <v>105</v>
      </c>
      <c r="G145" s="1"/>
      <c r="H145" s="1"/>
      <c r="I145" s="1"/>
      <c r="J145" s="1"/>
      <c r="L145" s="5" t="s">
        <v>16</v>
      </c>
      <c r="M145" s="3" t="str">
        <f t="shared" si="11"/>
        <v xml:space="preserve">        &lt;note time="58.383" string="1" fret="5" /&gt;</v>
      </c>
      <c r="N145" s="8" t="str">
        <f>chitar__3[[#This Row],[Column1.14]]</f>
        <v>58.383</v>
      </c>
      <c r="O145" s="6" t="s">
        <v>1260</v>
      </c>
    </row>
    <row r="146" spans="1:15" x14ac:dyDescent="0.45">
      <c r="A146" s="1" t="s">
        <v>16</v>
      </c>
      <c r="B146" s="1">
        <f t="shared" si="8"/>
        <v>58.603000000000002</v>
      </c>
      <c r="C146" s="1" t="str">
        <f t="shared" si="9"/>
        <v>58.603</v>
      </c>
      <c r="D146" s="1" t="str">
        <f t="shared" si="10"/>
        <v>58.603"</v>
      </c>
      <c r="E146" s="1" t="str">
        <f>RIGHT(chitar__3[[#This Row],[Column1.2]],LEN(chitar__3[[#This Row],[Column1.2]])-7)</f>
        <v xml:space="preserve"> string="0" fret="10" palmMute="1" /&gt;</v>
      </c>
      <c r="F146" s="1" t="s">
        <v>106</v>
      </c>
      <c r="G146" s="1"/>
      <c r="H146" s="1"/>
      <c r="I146" s="1"/>
      <c r="J146" s="1"/>
      <c r="L146" s="2" t="s">
        <v>16</v>
      </c>
      <c r="M146" s="3" t="str">
        <f t="shared" si="11"/>
        <v xml:space="preserve">        &lt;note time="58.603" string="1" fret="5" /&gt;</v>
      </c>
      <c r="N146" s="8" t="str">
        <f>chitar__3[[#This Row],[Column1.14]]</f>
        <v>58.603</v>
      </c>
      <c r="O146" s="4" t="s">
        <v>1261</v>
      </c>
    </row>
    <row r="147" spans="1:15" x14ac:dyDescent="0.45">
      <c r="A147" s="1" t="s">
        <v>388</v>
      </c>
      <c r="B147" s="1">
        <f t="shared" si="8"/>
        <v>58.743000000000002</v>
      </c>
      <c r="C147" s="1" t="str">
        <f t="shared" si="9"/>
        <v>58.743</v>
      </c>
      <c r="D147" s="1" t="str">
        <f t="shared" si="10"/>
        <v>58.743"</v>
      </c>
      <c r="E147" s="1" t="str">
        <f>RIGHT(chitar__3[[#This Row],[Column1.2]],LEN(chitar__3[[#This Row],[Column1.2]])-7)</f>
        <v xml:space="preserve"> chordId="0" &gt;&lt;chordNote </v>
      </c>
      <c r="F147" s="1" t="s">
        <v>443</v>
      </c>
      <c r="G147" s="1" t="s">
        <v>737</v>
      </c>
      <c r="H147" s="1" t="s">
        <v>738</v>
      </c>
      <c r="I147" s="1"/>
      <c r="J147" s="1"/>
      <c r="L147" s="5" t="s">
        <v>16</v>
      </c>
      <c r="M147" s="3" t="str">
        <f t="shared" si="11"/>
        <v xml:space="preserve">        &lt;note time="58.743" string="2" fret="5" /&gt;</v>
      </c>
      <c r="N147" s="8" t="str">
        <f>chitar__3[[#This Row],[Column1.14]]</f>
        <v>58.743</v>
      </c>
      <c r="O147" s="6" t="s">
        <v>1262</v>
      </c>
    </row>
    <row r="148" spans="1:15" x14ac:dyDescent="0.45">
      <c r="A148" s="1" t="s">
        <v>388</v>
      </c>
      <c r="B148" s="1">
        <f t="shared" si="8"/>
        <v>59.133000000000003</v>
      </c>
      <c r="C148" s="1" t="str">
        <f t="shared" si="9"/>
        <v>59.133</v>
      </c>
      <c r="D148" s="1" t="str">
        <f t="shared" si="10"/>
        <v>59.133"</v>
      </c>
      <c r="E148" s="1" t="str">
        <f>RIGHT(chitar__3[[#This Row],[Column1.2]],LEN(chitar__3[[#This Row],[Column1.2]])-7)</f>
        <v xml:space="preserve"> chordId="1" &gt;&lt;chordNote </v>
      </c>
      <c r="F148" s="1" t="s">
        <v>444</v>
      </c>
      <c r="G148" s="1" t="s">
        <v>739</v>
      </c>
      <c r="H148" s="1" t="s">
        <v>740</v>
      </c>
      <c r="I148" s="1"/>
      <c r="J148" s="1"/>
      <c r="L148" s="2" t="s">
        <v>16</v>
      </c>
      <c r="M148" s="3" t="str">
        <f t="shared" si="11"/>
        <v xml:space="preserve">        &lt;note time="59.133" string="2" fret="3" sustain="0.21" /&gt;</v>
      </c>
      <c r="N148" s="8" t="str">
        <f>chitar__3[[#This Row],[Column1.14]]</f>
        <v>59.133</v>
      </c>
      <c r="O148" s="4" t="s">
        <v>1741</v>
      </c>
    </row>
    <row r="149" spans="1:15" x14ac:dyDescent="0.45">
      <c r="A149" s="1" t="s">
        <v>388</v>
      </c>
      <c r="B149" s="1">
        <f t="shared" si="8"/>
        <v>59.646000000000001</v>
      </c>
      <c r="C149" s="1" t="str">
        <f t="shared" si="9"/>
        <v>59.646</v>
      </c>
      <c r="D149" s="1" t="str">
        <f t="shared" si="10"/>
        <v>59.646"</v>
      </c>
      <c r="E149" s="1" t="str">
        <f>RIGHT(chitar__3[[#This Row],[Column1.2]],LEN(chitar__3[[#This Row],[Column1.2]])-7)</f>
        <v xml:space="preserve"> chordId="7" &gt;&lt;chordNote </v>
      </c>
      <c r="F149" s="1" t="s">
        <v>445</v>
      </c>
      <c r="G149" s="1" t="s">
        <v>741</v>
      </c>
      <c r="H149" s="1" t="s">
        <v>742</v>
      </c>
      <c r="I149" s="1"/>
      <c r="J149" s="1"/>
      <c r="L149" s="5" t="s">
        <v>16</v>
      </c>
      <c r="M149" s="3" t="str">
        <f t="shared" si="11"/>
        <v xml:space="preserve">        &lt;note time="59.646" string="1" fret="5" /&gt;</v>
      </c>
      <c r="N149" s="8" t="str">
        <f>chitar__3[[#This Row],[Column1.14]]</f>
        <v>59.646</v>
      </c>
      <c r="O149" s="6" t="s">
        <v>1264</v>
      </c>
    </row>
    <row r="150" spans="1:15" x14ac:dyDescent="0.45">
      <c r="A150" s="1" t="s">
        <v>16</v>
      </c>
      <c r="B150" s="1">
        <f t="shared" si="8"/>
        <v>59.875999999999998</v>
      </c>
      <c r="C150" s="1" t="str">
        <f t="shared" si="9"/>
        <v>59.876</v>
      </c>
      <c r="D150" s="1" t="str">
        <f t="shared" si="10"/>
        <v>59.876"</v>
      </c>
      <c r="E150" s="1" t="str">
        <f>RIGHT(chitar__3[[#This Row],[Column1.2]],LEN(chitar__3[[#This Row],[Column1.2]])-7)</f>
        <v xml:space="preserve"> string="0" fret="10" palmMute="1" /&gt;</v>
      </c>
      <c r="F150" s="1" t="s">
        <v>107</v>
      </c>
      <c r="G150" s="1"/>
      <c r="H150" s="1"/>
      <c r="I150" s="1"/>
      <c r="J150" s="1"/>
      <c r="L150" s="2" t="s">
        <v>16</v>
      </c>
      <c r="M150" s="3" t="str">
        <f t="shared" si="11"/>
        <v xml:space="preserve">        &lt;note time="59.876" string="1" fret="5" /&gt;</v>
      </c>
      <c r="N150" s="8" t="str">
        <f>chitar__3[[#This Row],[Column1.14]]</f>
        <v>59.876</v>
      </c>
      <c r="O150" s="4" t="s">
        <v>1265</v>
      </c>
    </row>
    <row r="151" spans="1:15" x14ac:dyDescent="0.45">
      <c r="A151" s="1" t="s">
        <v>16</v>
      </c>
      <c r="B151" s="1">
        <f t="shared" si="8"/>
        <v>60.106000000000002</v>
      </c>
      <c r="C151" s="1" t="str">
        <f t="shared" si="9"/>
        <v>60.106</v>
      </c>
      <c r="D151" s="1" t="str">
        <f t="shared" si="10"/>
        <v>60.106"</v>
      </c>
      <c r="E151" s="1" t="str">
        <f>RIGHT(chitar__3[[#This Row],[Column1.2]],LEN(chitar__3[[#This Row],[Column1.2]])-7)</f>
        <v xml:space="preserve"> string="0" fret="10" palmMute="1" /&gt;</v>
      </c>
      <c r="F151" s="1" t="s">
        <v>108</v>
      </c>
      <c r="G151" s="1"/>
      <c r="H151" s="1"/>
      <c r="I151" s="1"/>
      <c r="J151" s="1"/>
      <c r="L151" s="5" t="s">
        <v>16</v>
      </c>
      <c r="M151" s="3" t="str">
        <f t="shared" si="11"/>
        <v xml:space="preserve">        &lt;note time="60.106" string="1" fret="5" /&gt;</v>
      </c>
      <c r="N151" s="8" t="str">
        <f>chitar__3[[#This Row],[Column1.14]]</f>
        <v>60.106</v>
      </c>
      <c r="O151" s="6" t="s">
        <v>1266</v>
      </c>
    </row>
    <row r="152" spans="1:15" x14ac:dyDescent="0.45">
      <c r="A152" s="1" t="s">
        <v>16</v>
      </c>
      <c r="B152" s="1">
        <f t="shared" si="8"/>
        <v>60.335999999999999</v>
      </c>
      <c r="C152" s="1" t="str">
        <f t="shared" si="9"/>
        <v>60.336</v>
      </c>
      <c r="D152" s="1" t="str">
        <f t="shared" si="10"/>
        <v>60.336"</v>
      </c>
      <c r="E152" s="1" t="str">
        <f>RIGHT(chitar__3[[#This Row],[Column1.2]],LEN(chitar__3[[#This Row],[Column1.2]])-7)</f>
        <v xml:space="preserve"> string="0" fret="10" palmMute="1" /&gt;</v>
      </c>
      <c r="F152" s="1" t="s">
        <v>109</v>
      </c>
      <c r="G152" s="1"/>
      <c r="H152" s="1"/>
      <c r="I152" s="1"/>
      <c r="J152" s="1"/>
      <c r="L152" s="2" t="s">
        <v>16</v>
      </c>
      <c r="M152" s="3" t="str">
        <f t="shared" si="11"/>
        <v xml:space="preserve">        &lt;note time="60.336" string="1" fret="5" /&gt;</v>
      </c>
      <c r="N152" s="8" t="str">
        <f>chitar__3[[#This Row],[Column1.14]]</f>
        <v>60.336</v>
      </c>
      <c r="O152" s="4" t="s">
        <v>1267</v>
      </c>
    </row>
    <row r="153" spans="1:15" x14ac:dyDescent="0.45">
      <c r="A153" s="1" t="s">
        <v>16</v>
      </c>
      <c r="B153" s="1">
        <f t="shared" si="8"/>
        <v>60.558999999999997</v>
      </c>
      <c r="C153" s="1" t="str">
        <f t="shared" si="9"/>
        <v>60.559</v>
      </c>
      <c r="D153" s="1" t="str">
        <f t="shared" si="10"/>
        <v>60.559"</v>
      </c>
      <c r="E153" s="1" t="str">
        <f>RIGHT(chitar__3[[#This Row],[Column1.2]],LEN(chitar__3[[#This Row],[Column1.2]])-7)</f>
        <v xml:space="preserve"> string="0" fret="10" palmMute="1" /&gt;</v>
      </c>
      <c r="F153" s="1" t="s">
        <v>110</v>
      </c>
      <c r="G153" s="1"/>
      <c r="H153" s="1"/>
      <c r="I153" s="1"/>
      <c r="J153" s="1"/>
      <c r="L153" s="5" t="s">
        <v>16</v>
      </c>
      <c r="M153" s="3" t="str">
        <f t="shared" si="11"/>
        <v xml:space="preserve">        &lt;note time="60.559" string="1" fret="5" /&gt;</v>
      </c>
      <c r="N153" s="8" t="str">
        <f>chitar__3[[#This Row],[Column1.14]]</f>
        <v>60.559</v>
      </c>
      <c r="O153" s="6" t="s">
        <v>1268</v>
      </c>
    </row>
    <row r="154" spans="1:15" x14ac:dyDescent="0.45">
      <c r="A154" s="1" t="s">
        <v>16</v>
      </c>
      <c r="B154" s="1">
        <f t="shared" si="8"/>
        <v>60.779000000000003</v>
      </c>
      <c r="C154" s="1" t="str">
        <f t="shared" si="9"/>
        <v>60.779</v>
      </c>
      <c r="D154" s="1" t="str">
        <f t="shared" si="10"/>
        <v>60.779"</v>
      </c>
      <c r="E154" s="1" t="str">
        <f>RIGHT(chitar__3[[#This Row],[Column1.2]],LEN(chitar__3[[#This Row],[Column1.2]])-7)</f>
        <v xml:space="preserve"> string="0" fret="10" palmMute="1" /&gt;</v>
      </c>
      <c r="F154" s="1" t="s">
        <v>111</v>
      </c>
      <c r="G154" s="1"/>
      <c r="H154" s="1"/>
      <c r="I154" s="1"/>
      <c r="J154" s="1"/>
      <c r="L154" s="2" t="s">
        <v>16</v>
      </c>
      <c r="M154" s="3" t="str">
        <f t="shared" si="11"/>
        <v xml:space="preserve">        &lt;note time="60.779" string="1" fret="5" /&gt;</v>
      </c>
      <c r="N154" s="8" t="str">
        <f>chitar__3[[#This Row],[Column1.14]]</f>
        <v>60.779</v>
      </c>
      <c r="O154" s="4" t="s">
        <v>1269</v>
      </c>
    </row>
    <row r="155" spans="1:15" x14ac:dyDescent="0.45">
      <c r="A155" s="1" t="s">
        <v>16</v>
      </c>
      <c r="B155" s="1">
        <f t="shared" si="8"/>
        <v>60.999000000000002</v>
      </c>
      <c r="C155" s="1" t="str">
        <f t="shared" si="9"/>
        <v>60.999</v>
      </c>
      <c r="D155" s="1" t="str">
        <f t="shared" si="10"/>
        <v>60.999"</v>
      </c>
      <c r="E155" s="1" t="str">
        <f>RIGHT(chitar__3[[#This Row],[Column1.2]],LEN(chitar__3[[#This Row],[Column1.2]])-7)</f>
        <v xml:space="preserve"> string="0" fret="10" palmMute="1" /&gt;</v>
      </c>
      <c r="F155" s="1" t="s">
        <v>112</v>
      </c>
      <c r="G155" s="1"/>
      <c r="H155" s="1"/>
      <c r="I155" s="1"/>
      <c r="J155" s="1"/>
      <c r="L155" s="5" t="s">
        <v>16</v>
      </c>
      <c r="M155" s="3" t="str">
        <f t="shared" si="11"/>
        <v xml:space="preserve">        &lt;note time="60.999" string="1" fret="5" /&gt;</v>
      </c>
      <c r="N155" s="8" t="str">
        <f>chitar__3[[#This Row],[Column1.14]]</f>
        <v>60.999</v>
      </c>
      <c r="O155" s="6" t="s">
        <v>1270</v>
      </c>
    </row>
    <row r="156" spans="1:15" x14ac:dyDescent="0.45">
      <c r="A156" s="1" t="s">
        <v>16</v>
      </c>
      <c r="B156" s="1">
        <f t="shared" si="8"/>
        <v>61.219000000000001</v>
      </c>
      <c r="C156" s="1" t="str">
        <f t="shared" si="9"/>
        <v>61.219</v>
      </c>
      <c r="D156" s="1" t="str">
        <f t="shared" si="10"/>
        <v>61.219"</v>
      </c>
      <c r="E156" s="1" t="str">
        <f>RIGHT(chitar__3[[#This Row],[Column1.2]],LEN(chitar__3[[#This Row],[Column1.2]])-7)</f>
        <v xml:space="preserve"> string="0" fret="10" palmMute="1" /&gt;</v>
      </c>
      <c r="F156" s="1" t="s">
        <v>113</v>
      </c>
      <c r="G156" s="1"/>
      <c r="H156" s="1"/>
      <c r="I156" s="1"/>
      <c r="J156" s="1"/>
      <c r="L156" s="2" t="s">
        <v>16</v>
      </c>
      <c r="M156" s="3" t="str">
        <f t="shared" si="11"/>
        <v xml:space="preserve">        &lt;note time="61.219" string="1" fret="5" /&gt;</v>
      </c>
      <c r="N156" s="8" t="str">
        <f>chitar__3[[#This Row],[Column1.14]]</f>
        <v>61.219</v>
      </c>
      <c r="O156" s="4" t="s">
        <v>1271</v>
      </c>
    </row>
    <row r="157" spans="1:15" x14ac:dyDescent="0.45">
      <c r="A157" s="1" t="s">
        <v>16</v>
      </c>
      <c r="B157" s="1">
        <f t="shared" si="8"/>
        <v>61.448999999999998</v>
      </c>
      <c r="C157" s="1" t="str">
        <f t="shared" si="9"/>
        <v>61.449</v>
      </c>
      <c r="D157" s="1" t="str">
        <f t="shared" si="10"/>
        <v>61.449"</v>
      </c>
      <c r="E157" s="1" t="str">
        <f>RIGHT(chitar__3[[#This Row],[Column1.2]],LEN(chitar__3[[#This Row],[Column1.2]])-7)</f>
        <v xml:space="preserve"> string="0" fret="10" palmMute="1" /&gt;</v>
      </c>
      <c r="F157" s="1" t="s">
        <v>114</v>
      </c>
      <c r="G157" s="1"/>
      <c r="H157" s="1"/>
      <c r="I157" s="1"/>
      <c r="J157" s="1"/>
      <c r="L157" s="5" t="s">
        <v>16</v>
      </c>
      <c r="M157" s="3" t="str">
        <f t="shared" si="11"/>
        <v xml:space="preserve">        &lt;note time="61.449" string="1" fret="5" /&gt;</v>
      </c>
      <c r="N157" s="8" t="str">
        <f>chitar__3[[#This Row],[Column1.14]]</f>
        <v>61.449</v>
      </c>
      <c r="O157" s="6" t="s">
        <v>1272</v>
      </c>
    </row>
    <row r="158" spans="1:15" x14ac:dyDescent="0.45">
      <c r="A158" s="1" t="s">
        <v>16</v>
      </c>
      <c r="B158" s="1">
        <f t="shared" si="8"/>
        <v>61.668999999999997</v>
      </c>
      <c r="C158" s="1" t="str">
        <f t="shared" si="9"/>
        <v>61.669</v>
      </c>
      <c r="D158" s="1" t="str">
        <f t="shared" si="10"/>
        <v>61.669"</v>
      </c>
      <c r="E158" s="1" t="str">
        <f>RIGHT(chitar__3[[#This Row],[Column1.2]],LEN(chitar__3[[#This Row],[Column1.2]])-7)</f>
        <v xml:space="preserve"> string="0" fret="10" palmMute="1" /&gt;</v>
      </c>
      <c r="F158" s="1" t="s">
        <v>115</v>
      </c>
      <c r="G158" s="1"/>
      <c r="H158" s="1"/>
      <c r="I158" s="1"/>
      <c r="J158" s="1"/>
      <c r="L158" s="2" t="s">
        <v>16</v>
      </c>
      <c r="M158" s="3" t="str">
        <f t="shared" si="11"/>
        <v xml:space="preserve">        &lt;note time="61.669" string="1" fret="5" /&gt;</v>
      </c>
      <c r="N158" s="8" t="str">
        <f>chitar__3[[#This Row],[Column1.14]]</f>
        <v>61.669</v>
      </c>
      <c r="O158" s="4" t="s">
        <v>1273</v>
      </c>
    </row>
    <row r="159" spans="1:15" x14ac:dyDescent="0.45">
      <c r="A159" s="1" t="s">
        <v>16</v>
      </c>
      <c r="B159" s="1">
        <f t="shared" si="8"/>
        <v>61.889000000000003</v>
      </c>
      <c r="C159" s="1" t="str">
        <f t="shared" si="9"/>
        <v>61.889</v>
      </c>
      <c r="D159" s="1" t="str">
        <f t="shared" si="10"/>
        <v>61.889"</v>
      </c>
      <c r="E159" s="1" t="str">
        <f>RIGHT(chitar__3[[#This Row],[Column1.2]],LEN(chitar__3[[#This Row],[Column1.2]])-7)</f>
        <v xml:space="preserve"> string="0" fret="10" palmMute="1" /&gt;</v>
      </c>
      <c r="F159" s="1" t="s">
        <v>116</v>
      </c>
      <c r="G159" s="1"/>
      <c r="H159" s="1"/>
      <c r="I159" s="1"/>
      <c r="J159" s="1"/>
      <c r="L159" s="5" t="s">
        <v>16</v>
      </c>
      <c r="M159" s="3" t="str">
        <f t="shared" si="11"/>
        <v xml:space="preserve">        &lt;note time="61.889" string="1" fret="5" /&gt;</v>
      </c>
      <c r="N159" s="8" t="str">
        <f>chitar__3[[#This Row],[Column1.14]]</f>
        <v>61.889</v>
      </c>
      <c r="O159" s="6" t="s">
        <v>1274</v>
      </c>
    </row>
    <row r="160" spans="1:15" x14ac:dyDescent="0.45">
      <c r="A160" s="1" t="s">
        <v>16</v>
      </c>
      <c r="B160" s="1">
        <f t="shared" si="8"/>
        <v>62.109000000000002</v>
      </c>
      <c r="C160" s="1" t="str">
        <f t="shared" si="9"/>
        <v>62.109</v>
      </c>
      <c r="D160" s="1" t="str">
        <f t="shared" si="10"/>
        <v>62.109"</v>
      </c>
      <c r="E160" s="1" t="str">
        <f>RIGHT(chitar__3[[#This Row],[Column1.2]],LEN(chitar__3[[#This Row],[Column1.2]])-7)</f>
        <v xml:space="preserve"> string="0" fret="10" palmMute="1" /&gt;</v>
      </c>
      <c r="F160" s="1" t="s">
        <v>117</v>
      </c>
      <c r="G160" s="1"/>
      <c r="H160" s="1"/>
      <c r="I160" s="1"/>
      <c r="J160" s="1"/>
      <c r="L160" s="2" t="s">
        <v>16</v>
      </c>
      <c r="M160" s="3" t="str">
        <f t="shared" si="11"/>
        <v xml:space="preserve">        &lt;note time="62.109" string="1" fret="5" /&gt;</v>
      </c>
      <c r="N160" s="8" t="str">
        <f>chitar__3[[#This Row],[Column1.14]]</f>
        <v>62.109</v>
      </c>
      <c r="O160" s="4" t="s">
        <v>1275</v>
      </c>
    </row>
    <row r="161" spans="1:15" x14ac:dyDescent="0.45">
      <c r="A161" s="1" t="s">
        <v>388</v>
      </c>
      <c r="B161" s="1">
        <f t="shared" si="8"/>
        <v>62.249000000000002</v>
      </c>
      <c r="C161" s="1" t="str">
        <f t="shared" si="9"/>
        <v>62.249</v>
      </c>
      <c r="D161" s="1" t="str">
        <f t="shared" si="10"/>
        <v>62.249"</v>
      </c>
      <c r="E161" s="1" t="str">
        <f>RIGHT(chitar__3[[#This Row],[Column1.2]],LEN(chitar__3[[#This Row],[Column1.2]])-7)</f>
        <v xml:space="preserve"> chordId="0" &gt;&lt;chordNote </v>
      </c>
      <c r="F161" s="1" t="s">
        <v>446</v>
      </c>
      <c r="G161" s="1" t="s">
        <v>743</v>
      </c>
      <c r="H161" s="1" t="s">
        <v>744</v>
      </c>
      <c r="I161" s="1"/>
      <c r="J161" s="1"/>
      <c r="L161" s="5" t="s">
        <v>16</v>
      </c>
      <c r="M161" s="3" t="str">
        <f t="shared" si="11"/>
        <v xml:space="preserve">        &lt;note time="62.249" string="2" fret="5" /&gt;</v>
      </c>
      <c r="N161" s="8" t="str">
        <f>chitar__3[[#This Row],[Column1.14]]</f>
        <v>62.249</v>
      </c>
      <c r="O161" s="6" t="s">
        <v>1276</v>
      </c>
    </row>
    <row r="162" spans="1:15" x14ac:dyDescent="0.45">
      <c r="A162" s="1" t="s">
        <v>388</v>
      </c>
      <c r="B162" s="1">
        <f t="shared" si="8"/>
        <v>62.639000000000003</v>
      </c>
      <c r="C162" s="1" t="str">
        <f t="shared" si="9"/>
        <v>62.639</v>
      </c>
      <c r="D162" s="1" t="str">
        <f t="shared" si="10"/>
        <v>62.639"</v>
      </c>
      <c r="E162" s="1" t="str">
        <f>RIGHT(chitar__3[[#This Row],[Column1.2]],LEN(chitar__3[[#This Row],[Column1.2]])-7)</f>
        <v xml:space="preserve"> chordId="1" &gt;&lt;chordNote </v>
      </c>
      <c r="F162" s="1" t="s">
        <v>447</v>
      </c>
      <c r="G162" s="1" t="s">
        <v>745</v>
      </c>
      <c r="H162" s="1" t="s">
        <v>746</v>
      </c>
      <c r="I162" s="1"/>
      <c r="J162" s="1"/>
      <c r="L162" s="2" t="s">
        <v>16</v>
      </c>
      <c r="M162" s="3" t="str">
        <f t="shared" si="11"/>
        <v xml:space="preserve">        &lt;note time="62.639" string="2" fret="3" sustain="0.21" /&gt;</v>
      </c>
      <c r="N162" s="8" t="str">
        <f>chitar__3[[#This Row],[Column1.14]]</f>
        <v>62.639</v>
      </c>
      <c r="O162" s="4" t="s">
        <v>1742</v>
      </c>
    </row>
    <row r="163" spans="1:15" x14ac:dyDescent="0.45">
      <c r="A163" s="1" t="s">
        <v>388</v>
      </c>
      <c r="B163" s="1">
        <f t="shared" si="8"/>
        <v>63.128999999999998</v>
      </c>
      <c r="C163" s="1" t="str">
        <f t="shared" si="9"/>
        <v>63.129</v>
      </c>
      <c r="D163" s="1" t="str">
        <f t="shared" si="10"/>
        <v>63.129"</v>
      </c>
      <c r="E163" s="1" t="str">
        <f>RIGHT(chitar__3[[#This Row],[Column1.2]],LEN(chitar__3[[#This Row],[Column1.2]])-7)</f>
        <v xml:space="preserve"> chordId="7" &gt;&lt;chordNote </v>
      </c>
      <c r="F163" s="1" t="s">
        <v>448</v>
      </c>
      <c r="G163" s="1" t="s">
        <v>747</v>
      </c>
      <c r="H163" s="1" t="s">
        <v>748</v>
      </c>
      <c r="I163" s="1"/>
      <c r="J163" s="1"/>
      <c r="L163" s="5" t="s">
        <v>16</v>
      </c>
      <c r="M163" s="3" t="str">
        <f t="shared" si="11"/>
        <v xml:space="preserve">        &lt;note time="63.129" string="1" fret="5" /&gt;</v>
      </c>
      <c r="N163" s="8" t="str">
        <f>chitar__3[[#This Row],[Column1.14]]</f>
        <v>63.129</v>
      </c>
      <c r="O163" s="6" t="s">
        <v>1278</v>
      </c>
    </row>
    <row r="164" spans="1:15" x14ac:dyDescent="0.45">
      <c r="A164" s="1" t="s">
        <v>16</v>
      </c>
      <c r="B164" s="1">
        <f t="shared" si="8"/>
        <v>63.359000000000002</v>
      </c>
      <c r="C164" s="1" t="str">
        <f t="shared" si="9"/>
        <v>63.359</v>
      </c>
      <c r="D164" s="1" t="str">
        <f t="shared" si="10"/>
        <v>63.359"</v>
      </c>
      <c r="E164" s="1" t="str">
        <f>RIGHT(chitar__3[[#This Row],[Column1.2]],LEN(chitar__3[[#This Row],[Column1.2]])-7)</f>
        <v xml:space="preserve"> string="0" fret="10" palmMute="1" /&gt;</v>
      </c>
      <c r="F164" s="1" t="s">
        <v>118</v>
      </c>
      <c r="G164" s="1"/>
      <c r="H164" s="1"/>
      <c r="I164" s="1"/>
      <c r="J164" s="1"/>
      <c r="L164" s="2" t="s">
        <v>16</v>
      </c>
      <c r="M164" s="3" t="str">
        <f t="shared" si="11"/>
        <v xml:space="preserve">        &lt;note time="63.359" string="1" fret="5" /&gt;</v>
      </c>
      <c r="N164" s="8" t="str">
        <f>chitar__3[[#This Row],[Column1.14]]</f>
        <v>63.359</v>
      </c>
      <c r="O164" s="4" t="s">
        <v>1279</v>
      </c>
    </row>
    <row r="165" spans="1:15" x14ac:dyDescent="0.45">
      <c r="A165" s="1" t="s">
        <v>16</v>
      </c>
      <c r="B165" s="1">
        <f t="shared" si="8"/>
        <v>63.588999999999999</v>
      </c>
      <c r="C165" s="1" t="str">
        <f t="shared" si="9"/>
        <v>63.589</v>
      </c>
      <c r="D165" s="1" t="str">
        <f t="shared" si="10"/>
        <v>63.589"</v>
      </c>
      <c r="E165" s="1" t="str">
        <f>RIGHT(chitar__3[[#This Row],[Column1.2]],LEN(chitar__3[[#This Row],[Column1.2]])-7)</f>
        <v xml:space="preserve"> string="0" fret="10" palmMute="1" /&gt;</v>
      </c>
      <c r="F165" s="1" t="s">
        <v>119</v>
      </c>
      <c r="G165" s="1"/>
      <c r="H165" s="1"/>
      <c r="I165" s="1"/>
      <c r="J165" s="1"/>
      <c r="L165" s="5" t="s">
        <v>16</v>
      </c>
      <c r="M165" s="3" t="str">
        <f t="shared" si="11"/>
        <v xml:space="preserve">        &lt;note time="63.589" string="1" fret="5" /&gt;</v>
      </c>
      <c r="N165" s="8" t="str">
        <f>chitar__3[[#This Row],[Column1.14]]</f>
        <v>63.589</v>
      </c>
      <c r="O165" s="6" t="s">
        <v>1280</v>
      </c>
    </row>
    <row r="166" spans="1:15" x14ac:dyDescent="0.45">
      <c r="A166" s="1" t="s">
        <v>16</v>
      </c>
      <c r="B166" s="1">
        <f t="shared" si="8"/>
        <v>63.819000000000003</v>
      </c>
      <c r="C166" s="1" t="str">
        <f t="shared" si="9"/>
        <v>63.819</v>
      </c>
      <c r="D166" s="1" t="str">
        <f t="shared" si="10"/>
        <v>63.819"</v>
      </c>
      <c r="E166" s="1" t="str">
        <f>RIGHT(chitar__3[[#This Row],[Column1.2]],LEN(chitar__3[[#This Row],[Column1.2]])-7)</f>
        <v xml:space="preserve"> string="0" fret="10" palmMute="1" /&gt;</v>
      </c>
      <c r="F166" s="1" t="s">
        <v>120</v>
      </c>
      <c r="G166" s="1"/>
      <c r="H166" s="1"/>
      <c r="I166" s="1"/>
      <c r="J166" s="1"/>
      <c r="L166" s="2" t="s">
        <v>16</v>
      </c>
      <c r="M166" s="3" t="str">
        <f t="shared" si="11"/>
        <v xml:space="preserve">        &lt;note time="63.819" string="1" fret="5" /&gt;</v>
      </c>
      <c r="N166" s="8" t="str">
        <f>chitar__3[[#This Row],[Column1.14]]</f>
        <v>63.819</v>
      </c>
      <c r="O166" s="4" t="s">
        <v>1281</v>
      </c>
    </row>
    <row r="167" spans="1:15" x14ac:dyDescent="0.45">
      <c r="A167" s="1" t="s">
        <v>16</v>
      </c>
      <c r="B167" s="1">
        <f t="shared" si="8"/>
        <v>64.042000000000002</v>
      </c>
      <c r="C167" s="1" t="str">
        <f t="shared" si="9"/>
        <v>64.042</v>
      </c>
      <c r="D167" s="1" t="str">
        <f t="shared" si="10"/>
        <v>64.042"</v>
      </c>
      <c r="E167" s="1" t="str">
        <f>RIGHT(chitar__3[[#This Row],[Column1.2]],LEN(chitar__3[[#This Row],[Column1.2]])-7)</f>
        <v xml:space="preserve"> string="0" fret="10" palmMute="1" /&gt;</v>
      </c>
      <c r="F167" s="1" t="s">
        <v>121</v>
      </c>
      <c r="G167" s="1"/>
      <c r="H167" s="1"/>
      <c r="I167" s="1"/>
      <c r="J167" s="1"/>
      <c r="L167" s="5" t="s">
        <v>16</v>
      </c>
      <c r="M167" s="3" t="str">
        <f t="shared" si="11"/>
        <v xml:space="preserve">        &lt;note time="64.042" string="1" fret="5" /&gt;</v>
      </c>
      <c r="N167" s="8" t="str">
        <f>chitar__3[[#This Row],[Column1.14]]</f>
        <v>64.042</v>
      </c>
      <c r="O167" s="6" t="s">
        <v>1282</v>
      </c>
    </row>
    <row r="168" spans="1:15" x14ac:dyDescent="0.45">
      <c r="A168" s="1" t="s">
        <v>16</v>
      </c>
      <c r="B168" s="1">
        <f t="shared" si="8"/>
        <v>64.262</v>
      </c>
      <c r="C168" s="1" t="str">
        <f t="shared" si="9"/>
        <v>64.262</v>
      </c>
      <c r="D168" s="1" t="str">
        <f t="shared" si="10"/>
        <v>64.262"</v>
      </c>
      <c r="E168" s="1" t="str">
        <f>RIGHT(chitar__3[[#This Row],[Column1.2]],LEN(chitar__3[[#This Row],[Column1.2]])-7)</f>
        <v xml:space="preserve"> string="0" fret="10" palmMute="1" /&gt;</v>
      </c>
      <c r="F168" s="1" t="s">
        <v>122</v>
      </c>
      <c r="G168" s="1"/>
      <c r="H168" s="1"/>
      <c r="I168" s="1"/>
      <c r="J168" s="1"/>
      <c r="L168" s="2" t="s">
        <v>16</v>
      </c>
      <c r="M168" s="3" t="str">
        <f t="shared" si="11"/>
        <v xml:space="preserve">        &lt;note time="64.262" string="1" fret="5" /&gt;</v>
      </c>
      <c r="N168" s="8" t="str">
        <f>chitar__3[[#This Row],[Column1.14]]</f>
        <v>64.262</v>
      </c>
      <c r="O168" s="4" t="s">
        <v>1283</v>
      </c>
    </row>
    <row r="169" spans="1:15" x14ac:dyDescent="0.45">
      <c r="A169" s="1" t="s">
        <v>16</v>
      </c>
      <c r="B169" s="1">
        <f t="shared" si="8"/>
        <v>64.481999999999999</v>
      </c>
      <c r="C169" s="1" t="str">
        <f t="shared" si="9"/>
        <v>64.482</v>
      </c>
      <c r="D169" s="1" t="str">
        <f t="shared" si="10"/>
        <v>64.482"</v>
      </c>
      <c r="E169" s="1" t="str">
        <f>RIGHT(chitar__3[[#This Row],[Column1.2]],LEN(chitar__3[[#This Row],[Column1.2]])-7)</f>
        <v xml:space="preserve"> string="0" fret="10" palmMute="1" /&gt;</v>
      </c>
      <c r="F169" s="1" t="s">
        <v>123</v>
      </c>
      <c r="G169" s="1"/>
      <c r="H169" s="1"/>
      <c r="I169" s="1"/>
      <c r="J169" s="1"/>
      <c r="L169" s="5" t="s">
        <v>16</v>
      </c>
      <c r="M169" s="3" t="str">
        <f t="shared" si="11"/>
        <v xml:space="preserve">        &lt;note time="64.482" string="1" fret="5" /&gt;</v>
      </c>
      <c r="N169" s="8" t="str">
        <f>chitar__3[[#This Row],[Column1.14]]</f>
        <v>64.482</v>
      </c>
      <c r="O169" s="6" t="s">
        <v>1284</v>
      </c>
    </row>
    <row r="170" spans="1:15" x14ac:dyDescent="0.45">
      <c r="A170" s="1" t="s">
        <v>16</v>
      </c>
      <c r="B170" s="1">
        <f t="shared" si="8"/>
        <v>64.701999999999998</v>
      </c>
      <c r="C170" s="1" t="str">
        <f t="shared" si="9"/>
        <v>64.702</v>
      </c>
      <c r="D170" s="1" t="str">
        <f t="shared" si="10"/>
        <v>64.702"</v>
      </c>
      <c r="E170" s="1" t="str">
        <f>RIGHT(chitar__3[[#This Row],[Column1.2]],LEN(chitar__3[[#This Row],[Column1.2]])-7)</f>
        <v xml:space="preserve"> string="0" fret="10" palmMute="1" /&gt;</v>
      </c>
      <c r="F170" s="1" t="s">
        <v>124</v>
      </c>
      <c r="G170" s="1"/>
      <c r="H170" s="1"/>
      <c r="I170" s="1"/>
      <c r="J170" s="1"/>
      <c r="L170" s="2" t="s">
        <v>16</v>
      </c>
      <c r="M170" s="3" t="str">
        <f t="shared" si="11"/>
        <v xml:space="preserve">        &lt;note time="64.702" string="1" fret="5" /&gt;</v>
      </c>
      <c r="N170" s="8" t="str">
        <f>chitar__3[[#This Row],[Column1.14]]</f>
        <v>64.702</v>
      </c>
      <c r="O170" s="4" t="s">
        <v>1285</v>
      </c>
    </row>
    <row r="171" spans="1:15" x14ac:dyDescent="0.45">
      <c r="A171" s="1" t="s">
        <v>16</v>
      </c>
      <c r="B171" s="1">
        <f t="shared" si="8"/>
        <v>64.932000000000002</v>
      </c>
      <c r="C171" s="1" t="str">
        <f t="shared" si="9"/>
        <v>64.932</v>
      </c>
      <c r="D171" s="1" t="str">
        <f t="shared" si="10"/>
        <v>64.932"</v>
      </c>
      <c r="E171" s="1" t="str">
        <f>RIGHT(chitar__3[[#This Row],[Column1.2]],LEN(chitar__3[[#This Row],[Column1.2]])-7)</f>
        <v xml:space="preserve"> string="0" fret="10" palmMute="1" /&gt;</v>
      </c>
      <c r="F171" s="1" t="s">
        <v>125</v>
      </c>
      <c r="G171" s="1"/>
      <c r="H171" s="1"/>
      <c r="I171" s="1"/>
      <c r="J171" s="1"/>
      <c r="L171" s="5" t="s">
        <v>16</v>
      </c>
      <c r="M171" s="3" t="str">
        <f t="shared" si="11"/>
        <v xml:space="preserve">        &lt;note time="64.932" string="1" fret="5" /&gt;</v>
      </c>
      <c r="N171" s="8" t="str">
        <f>chitar__3[[#This Row],[Column1.14]]</f>
        <v>64.932</v>
      </c>
      <c r="O171" s="6" t="s">
        <v>1286</v>
      </c>
    </row>
    <row r="172" spans="1:15" x14ac:dyDescent="0.45">
      <c r="A172" s="1" t="s">
        <v>16</v>
      </c>
      <c r="B172" s="1">
        <f t="shared" si="8"/>
        <v>65.152000000000001</v>
      </c>
      <c r="C172" s="1" t="str">
        <f t="shared" si="9"/>
        <v>65.152</v>
      </c>
      <c r="D172" s="1" t="str">
        <f t="shared" si="10"/>
        <v>65.152"</v>
      </c>
      <c r="E172" s="1" t="str">
        <f>RIGHT(chitar__3[[#This Row],[Column1.2]],LEN(chitar__3[[#This Row],[Column1.2]])-7)</f>
        <v xml:space="preserve"> string="0" fret="10" palmMute="1" /&gt;</v>
      </c>
      <c r="F172" s="1" t="s">
        <v>126</v>
      </c>
      <c r="G172" s="1"/>
      <c r="H172" s="1"/>
      <c r="I172" s="1"/>
      <c r="J172" s="1"/>
      <c r="L172" s="2" t="s">
        <v>16</v>
      </c>
      <c r="M172" s="3" t="str">
        <f t="shared" si="11"/>
        <v xml:space="preserve">        &lt;note time="65.152" string="1" fret="5" /&gt;</v>
      </c>
      <c r="N172" s="8" t="str">
        <f>chitar__3[[#This Row],[Column1.14]]</f>
        <v>65.152</v>
      </c>
      <c r="O172" s="4" t="s">
        <v>1287</v>
      </c>
    </row>
    <row r="173" spans="1:15" x14ac:dyDescent="0.45">
      <c r="A173" s="1" t="s">
        <v>16</v>
      </c>
      <c r="B173" s="1">
        <f t="shared" si="8"/>
        <v>65.372</v>
      </c>
      <c r="C173" s="1" t="str">
        <f t="shared" si="9"/>
        <v>65.372</v>
      </c>
      <c r="D173" s="1" t="str">
        <f t="shared" si="10"/>
        <v>65.372"</v>
      </c>
      <c r="E173" s="1" t="str">
        <f>RIGHT(chitar__3[[#This Row],[Column1.2]],LEN(chitar__3[[#This Row],[Column1.2]])-7)</f>
        <v xml:space="preserve"> string="0" fret="10" palmMute="1" /&gt;</v>
      </c>
      <c r="F173" s="1" t="s">
        <v>127</v>
      </c>
      <c r="G173" s="1"/>
      <c r="H173" s="1"/>
      <c r="I173" s="1"/>
      <c r="J173" s="1"/>
      <c r="L173" s="5" t="s">
        <v>16</v>
      </c>
      <c r="M173" s="3" t="str">
        <f t="shared" si="11"/>
        <v xml:space="preserve">        &lt;note time="65.372" string="1" fret="5" /&gt;</v>
      </c>
      <c r="N173" s="8" t="str">
        <f>chitar__3[[#This Row],[Column1.14]]</f>
        <v>65.372</v>
      </c>
      <c r="O173" s="6" t="s">
        <v>1288</v>
      </c>
    </row>
    <row r="174" spans="1:15" x14ac:dyDescent="0.45">
      <c r="A174" s="1" t="s">
        <v>16</v>
      </c>
      <c r="B174" s="1">
        <f t="shared" si="8"/>
        <v>65.591999999999999</v>
      </c>
      <c r="C174" s="1" t="str">
        <f t="shared" si="9"/>
        <v>65.592</v>
      </c>
      <c r="D174" s="1" t="str">
        <f t="shared" si="10"/>
        <v>65.592"</v>
      </c>
      <c r="E174" s="1" t="str">
        <f>RIGHT(chitar__3[[#This Row],[Column1.2]],LEN(chitar__3[[#This Row],[Column1.2]])-7)</f>
        <v xml:space="preserve"> string="0" fret="10" palmMute="1" /&gt;</v>
      </c>
      <c r="F174" s="1" t="s">
        <v>128</v>
      </c>
      <c r="G174" s="1"/>
      <c r="H174" s="1"/>
      <c r="I174" s="1"/>
      <c r="J174" s="1"/>
      <c r="L174" s="2" t="s">
        <v>16</v>
      </c>
      <c r="M174" s="3" t="str">
        <f t="shared" si="11"/>
        <v xml:space="preserve">        &lt;note time="65.592" string="1" fret="5" /&gt;</v>
      </c>
      <c r="N174" s="8" t="str">
        <f>chitar__3[[#This Row],[Column1.14]]</f>
        <v>65.592</v>
      </c>
      <c r="O174" s="4" t="s">
        <v>1289</v>
      </c>
    </row>
    <row r="175" spans="1:15" x14ac:dyDescent="0.45">
      <c r="A175" s="1" t="s">
        <v>388</v>
      </c>
      <c r="B175" s="1">
        <f t="shared" si="8"/>
        <v>65.731999999999999</v>
      </c>
      <c r="C175" s="1" t="str">
        <f t="shared" si="9"/>
        <v>65.732</v>
      </c>
      <c r="D175" s="1" t="str">
        <f t="shared" si="10"/>
        <v>65.732"</v>
      </c>
      <c r="E175" s="1" t="str">
        <f>RIGHT(chitar__3[[#This Row],[Column1.2]],LEN(chitar__3[[#This Row],[Column1.2]])-7)</f>
        <v xml:space="preserve"> chordId="0" &gt;&lt;chordNote </v>
      </c>
      <c r="F175" s="1" t="s">
        <v>449</v>
      </c>
      <c r="G175" s="1" t="s">
        <v>749</v>
      </c>
      <c r="H175" s="1" t="s">
        <v>750</v>
      </c>
      <c r="I175" s="1"/>
      <c r="J175" s="1"/>
      <c r="L175" s="5" t="s">
        <v>16</v>
      </c>
      <c r="M175" s="3" t="str">
        <f t="shared" si="11"/>
        <v xml:space="preserve">        &lt;note time="65.732" string="2" fret="5" /&gt;</v>
      </c>
      <c r="N175" s="8" t="str">
        <f>chitar__3[[#This Row],[Column1.14]]</f>
        <v>65.732</v>
      </c>
      <c r="O175" s="6" t="s">
        <v>1290</v>
      </c>
    </row>
    <row r="176" spans="1:15" x14ac:dyDescent="0.45">
      <c r="A176" s="1" t="s">
        <v>388</v>
      </c>
      <c r="B176" s="1">
        <f t="shared" si="8"/>
        <v>66.122</v>
      </c>
      <c r="C176" s="1" t="str">
        <f t="shared" si="9"/>
        <v>66.122</v>
      </c>
      <c r="D176" s="1" t="str">
        <f t="shared" si="10"/>
        <v>66.122"</v>
      </c>
      <c r="E176" s="1" t="str">
        <f>RIGHT(chitar__3[[#This Row],[Column1.2]],LEN(chitar__3[[#This Row],[Column1.2]])-7)</f>
        <v xml:space="preserve"> chordId="1" &gt;&lt;chordNote </v>
      </c>
      <c r="F176" s="1" t="s">
        <v>450</v>
      </c>
      <c r="G176" s="1" t="s">
        <v>751</v>
      </c>
      <c r="H176" s="1" t="s">
        <v>752</v>
      </c>
      <c r="I176" s="1"/>
      <c r="J176" s="1"/>
      <c r="L176" s="2" t="s">
        <v>16</v>
      </c>
      <c r="M176" s="3" t="str">
        <f t="shared" si="11"/>
        <v xml:space="preserve">        &lt;note time="66.122" string="2" fret="3" sustain="0.21" /&gt;</v>
      </c>
      <c r="N176" s="8" t="str">
        <f>chitar__3[[#This Row],[Column1.14]]</f>
        <v>66.122</v>
      </c>
      <c r="O176" s="4" t="s">
        <v>1743</v>
      </c>
    </row>
    <row r="177" spans="1:15" x14ac:dyDescent="0.45">
      <c r="A177" s="1" t="s">
        <v>388</v>
      </c>
      <c r="B177" s="1">
        <f t="shared" si="8"/>
        <v>66.459999999999994</v>
      </c>
      <c r="C177" s="1" t="str">
        <f t="shared" si="9"/>
        <v>66.460</v>
      </c>
      <c r="D177" s="1" t="str">
        <f t="shared" si="10"/>
        <v>66.460"</v>
      </c>
      <c r="E177" s="1" t="str">
        <f>RIGHT(chitar__3[[#This Row],[Column1.2]],LEN(chitar__3[[#This Row],[Column1.2]])-7)</f>
        <v xml:space="preserve"> chordId="7" &gt;&lt;chordNote </v>
      </c>
      <c r="F177" s="1" t="s">
        <v>451</v>
      </c>
      <c r="G177" s="1" t="s">
        <v>753</v>
      </c>
      <c r="H177" s="1" t="s">
        <v>754</v>
      </c>
      <c r="I177" s="1"/>
      <c r="J177" s="1"/>
      <c r="L177" s="5" t="s">
        <v>16</v>
      </c>
      <c r="M177" s="3" t="str">
        <f t="shared" si="11"/>
        <v xml:space="preserve">        &lt;note time="66.460" string="1" fret="5" /&gt;</v>
      </c>
      <c r="N177" s="8" t="str">
        <f>chitar__3[[#This Row],[Column1.14]]</f>
        <v>66.460</v>
      </c>
      <c r="O177" s="6" t="s">
        <v>1292</v>
      </c>
    </row>
    <row r="178" spans="1:15" x14ac:dyDescent="0.45">
      <c r="A178" s="1" t="s">
        <v>16</v>
      </c>
      <c r="B178" s="1">
        <f t="shared" si="8"/>
        <v>66.7</v>
      </c>
      <c r="C178" s="1" t="str">
        <f t="shared" si="9"/>
        <v>66.700</v>
      </c>
      <c r="D178" s="1" t="str">
        <f t="shared" si="10"/>
        <v>66.700"</v>
      </c>
      <c r="E178" s="1" t="str">
        <f>RIGHT(chitar__3[[#This Row],[Column1.2]],LEN(chitar__3[[#This Row],[Column1.2]])-7)</f>
        <v xml:space="preserve"> string="0" fret="10" palmMute="1" /&gt;</v>
      </c>
      <c r="F178" s="1" t="s">
        <v>129</v>
      </c>
      <c r="G178" s="1"/>
      <c r="H178" s="1"/>
      <c r="I178" s="1"/>
      <c r="J178" s="1"/>
      <c r="L178" s="2" t="s">
        <v>16</v>
      </c>
      <c r="M178" s="3" t="str">
        <f t="shared" si="11"/>
        <v xml:space="preserve">        &lt;note time="66.700" string="1" fret="5" /&gt;</v>
      </c>
      <c r="N178" s="8" t="str">
        <f>chitar__3[[#This Row],[Column1.14]]</f>
        <v>66.700</v>
      </c>
      <c r="O178" s="4" t="s">
        <v>1293</v>
      </c>
    </row>
    <row r="179" spans="1:15" x14ac:dyDescent="0.45">
      <c r="A179" s="1" t="s">
        <v>16</v>
      </c>
      <c r="B179" s="1">
        <f t="shared" si="8"/>
        <v>66.930000000000007</v>
      </c>
      <c r="C179" s="1" t="str">
        <f t="shared" si="9"/>
        <v>66.930</v>
      </c>
      <c r="D179" s="1" t="str">
        <f t="shared" si="10"/>
        <v>66.930"</v>
      </c>
      <c r="E179" s="1" t="str">
        <f>RIGHT(chitar__3[[#This Row],[Column1.2]],LEN(chitar__3[[#This Row],[Column1.2]])-7)</f>
        <v xml:space="preserve"> string="0" fret="10" palmMute="1" /&gt;</v>
      </c>
      <c r="F179" s="1" t="s">
        <v>130</v>
      </c>
      <c r="G179" s="1"/>
      <c r="H179" s="1"/>
      <c r="I179" s="1"/>
      <c r="J179" s="1"/>
      <c r="L179" s="5" t="s">
        <v>16</v>
      </c>
      <c r="M179" s="3" t="str">
        <f t="shared" si="11"/>
        <v xml:space="preserve">        &lt;note time="66.930" string="1" fret="5" /&gt;</v>
      </c>
      <c r="N179" s="8" t="str">
        <f>chitar__3[[#This Row],[Column1.14]]</f>
        <v>66.930</v>
      </c>
      <c r="O179" s="6" t="s">
        <v>1294</v>
      </c>
    </row>
    <row r="180" spans="1:15" x14ac:dyDescent="0.45">
      <c r="A180" s="1" t="s">
        <v>16</v>
      </c>
      <c r="B180" s="1">
        <f t="shared" si="8"/>
        <v>67.165000000000006</v>
      </c>
      <c r="C180" s="1" t="str">
        <f t="shared" si="9"/>
        <v>67.165</v>
      </c>
      <c r="D180" s="1" t="str">
        <f t="shared" si="10"/>
        <v>67.165"</v>
      </c>
      <c r="E180" s="1" t="str">
        <f>RIGHT(chitar__3[[#This Row],[Column1.2]],LEN(chitar__3[[#This Row],[Column1.2]])-7)</f>
        <v xml:space="preserve"> string="0" fret="10" palmMute="1" /&gt;</v>
      </c>
      <c r="F180" s="1" t="s">
        <v>131</v>
      </c>
      <c r="G180" s="1"/>
      <c r="H180" s="1"/>
      <c r="I180" s="1"/>
      <c r="J180" s="1"/>
      <c r="L180" s="2" t="s">
        <v>16</v>
      </c>
      <c r="M180" s="3" t="str">
        <f t="shared" si="11"/>
        <v xml:space="preserve">        &lt;note time="67.165" string="1" fret="5" /&gt;</v>
      </c>
      <c r="N180" s="8" t="str">
        <f>chitar__3[[#This Row],[Column1.14]]</f>
        <v>67.165</v>
      </c>
      <c r="O180" s="4" t="s">
        <v>1295</v>
      </c>
    </row>
    <row r="181" spans="1:15" x14ac:dyDescent="0.45">
      <c r="A181" s="1" t="s">
        <v>388</v>
      </c>
      <c r="B181" s="1">
        <f t="shared" si="8"/>
        <v>67.36</v>
      </c>
      <c r="C181" s="1" t="str">
        <f t="shared" si="9"/>
        <v>67.360</v>
      </c>
      <c r="D181" s="1" t="str">
        <f t="shared" si="10"/>
        <v>67.360"</v>
      </c>
      <c r="E181" s="1" t="str">
        <f>RIGHT(chitar__3[[#This Row],[Column1.2]],LEN(chitar__3[[#This Row],[Column1.2]])-7)</f>
        <v xml:space="preserve"> chordId="4" &gt;&lt;chordNote </v>
      </c>
      <c r="F181" s="1" t="s">
        <v>452</v>
      </c>
      <c r="G181" s="1" t="s">
        <v>755</v>
      </c>
      <c r="H181" s="1" t="s">
        <v>756</v>
      </c>
      <c r="I181" s="1"/>
      <c r="J181" s="1"/>
      <c r="L181" s="5" t="s">
        <v>16</v>
      </c>
      <c r="M181" s="3" t="str">
        <f t="shared" si="11"/>
        <v xml:space="preserve">        &lt;note time="67.360" string="2" fret="5" /&gt;</v>
      </c>
      <c r="N181" s="8" t="str">
        <f>chitar__3[[#This Row],[Column1.14]]</f>
        <v>67.360</v>
      </c>
      <c r="O181" s="6" t="s">
        <v>1296</v>
      </c>
    </row>
    <row r="182" spans="1:15" x14ac:dyDescent="0.45">
      <c r="A182" s="1" t="s">
        <v>388</v>
      </c>
      <c r="B182" s="1">
        <f t="shared" si="8"/>
        <v>67.849999999999994</v>
      </c>
      <c r="C182" s="1" t="str">
        <f t="shared" si="9"/>
        <v>67.850</v>
      </c>
      <c r="D182" s="1" t="str">
        <f t="shared" si="10"/>
        <v>67.850"</v>
      </c>
      <c r="E182" s="1" t="str">
        <f>RIGHT(chitar__3[[#This Row],[Column1.2]],LEN(chitar__3[[#This Row],[Column1.2]])-7)</f>
        <v xml:space="preserve"> chordId="5" &gt;&lt;chordNote </v>
      </c>
      <c r="F182" s="1" t="s">
        <v>453</v>
      </c>
      <c r="G182" s="1" t="s">
        <v>757</v>
      </c>
      <c r="H182" s="1" t="s">
        <v>758</v>
      </c>
      <c r="I182" s="1"/>
      <c r="J182" s="1"/>
      <c r="L182" s="2" t="s">
        <v>16</v>
      </c>
      <c r="M182" s="3" t="str">
        <f t="shared" si="11"/>
        <v xml:space="preserve">        &lt;note time="67.850" string="2" fret="3" sustain="0.21" /&gt;</v>
      </c>
      <c r="N182" s="8" t="str">
        <f>chitar__3[[#This Row],[Column1.14]]</f>
        <v>67.850</v>
      </c>
      <c r="O182" s="4" t="s">
        <v>1744</v>
      </c>
    </row>
    <row r="183" spans="1:15" x14ac:dyDescent="0.45">
      <c r="A183" s="1" t="s">
        <v>388</v>
      </c>
      <c r="B183" s="1">
        <f t="shared" si="8"/>
        <v>68.290000000000006</v>
      </c>
      <c r="C183" s="1" t="str">
        <f t="shared" si="9"/>
        <v>68.290</v>
      </c>
      <c r="D183" s="1" t="str">
        <f t="shared" si="10"/>
        <v>68.290"</v>
      </c>
      <c r="E183" s="1" t="str">
        <f>RIGHT(chitar__3[[#This Row],[Column1.2]],LEN(chitar__3[[#This Row],[Column1.2]])-7)</f>
        <v xml:space="preserve"> chordId="7" &gt;&lt;chordNote </v>
      </c>
      <c r="F183" s="1" t="s">
        <v>454</v>
      </c>
      <c r="G183" s="1" t="s">
        <v>759</v>
      </c>
      <c r="H183" s="1" t="s">
        <v>760</v>
      </c>
      <c r="I183" s="1"/>
      <c r="J183" s="1"/>
      <c r="L183" s="5" t="s">
        <v>16</v>
      </c>
      <c r="M183" s="3" t="str">
        <f t="shared" si="11"/>
        <v xml:space="preserve">        &lt;note time="68.290" string="1" fret="5" /&gt;</v>
      </c>
      <c r="N183" s="8" t="str">
        <f>chitar__3[[#This Row],[Column1.14]]</f>
        <v>68.290</v>
      </c>
      <c r="O183" s="6" t="s">
        <v>1298</v>
      </c>
    </row>
    <row r="184" spans="1:15" x14ac:dyDescent="0.45">
      <c r="A184" s="1" t="s">
        <v>16</v>
      </c>
      <c r="B184" s="1">
        <f t="shared" si="8"/>
        <v>68.52</v>
      </c>
      <c r="C184" s="1" t="str">
        <f t="shared" si="9"/>
        <v>68.520</v>
      </c>
      <c r="D184" s="1" t="str">
        <f t="shared" si="10"/>
        <v>68.520"</v>
      </c>
      <c r="E184" s="1" t="str">
        <f>RIGHT(chitar__3[[#This Row],[Column1.2]],LEN(chitar__3[[#This Row],[Column1.2]])-7)</f>
        <v xml:space="preserve"> string="0" fret="10" palmMute="1" /&gt;</v>
      </c>
      <c r="F184" s="1" t="s">
        <v>132</v>
      </c>
      <c r="G184" s="1"/>
      <c r="H184" s="1"/>
      <c r="I184" s="1"/>
      <c r="J184" s="1"/>
      <c r="L184" s="2" t="s">
        <v>16</v>
      </c>
      <c r="M184" s="3" t="str">
        <f t="shared" si="11"/>
        <v xml:space="preserve">        &lt;note time="68.520" string="1" fret="5" /&gt;</v>
      </c>
      <c r="N184" s="8" t="str">
        <f>chitar__3[[#This Row],[Column1.14]]</f>
        <v>68.520</v>
      </c>
      <c r="O184" s="4" t="s">
        <v>1299</v>
      </c>
    </row>
    <row r="185" spans="1:15" x14ac:dyDescent="0.45">
      <c r="A185" s="1" t="s">
        <v>16</v>
      </c>
      <c r="B185" s="1">
        <f t="shared" si="8"/>
        <v>68.75</v>
      </c>
      <c r="C185" s="1" t="str">
        <f t="shared" si="9"/>
        <v>68.750</v>
      </c>
      <c r="D185" s="1" t="str">
        <f t="shared" si="10"/>
        <v>68.750"</v>
      </c>
      <c r="E185" s="1" t="str">
        <f>RIGHT(chitar__3[[#This Row],[Column1.2]],LEN(chitar__3[[#This Row],[Column1.2]])-7)</f>
        <v xml:space="preserve"> string="0" fret="10" palmMute="1" /&gt;</v>
      </c>
      <c r="F185" s="1" t="s">
        <v>133</v>
      </c>
      <c r="G185" s="1"/>
      <c r="H185" s="1"/>
      <c r="I185" s="1"/>
      <c r="J185" s="1"/>
      <c r="L185" s="5" t="s">
        <v>16</v>
      </c>
      <c r="M185" s="3" t="str">
        <f t="shared" si="11"/>
        <v xml:space="preserve">        &lt;note time="68.750" string="1" fret="5" /&gt;</v>
      </c>
      <c r="N185" s="8" t="str">
        <f>chitar__3[[#This Row],[Column1.14]]</f>
        <v>68.750</v>
      </c>
      <c r="O185" s="6" t="s">
        <v>1300</v>
      </c>
    </row>
    <row r="186" spans="1:15" x14ac:dyDescent="0.45">
      <c r="A186" s="1" t="s">
        <v>16</v>
      </c>
      <c r="B186" s="1">
        <f t="shared" si="8"/>
        <v>68.98</v>
      </c>
      <c r="C186" s="1" t="str">
        <f t="shared" si="9"/>
        <v>68.980</v>
      </c>
      <c r="D186" s="1" t="str">
        <f t="shared" si="10"/>
        <v>68.980"</v>
      </c>
      <c r="E186" s="1" t="str">
        <f>RIGHT(chitar__3[[#This Row],[Column1.2]],LEN(chitar__3[[#This Row],[Column1.2]])-7)</f>
        <v xml:space="preserve"> string="0" fret="10" palmMute="1" /&gt;</v>
      </c>
      <c r="F186" s="1" t="s">
        <v>134</v>
      </c>
      <c r="G186" s="1"/>
      <c r="H186" s="1"/>
      <c r="I186" s="1"/>
      <c r="J186" s="1"/>
      <c r="L186" s="2" t="s">
        <v>16</v>
      </c>
      <c r="M186" s="3" t="str">
        <f t="shared" si="11"/>
        <v xml:space="preserve">        &lt;note time="68.980" string="1" fret="5" /&gt;</v>
      </c>
      <c r="N186" s="8" t="str">
        <f>chitar__3[[#This Row],[Column1.14]]</f>
        <v>68.980</v>
      </c>
      <c r="O186" s="4" t="s">
        <v>1301</v>
      </c>
    </row>
    <row r="187" spans="1:15" x14ac:dyDescent="0.45">
      <c r="A187" s="1" t="s">
        <v>388</v>
      </c>
      <c r="B187" s="1">
        <f t="shared" si="8"/>
        <v>69.117000000000004</v>
      </c>
      <c r="C187" s="1" t="str">
        <f t="shared" si="9"/>
        <v>69.117</v>
      </c>
      <c r="D187" s="1" t="str">
        <f t="shared" si="10"/>
        <v>69.117"</v>
      </c>
      <c r="E187" s="1" t="str">
        <f>RIGHT(chitar__3[[#This Row],[Column1.2]],LEN(chitar__3[[#This Row],[Column1.2]])-7)</f>
        <v xml:space="preserve"> chordId="4" &gt;&lt;chordNote </v>
      </c>
      <c r="F187" s="1" t="s">
        <v>455</v>
      </c>
      <c r="G187" s="1" t="s">
        <v>761</v>
      </c>
      <c r="H187" s="1" t="s">
        <v>762</v>
      </c>
      <c r="I187" s="1"/>
      <c r="J187" s="1"/>
      <c r="L187" s="5" t="s">
        <v>16</v>
      </c>
      <c r="M187" s="3" t="str">
        <f t="shared" si="11"/>
        <v xml:space="preserve">        &lt;note time="69.117" string="2" fret="5" /&gt;</v>
      </c>
      <c r="N187" s="8" t="str">
        <f>chitar__3[[#This Row],[Column1.14]]</f>
        <v>69.117</v>
      </c>
      <c r="O187" s="6" t="s">
        <v>1302</v>
      </c>
    </row>
    <row r="188" spans="1:15" x14ac:dyDescent="0.45">
      <c r="A188" s="1" t="s">
        <v>388</v>
      </c>
      <c r="B188" s="1">
        <f t="shared" si="8"/>
        <v>69.606999999999999</v>
      </c>
      <c r="C188" s="1" t="str">
        <f t="shared" si="9"/>
        <v>69.607</v>
      </c>
      <c r="D188" s="1" t="str">
        <f t="shared" si="10"/>
        <v>69.607"</v>
      </c>
      <c r="E188" s="1" t="str">
        <f>RIGHT(chitar__3[[#This Row],[Column1.2]],LEN(chitar__3[[#This Row],[Column1.2]])-7)</f>
        <v xml:space="preserve"> chordId="5" &gt;&lt;chordNote </v>
      </c>
      <c r="F188" s="1" t="s">
        <v>456</v>
      </c>
      <c r="G188" s="1" t="s">
        <v>763</v>
      </c>
      <c r="H188" s="1" t="s">
        <v>764</v>
      </c>
      <c r="I188" s="1"/>
      <c r="J188" s="1"/>
      <c r="L188" s="2" t="s">
        <v>16</v>
      </c>
      <c r="M188" s="3" t="str">
        <f t="shared" si="11"/>
        <v xml:space="preserve">        &lt;note time="69.607" string="2" fret="3" sustain="0.21" /&gt;</v>
      </c>
      <c r="N188" s="8" t="str">
        <f>chitar__3[[#This Row],[Column1.14]]</f>
        <v>69.607</v>
      </c>
      <c r="O188" s="4" t="s">
        <v>1745</v>
      </c>
    </row>
    <row r="189" spans="1:15" x14ac:dyDescent="0.45">
      <c r="A189" s="1" t="s">
        <v>388</v>
      </c>
      <c r="B189" s="1">
        <f t="shared" si="8"/>
        <v>70.046999999999997</v>
      </c>
      <c r="C189" s="1" t="str">
        <f t="shared" si="9"/>
        <v>70.047</v>
      </c>
      <c r="D189" s="1" t="str">
        <f t="shared" si="10"/>
        <v>70.047"</v>
      </c>
      <c r="E189" s="1" t="str">
        <f>RIGHT(chitar__3[[#This Row],[Column1.2]],LEN(chitar__3[[#This Row],[Column1.2]])-7)</f>
        <v xml:space="preserve"> chordId="7" &gt;&lt;chordNote </v>
      </c>
      <c r="F189" s="1" t="s">
        <v>457</v>
      </c>
      <c r="G189" s="1" t="s">
        <v>765</v>
      </c>
      <c r="H189" s="1" t="s">
        <v>766</v>
      </c>
      <c r="I189" s="1"/>
      <c r="J189" s="1"/>
      <c r="L189" s="5" t="s">
        <v>16</v>
      </c>
      <c r="M189" s="3" t="str">
        <f t="shared" si="11"/>
        <v xml:space="preserve">        &lt;note time="70.047" string="1" fret="5" /&gt;</v>
      </c>
      <c r="N189" s="8" t="str">
        <f>chitar__3[[#This Row],[Column1.14]]</f>
        <v>70.047</v>
      </c>
      <c r="O189" s="6" t="s">
        <v>1304</v>
      </c>
    </row>
    <row r="190" spans="1:15" x14ac:dyDescent="0.45">
      <c r="A190" s="1" t="s">
        <v>16</v>
      </c>
      <c r="B190" s="1">
        <f t="shared" si="8"/>
        <v>70.277000000000001</v>
      </c>
      <c r="C190" s="1" t="str">
        <f t="shared" si="9"/>
        <v>70.277</v>
      </c>
      <c r="D190" s="1" t="str">
        <f t="shared" si="10"/>
        <v>70.277"</v>
      </c>
      <c r="E190" s="1" t="str">
        <f>RIGHT(chitar__3[[#This Row],[Column1.2]],LEN(chitar__3[[#This Row],[Column1.2]])-7)</f>
        <v xml:space="preserve"> string="0" fret="10" palmMute="1" /&gt;</v>
      </c>
      <c r="F190" s="1" t="s">
        <v>135</v>
      </c>
      <c r="G190" s="1"/>
      <c r="H190" s="1"/>
      <c r="I190" s="1"/>
      <c r="J190" s="1"/>
      <c r="L190" s="2" t="s">
        <v>16</v>
      </c>
      <c r="M190" s="3" t="str">
        <f t="shared" si="11"/>
        <v xml:space="preserve">        &lt;note time="70.277" string="1" fret="5" /&gt;</v>
      </c>
      <c r="N190" s="8" t="str">
        <f>chitar__3[[#This Row],[Column1.14]]</f>
        <v>70.277</v>
      </c>
      <c r="O190" s="4" t="s">
        <v>1305</v>
      </c>
    </row>
    <row r="191" spans="1:15" x14ac:dyDescent="0.45">
      <c r="A191" s="1" t="s">
        <v>16</v>
      </c>
      <c r="B191" s="1">
        <f t="shared" si="8"/>
        <v>70.507000000000005</v>
      </c>
      <c r="C191" s="1" t="str">
        <f t="shared" si="9"/>
        <v>70.507</v>
      </c>
      <c r="D191" s="1" t="str">
        <f t="shared" si="10"/>
        <v>70.507"</v>
      </c>
      <c r="E191" s="1" t="str">
        <f>RIGHT(chitar__3[[#This Row],[Column1.2]],LEN(chitar__3[[#This Row],[Column1.2]])-7)</f>
        <v xml:space="preserve"> string="0" fret="10" palmMute="1" /&gt;</v>
      </c>
      <c r="F191" s="1" t="s">
        <v>136</v>
      </c>
      <c r="G191" s="1"/>
      <c r="H191" s="1"/>
      <c r="I191" s="1"/>
      <c r="J191" s="1"/>
      <c r="L191" s="5" t="s">
        <v>16</v>
      </c>
      <c r="M191" s="3" t="str">
        <f t="shared" si="11"/>
        <v xml:space="preserve">        &lt;note time="70.507" string="1" fret="5" /&gt;</v>
      </c>
      <c r="N191" s="8" t="str">
        <f>chitar__3[[#This Row],[Column1.14]]</f>
        <v>70.507</v>
      </c>
      <c r="O191" s="6" t="s">
        <v>1306</v>
      </c>
    </row>
    <row r="192" spans="1:15" x14ac:dyDescent="0.45">
      <c r="A192" s="1" t="s">
        <v>16</v>
      </c>
      <c r="B192" s="1">
        <f t="shared" si="8"/>
        <v>70.736999999999995</v>
      </c>
      <c r="C192" s="1" t="str">
        <f t="shared" si="9"/>
        <v>70.737</v>
      </c>
      <c r="D192" s="1" t="str">
        <f t="shared" si="10"/>
        <v>70.737"</v>
      </c>
      <c r="E192" s="1" t="str">
        <f>RIGHT(chitar__3[[#This Row],[Column1.2]],LEN(chitar__3[[#This Row],[Column1.2]])-7)</f>
        <v xml:space="preserve"> string="0" fret="10" palmMute="1" /&gt;</v>
      </c>
      <c r="F192" s="1" t="s">
        <v>137</v>
      </c>
      <c r="G192" s="1"/>
      <c r="H192" s="1"/>
      <c r="I192" s="1"/>
      <c r="J192" s="1"/>
      <c r="L192" s="2" t="s">
        <v>16</v>
      </c>
      <c r="M192" s="3" t="str">
        <f t="shared" si="11"/>
        <v xml:space="preserve">        &lt;note time="70.737" string="1" fret="5" /&gt;</v>
      </c>
      <c r="N192" s="8" t="str">
        <f>chitar__3[[#This Row],[Column1.14]]</f>
        <v>70.737</v>
      </c>
      <c r="O192" s="4" t="s">
        <v>1307</v>
      </c>
    </row>
    <row r="193" spans="1:15" x14ac:dyDescent="0.45">
      <c r="A193" s="1" t="s">
        <v>388</v>
      </c>
      <c r="B193" s="1">
        <f t="shared" si="8"/>
        <v>70.861999999999995</v>
      </c>
      <c r="C193" s="1" t="str">
        <f t="shared" si="9"/>
        <v>70.862</v>
      </c>
      <c r="D193" s="1" t="str">
        <f t="shared" si="10"/>
        <v>70.862"</v>
      </c>
      <c r="E193" s="1" t="str">
        <f>RIGHT(chitar__3[[#This Row],[Column1.2]],LEN(chitar__3[[#This Row],[Column1.2]])-7)</f>
        <v xml:space="preserve"> chordId="4" &gt;&lt;chordNote </v>
      </c>
      <c r="F193" s="1" t="s">
        <v>458</v>
      </c>
      <c r="G193" s="1" t="s">
        <v>767</v>
      </c>
      <c r="H193" s="1" t="s">
        <v>768</v>
      </c>
      <c r="I193" s="1"/>
      <c r="J193" s="1"/>
      <c r="L193" s="5" t="s">
        <v>16</v>
      </c>
      <c r="M193" s="3" t="str">
        <f t="shared" si="11"/>
        <v xml:space="preserve">        &lt;note time="70.862" string="2" fret="5" /&gt;</v>
      </c>
      <c r="N193" s="8" t="str">
        <f>chitar__3[[#This Row],[Column1.14]]</f>
        <v>70.862</v>
      </c>
      <c r="O193" s="6" t="s">
        <v>1308</v>
      </c>
    </row>
    <row r="194" spans="1:15" x14ac:dyDescent="0.45">
      <c r="A194" s="1" t="s">
        <v>388</v>
      </c>
      <c r="B194" s="1">
        <f t="shared" ref="B194:B258" si="12">VALUE(C194)</f>
        <v>71.352000000000004</v>
      </c>
      <c r="C194" s="1" t="str">
        <f t="shared" ref="C194:C258" si="13">SUBSTITUTE(D194,"""","")</f>
        <v>71.352</v>
      </c>
      <c r="D194" s="1" t="str">
        <f t="shared" ref="D194:D258" si="14">LEFT(F194,7)</f>
        <v>71.352"</v>
      </c>
      <c r="E194" s="1" t="str">
        <f>RIGHT(chitar__3[[#This Row],[Column1.2]],LEN(chitar__3[[#This Row],[Column1.2]])-7)</f>
        <v xml:space="preserve"> chordId="5" &gt;&lt;chordNote </v>
      </c>
      <c r="F194" s="1" t="s">
        <v>459</v>
      </c>
      <c r="G194" s="1" t="s">
        <v>769</v>
      </c>
      <c r="H194" s="1" t="s">
        <v>770</v>
      </c>
      <c r="I194" s="1"/>
      <c r="J194" s="1"/>
      <c r="L194" s="2" t="s">
        <v>16</v>
      </c>
      <c r="M194" s="3" t="str">
        <f t="shared" si="11"/>
        <v xml:space="preserve">        &lt;note time="71.352" string="2" fret="3" sustain="0.21" /&gt;</v>
      </c>
      <c r="N194" s="8" t="str">
        <f>chitar__3[[#This Row],[Column1.14]]</f>
        <v>71.352</v>
      </c>
      <c r="O194" s="4" t="s">
        <v>1746</v>
      </c>
    </row>
    <row r="195" spans="1:15" x14ac:dyDescent="0.45">
      <c r="A195" s="1" t="s">
        <v>388</v>
      </c>
      <c r="B195" s="1">
        <f t="shared" si="12"/>
        <v>71.792000000000002</v>
      </c>
      <c r="C195" s="1" t="str">
        <f t="shared" si="13"/>
        <v>71.792</v>
      </c>
      <c r="D195" s="1" t="str">
        <f t="shared" si="14"/>
        <v>71.792"</v>
      </c>
      <c r="E195" s="1" t="str">
        <f>RIGHT(chitar__3[[#This Row],[Column1.2]],LEN(chitar__3[[#This Row],[Column1.2]])-7)</f>
        <v xml:space="preserve"> chordId="7" &gt;&lt;chordNote </v>
      </c>
      <c r="F195" s="1" t="s">
        <v>460</v>
      </c>
      <c r="G195" s="1" t="s">
        <v>771</v>
      </c>
      <c r="H195" s="1" t="s">
        <v>772</v>
      </c>
      <c r="I195" s="1"/>
      <c r="J195" s="1"/>
      <c r="L195" s="5" t="s">
        <v>16</v>
      </c>
      <c r="M195" s="3" t="str">
        <f t="shared" ref="M195:M235" si="15">L195&amp;"time="""&amp;N195&amp;RIGHT(O195,LEN(O195)-6)</f>
        <v xml:space="preserve">        &lt;note time="71.792" string="1" fret="5" /&gt;</v>
      </c>
      <c r="N195" s="8" t="str">
        <f>chitar__3[[#This Row],[Column1.14]]</f>
        <v>71.792</v>
      </c>
      <c r="O195" s="6" t="s">
        <v>1310</v>
      </c>
    </row>
    <row r="196" spans="1:15" x14ac:dyDescent="0.45">
      <c r="A196" s="1" t="s">
        <v>16</v>
      </c>
      <c r="B196" s="1">
        <f t="shared" si="12"/>
        <v>72.02</v>
      </c>
      <c r="C196" s="1" t="str">
        <f t="shared" si="13"/>
        <v>72.020</v>
      </c>
      <c r="D196" s="1" t="str">
        <f t="shared" si="14"/>
        <v>72.020"</v>
      </c>
      <c r="E196" s="1" t="str">
        <f>RIGHT(chitar__3[[#This Row],[Column1.2]],LEN(chitar__3[[#This Row],[Column1.2]])-7)</f>
        <v xml:space="preserve"> string="0" fret="10" palmMute="1" /&gt;</v>
      </c>
      <c r="F196" s="1" t="s">
        <v>138</v>
      </c>
      <c r="G196" s="1"/>
      <c r="H196" s="1"/>
      <c r="I196" s="1"/>
      <c r="J196" s="1"/>
      <c r="L196" s="2" t="s">
        <v>16</v>
      </c>
      <c r="M196" s="3" t="str">
        <f t="shared" si="15"/>
        <v xml:space="preserve">        &lt;note time="72.020" string="1" fret="5" /&gt;</v>
      </c>
      <c r="N196" s="8" t="str">
        <f>chitar__3[[#This Row],[Column1.14]]</f>
        <v>72.020</v>
      </c>
      <c r="O196" s="4" t="s">
        <v>1311</v>
      </c>
    </row>
    <row r="197" spans="1:15" x14ac:dyDescent="0.45">
      <c r="A197" s="1" t="s">
        <v>16</v>
      </c>
      <c r="B197" s="1">
        <f t="shared" si="12"/>
        <v>72.251999999999995</v>
      </c>
      <c r="C197" s="1" t="str">
        <f t="shared" si="13"/>
        <v>72.252</v>
      </c>
      <c r="D197" s="1" t="str">
        <f t="shared" si="14"/>
        <v>72.252"</v>
      </c>
      <c r="E197" s="1" t="str">
        <f>RIGHT(chitar__3[[#This Row],[Column1.2]],LEN(chitar__3[[#This Row],[Column1.2]])-7)</f>
        <v xml:space="preserve"> string="0" fret="10" palmMute="1" /&gt;</v>
      </c>
      <c r="F197" s="1" t="s">
        <v>139</v>
      </c>
      <c r="G197" s="1"/>
      <c r="H197" s="1"/>
      <c r="I197" s="1"/>
      <c r="J197" s="1"/>
      <c r="L197" s="5" t="s">
        <v>16</v>
      </c>
      <c r="M197" s="3" t="str">
        <f t="shared" si="15"/>
        <v xml:space="preserve">        &lt;note time="72.252" string="1" fret="5" /&gt;</v>
      </c>
      <c r="N197" s="8" t="str">
        <f>chitar__3[[#This Row],[Column1.14]]</f>
        <v>72.252</v>
      </c>
      <c r="O197" s="6" t="s">
        <v>1312</v>
      </c>
    </row>
    <row r="198" spans="1:15" x14ac:dyDescent="0.45">
      <c r="A198" s="1" t="s">
        <v>16</v>
      </c>
      <c r="B198" s="1">
        <f t="shared" si="12"/>
        <v>72.481999999999999</v>
      </c>
      <c r="C198" s="1" t="str">
        <f t="shared" si="13"/>
        <v>72.482</v>
      </c>
      <c r="D198" s="1" t="str">
        <f t="shared" si="14"/>
        <v>72.482"</v>
      </c>
      <c r="E198" s="1" t="str">
        <f>RIGHT(chitar__3[[#This Row],[Column1.2]],LEN(chitar__3[[#This Row],[Column1.2]])-7)</f>
        <v xml:space="preserve"> string="0" fret="10" palmMute="1" /&gt;</v>
      </c>
      <c r="F198" s="1" t="s">
        <v>140</v>
      </c>
      <c r="G198" s="1"/>
      <c r="H198" s="1"/>
      <c r="I198" s="1"/>
      <c r="J198" s="1"/>
      <c r="L198" s="2" t="s">
        <v>16</v>
      </c>
      <c r="M198" s="3" t="str">
        <f t="shared" si="15"/>
        <v xml:space="preserve">        &lt;note time="72.482" string="1" fret="5" /&gt;</v>
      </c>
      <c r="N198" s="8" t="str">
        <f>chitar__3[[#This Row],[Column1.14]]</f>
        <v>72.482</v>
      </c>
      <c r="O198" s="4" t="s">
        <v>1313</v>
      </c>
    </row>
    <row r="199" spans="1:15" x14ac:dyDescent="0.45">
      <c r="A199" s="1" t="s">
        <v>388</v>
      </c>
      <c r="B199" s="1">
        <f t="shared" si="12"/>
        <v>72.587000000000003</v>
      </c>
      <c r="C199" s="1" t="str">
        <f t="shared" si="13"/>
        <v>72.587</v>
      </c>
      <c r="D199" s="1" t="str">
        <f t="shared" si="14"/>
        <v>72.587"</v>
      </c>
      <c r="E199" s="1" t="str">
        <f>RIGHT(chitar__3[[#This Row],[Column1.2]],LEN(chitar__3[[#This Row],[Column1.2]])-7)</f>
        <v xml:space="preserve"> chordId="4" &gt;&lt;chordNote </v>
      </c>
      <c r="F199" s="1" t="s">
        <v>461</v>
      </c>
      <c r="G199" s="1" t="s">
        <v>773</v>
      </c>
      <c r="H199" s="1" t="s">
        <v>774</v>
      </c>
      <c r="I199" s="1"/>
      <c r="J199" s="1"/>
      <c r="L199" s="5" t="s">
        <v>16</v>
      </c>
      <c r="M199" s="3" t="str">
        <f t="shared" si="15"/>
        <v xml:space="preserve">        &lt;note time="72.587" string="2" fret="5" /&gt;</v>
      </c>
      <c r="N199" s="8" t="str">
        <f>chitar__3[[#This Row],[Column1.14]]</f>
        <v>72.587</v>
      </c>
      <c r="O199" s="6" t="s">
        <v>1314</v>
      </c>
    </row>
    <row r="200" spans="1:15" x14ac:dyDescent="0.45">
      <c r="A200" s="1" t="s">
        <v>388</v>
      </c>
      <c r="B200" s="1">
        <f t="shared" si="12"/>
        <v>73.076999999999998</v>
      </c>
      <c r="C200" s="1" t="str">
        <f t="shared" si="13"/>
        <v>73.077</v>
      </c>
      <c r="D200" s="1" t="str">
        <f t="shared" si="14"/>
        <v>73.077"</v>
      </c>
      <c r="E200" s="1" t="str">
        <f>RIGHT(chitar__3[[#This Row],[Column1.2]],LEN(chitar__3[[#This Row],[Column1.2]])-7)</f>
        <v xml:space="preserve"> chordId="5" &gt;&lt;chordNote </v>
      </c>
      <c r="F200" s="1" t="s">
        <v>462</v>
      </c>
      <c r="G200" s="1" t="s">
        <v>775</v>
      </c>
      <c r="H200" s="1" t="s">
        <v>776</v>
      </c>
      <c r="I200" s="1"/>
      <c r="J200" s="1"/>
      <c r="L200" s="2" t="s">
        <v>16</v>
      </c>
      <c r="M200" s="3" t="str">
        <f t="shared" si="15"/>
        <v xml:space="preserve">        &lt;note time="73.077" string="2" fret="3" sustain="0.21" /&gt;</v>
      </c>
      <c r="N200" s="8" t="str">
        <f>chitar__3[[#This Row],[Column1.14]]</f>
        <v>73.077</v>
      </c>
      <c r="O200" s="4" t="s">
        <v>1747</v>
      </c>
    </row>
    <row r="201" spans="1:15" x14ac:dyDescent="0.45">
      <c r="A201" s="1" t="s">
        <v>388</v>
      </c>
      <c r="B201" s="1">
        <f t="shared" si="12"/>
        <v>73.516999999999996</v>
      </c>
      <c r="C201" s="1" t="str">
        <f t="shared" si="13"/>
        <v>73.517</v>
      </c>
      <c r="D201" s="1" t="str">
        <f t="shared" si="14"/>
        <v>73.517"</v>
      </c>
      <c r="E201" s="1" t="str">
        <f>RIGHT(chitar__3[[#This Row],[Column1.2]],LEN(chitar__3[[#This Row],[Column1.2]])-7)</f>
        <v xml:space="preserve"> chordId="7" &gt;&lt;chordNote </v>
      </c>
      <c r="F201" s="1" t="s">
        <v>463</v>
      </c>
      <c r="G201" s="1" t="s">
        <v>777</v>
      </c>
      <c r="H201" s="1" t="s">
        <v>778</v>
      </c>
      <c r="I201" s="1"/>
      <c r="J201" s="1"/>
      <c r="L201" s="5" t="s">
        <v>16</v>
      </c>
      <c r="M201" s="3" t="str">
        <f t="shared" si="15"/>
        <v xml:space="preserve">        &lt;note time="73.517" string="1" fret="5" /&gt;</v>
      </c>
      <c r="N201" s="8" t="str">
        <f>chitar__3[[#This Row],[Column1.14]]</f>
        <v>73.517</v>
      </c>
      <c r="O201" s="6" t="s">
        <v>1316</v>
      </c>
    </row>
    <row r="202" spans="1:15" x14ac:dyDescent="0.45">
      <c r="A202" s="1" t="s">
        <v>16</v>
      </c>
      <c r="B202" s="1">
        <f t="shared" si="12"/>
        <v>73.747</v>
      </c>
      <c r="C202" s="1" t="str">
        <f t="shared" si="13"/>
        <v>73.747</v>
      </c>
      <c r="D202" s="1" t="str">
        <f t="shared" si="14"/>
        <v>73.747"</v>
      </c>
      <c r="E202" s="1" t="str">
        <f>RIGHT(chitar__3[[#This Row],[Column1.2]],LEN(chitar__3[[#This Row],[Column1.2]])-7)</f>
        <v xml:space="preserve"> string="0" fret="10" palmMute="1" /&gt;</v>
      </c>
      <c r="F202" s="1" t="s">
        <v>141</v>
      </c>
      <c r="G202" s="1"/>
      <c r="H202" s="1"/>
      <c r="I202" s="1"/>
      <c r="J202" s="1"/>
      <c r="L202" s="2" t="s">
        <v>16</v>
      </c>
      <c r="M202" s="3" t="str">
        <f t="shared" si="15"/>
        <v xml:space="preserve">        &lt;note time="73.747" string="1" fret="5" /&gt;</v>
      </c>
      <c r="N202" s="8" t="str">
        <f>chitar__3[[#This Row],[Column1.14]]</f>
        <v>73.747</v>
      </c>
      <c r="O202" s="4" t="s">
        <v>1317</v>
      </c>
    </row>
    <row r="203" spans="1:15" x14ac:dyDescent="0.45">
      <c r="A203" s="1" t="s">
        <v>16</v>
      </c>
      <c r="B203" s="1">
        <f t="shared" si="12"/>
        <v>73.977000000000004</v>
      </c>
      <c r="C203" s="1" t="str">
        <f t="shared" si="13"/>
        <v>73.977</v>
      </c>
      <c r="D203" s="1" t="str">
        <f t="shared" si="14"/>
        <v>73.977"</v>
      </c>
      <c r="E203" s="1" t="str">
        <f>RIGHT(chitar__3[[#This Row],[Column1.2]],LEN(chitar__3[[#This Row],[Column1.2]])-7)</f>
        <v xml:space="preserve"> string="0" fret="10" palmMute="1" /&gt;</v>
      </c>
      <c r="F203" s="1" t="s">
        <v>142</v>
      </c>
      <c r="G203" s="1"/>
      <c r="H203" s="1"/>
      <c r="I203" s="1"/>
      <c r="J203" s="1"/>
      <c r="L203" s="5" t="s">
        <v>16</v>
      </c>
      <c r="M203" s="3" t="str">
        <f t="shared" si="15"/>
        <v xml:space="preserve">        &lt;note time="73.977" string="1" fret="5" /&gt;</v>
      </c>
      <c r="N203" s="8" t="str">
        <f>chitar__3[[#This Row],[Column1.14]]</f>
        <v>73.977</v>
      </c>
      <c r="O203" s="6" t="s">
        <v>1318</v>
      </c>
    </row>
    <row r="204" spans="1:15" x14ac:dyDescent="0.45">
      <c r="A204" s="1" t="s">
        <v>16</v>
      </c>
      <c r="B204" s="1">
        <f t="shared" si="12"/>
        <v>74.206999999999994</v>
      </c>
      <c r="C204" s="1" t="str">
        <f t="shared" si="13"/>
        <v>74.207</v>
      </c>
      <c r="D204" s="1" t="str">
        <f t="shared" si="14"/>
        <v>74.207"</v>
      </c>
      <c r="E204" s="1" t="str">
        <f>RIGHT(chitar__3[[#This Row],[Column1.2]],LEN(chitar__3[[#This Row],[Column1.2]])-7)</f>
        <v xml:space="preserve"> string="0" fret="10" palmMute="1" /&gt;</v>
      </c>
      <c r="F204" s="1" t="s">
        <v>143</v>
      </c>
      <c r="G204" s="1"/>
      <c r="H204" s="1"/>
      <c r="I204" s="1"/>
      <c r="J204" s="1"/>
      <c r="L204" s="2" t="s">
        <v>16</v>
      </c>
      <c r="M204" s="3" t="str">
        <f t="shared" si="15"/>
        <v xml:space="preserve">        &lt;note time="74.207" string="1" fret="5" /&gt;</v>
      </c>
      <c r="N204" s="8" t="str">
        <f>chitar__3[[#This Row],[Column1.14]]</f>
        <v>74.207</v>
      </c>
      <c r="O204" s="4" t="s">
        <v>1319</v>
      </c>
    </row>
    <row r="205" spans="1:15" x14ac:dyDescent="0.45">
      <c r="A205" s="1" t="s">
        <v>388</v>
      </c>
      <c r="B205" s="1">
        <f t="shared" si="12"/>
        <v>74.322000000000003</v>
      </c>
      <c r="C205" s="1" t="str">
        <f t="shared" si="13"/>
        <v>74.322</v>
      </c>
      <c r="D205" s="1" t="str">
        <f t="shared" si="14"/>
        <v>74.322"</v>
      </c>
      <c r="E205" s="1" t="str">
        <f>RIGHT(chitar__3[[#This Row],[Column1.2]],LEN(chitar__3[[#This Row],[Column1.2]])-7)</f>
        <v xml:space="preserve"> chordId="4" &gt;&lt;chordNote </v>
      </c>
      <c r="F205" s="1" t="s">
        <v>464</v>
      </c>
      <c r="G205" s="1" t="s">
        <v>779</v>
      </c>
      <c r="H205" s="1" t="s">
        <v>780</v>
      </c>
      <c r="I205" s="1"/>
      <c r="J205" s="1"/>
      <c r="L205" s="5" t="s">
        <v>16</v>
      </c>
      <c r="M205" s="3" t="str">
        <f t="shared" si="15"/>
        <v xml:space="preserve">        &lt;note time="74.322" string="2" fret="5" sustain="0.5" /&gt;</v>
      </c>
      <c r="N205" s="8" t="str">
        <f>chitar__3[[#This Row],[Column1.14]]</f>
        <v>74.322</v>
      </c>
      <c r="O205" s="6" t="s">
        <v>1792</v>
      </c>
    </row>
    <row r="206" spans="1:15" x14ac:dyDescent="0.45">
      <c r="A206" s="1" t="s">
        <v>388</v>
      </c>
      <c r="B206" s="1">
        <f t="shared" si="12"/>
        <v>74.811999999999998</v>
      </c>
      <c r="C206" s="1" t="str">
        <f t="shared" si="13"/>
        <v>74.812</v>
      </c>
      <c r="D206" s="1" t="str">
        <f t="shared" si="14"/>
        <v>74.812"</v>
      </c>
      <c r="E206" s="1" t="str">
        <f>RIGHT(chitar__3[[#This Row],[Column1.2]],LEN(chitar__3[[#This Row],[Column1.2]])-7)</f>
        <v xml:space="preserve"> chordId="5" &gt;&lt;chordNote </v>
      </c>
      <c r="F206" s="1" t="s">
        <v>465</v>
      </c>
      <c r="G206" s="1" t="s">
        <v>781</v>
      </c>
      <c r="H206" s="1" t="s">
        <v>782</v>
      </c>
      <c r="I206" s="1"/>
      <c r="J206" s="1"/>
      <c r="L206" s="2" t="s">
        <v>16</v>
      </c>
      <c r="M206" s="3" t="str">
        <f t="shared" si="15"/>
        <v xml:space="preserve">        &lt;note time="74.812" string="1" fret="5" /&gt;</v>
      </c>
      <c r="N206" s="8" t="str">
        <f>chitar__3[[#This Row],[Column1.14]]</f>
        <v>74.812</v>
      </c>
      <c r="O206" s="4" t="s">
        <v>1321</v>
      </c>
    </row>
    <row r="207" spans="1:15" x14ac:dyDescent="0.45">
      <c r="A207" s="1" t="s">
        <v>388</v>
      </c>
      <c r="B207" s="1">
        <f t="shared" si="12"/>
        <v>75.251999999999995</v>
      </c>
      <c r="C207" s="1" t="str">
        <f t="shared" si="13"/>
        <v>75.252</v>
      </c>
      <c r="D207" s="1" t="str">
        <f t="shared" si="14"/>
        <v>75.252"</v>
      </c>
      <c r="E207" s="1" t="str">
        <f>RIGHT(chitar__3[[#This Row],[Column1.2]],LEN(chitar__3[[#This Row],[Column1.2]])-7)</f>
        <v xml:space="preserve"> chordId="7" &gt;&lt;chordNote </v>
      </c>
      <c r="F207" s="1" t="s">
        <v>466</v>
      </c>
      <c r="G207" s="1" t="s">
        <v>783</v>
      </c>
      <c r="H207" s="1" t="s">
        <v>784</v>
      </c>
      <c r="I207" s="1"/>
      <c r="J207" s="1"/>
      <c r="L207" s="5" t="s">
        <v>16</v>
      </c>
      <c r="M207" s="3" t="str">
        <f t="shared" si="15"/>
        <v xml:space="preserve">        &lt;note time="75.252" string="1" fret="5" /&gt;</v>
      </c>
      <c r="N207" s="8" t="str">
        <f>chitar__3[[#This Row],[Column1.14]]</f>
        <v>75.252</v>
      </c>
      <c r="O207" s="6" t="s">
        <v>1322</v>
      </c>
    </row>
    <row r="208" spans="1:15" x14ac:dyDescent="0.45">
      <c r="A208" s="1" t="s">
        <v>16</v>
      </c>
      <c r="B208" s="1">
        <f t="shared" si="12"/>
        <v>75.481999999999999</v>
      </c>
      <c r="C208" s="1" t="str">
        <f t="shared" si="13"/>
        <v>75.482</v>
      </c>
      <c r="D208" s="1" t="str">
        <f t="shared" si="14"/>
        <v>75.482"</v>
      </c>
      <c r="E208" s="1" t="str">
        <f>RIGHT(chitar__3[[#This Row],[Column1.2]],LEN(chitar__3[[#This Row],[Column1.2]])-7)</f>
        <v xml:space="preserve"> string="0" fret="10" palmMute="1" /&gt;</v>
      </c>
      <c r="F208" s="1" t="s">
        <v>144</v>
      </c>
      <c r="G208" s="1"/>
      <c r="H208" s="1"/>
      <c r="I208" s="1"/>
      <c r="J208" s="1"/>
      <c r="L208" s="2" t="s">
        <v>16</v>
      </c>
      <c r="M208" s="3" t="str">
        <f t="shared" si="15"/>
        <v xml:space="preserve">        &lt;note time="75.482" string="1" fret="5" /&gt;</v>
      </c>
      <c r="N208" s="8" t="str">
        <f>chitar__3[[#This Row],[Column1.14]]</f>
        <v>75.482</v>
      </c>
      <c r="O208" s="4" t="s">
        <v>1323</v>
      </c>
    </row>
    <row r="209" spans="1:15" x14ac:dyDescent="0.45">
      <c r="A209" s="1" t="s">
        <v>16</v>
      </c>
      <c r="B209" s="1">
        <f t="shared" si="12"/>
        <v>75.712000000000003</v>
      </c>
      <c r="C209" s="1" t="str">
        <f t="shared" si="13"/>
        <v>75.712</v>
      </c>
      <c r="D209" s="1" t="str">
        <f t="shared" si="14"/>
        <v>75.712"</v>
      </c>
      <c r="E209" s="1" t="str">
        <f>RIGHT(chitar__3[[#This Row],[Column1.2]],LEN(chitar__3[[#This Row],[Column1.2]])-7)</f>
        <v xml:space="preserve"> string="0" fret="10" palmMute="1" /&gt;</v>
      </c>
      <c r="F209" s="1" t="s">
        <v>145</v>
      </c>
      <c r="G209" s="1"/>
      <c r="H209" s="1"/>
      <c r="I209" s="1"/>
      <c r="J209" s="1"/>
      <c r="L209" s="5" t="s">
        <v>16</v>
      </c>
      <c r="M209" s="3" t="str">
        <f t="shared" si="15"/>
        <v xml:space="preserve">        &lt;note time="75.712" string="1" fret="5" /&gt;</v>
      </c>
      <c r="N209" s="8" t="str">
        <f>chitar__3[[#This Row],[Column1.14]]</f>
        <v>75.712</v>
      </c>
      <c r="O209" s="6" t="s">
        <v>1324</v>
      </c>
    </row>
    <row r="210" spans="1:15" x14ac:dyDescent="0.45">
      <c r="A210" s="1" t="s">
        <v>16</v>
      </c>
      <c r="B210" s="1">
        <f t="shared" si="12"/>
        <v>75.941999999999993</v>
      </c>
      <c r="C210" s="1" t="str">
        <f t="shared" si="13"/>
        <v>75.942</v>
      </c>
      <c r="D210" s="1" t="str">
        <f t="shared" si="14"/>
        <v>75.942"</v>
      </c>
      <c r="E210" s="1" t="str">
        <f>RIGHT(chitar__3[[#This Row],[Column1.2]],LEN(chitar__3[[#This Row],[Column1.2]])-7)</f>
        <v xml:space="preserve"> string="0" fret="10" palmMute="1" /&gt;</v>
      </c>
      <c r="F210" s="1" t="s">
        <v>146</v>
      </c>
      <c r="G210" s="1"/>
      <c r="H210" s="1"/>
      <c r="I210" s="1"/>
      <c r="J210" s="1"/>
      <c r="L210" s="2" t="s">
        <v>16</v>
      </c>
      <c r="M210" s="3" t="str">
        <f t="shared" si="15"/>
        <v xml:space="preserve">        &lt;note time="75.942" string="1" fret="5" /&gt;</v>
      </c>
      <c r="N210" s="8" t="str">
        <f>chitar__3[[#This Row],[Column1.14]]</f>
        <v>75.942</v>
      </c>
      <c r="O210" s="4" t="s">
        <v>1325</v>
      </c>
    </row>
    <row r="211" spans="1:15" x14ac:dyDescent="0.45">
      <c r="A211" s="1" t="s">
        <v>388</v>
      </c>
      <c r="B211" s="1">
        <f t="shared" si="12"/>
        <v>76.055000000000007</v>
      </c>
      <c r="C211" s="1" t="str">
        <f t="shared" si="13"/>
        <v>76.055</v>
      </c>
      <c r="D211" s="1" t="str">
        <f t="shared" si="14"/>
        <v>76.055"</v>
      </c>
      <c r="E211" s="1" t="str">
        <f>RIGHT(chitar__3[[#This Row],[Column1.2]],LEN(chitar__3[[#This Row],[Column1.2]])-7)</f>
        <v xml:space="preserve"> chordId="4" &gt;&lt;chordNote </v>
      </c>
      <c r="F211" s="1" t="s">
        <v>467</v>
      </c>
      <c r="G211" s="1" t="s">
        <v>785</v>
      </c>
      <c r="H211" s="1" t="s">
        <v>786</v>
      </c>
      <c r="I211" s="1"/>
      <c r="J211" s="1"/>
      <c r="L211" s="5" t="s">
        <v>16</v>
      </c>
      <c r="M211" s="3" t="str">
        <f t="shared" si="15"/>
        <v xml:space="preserve">        &lt;note time="76.055" string="2" fret="5" /&gt;</v>
      </c>
      <c r="N211" s="8" t="str">
        <f>chitar__3[[#This Row],[Column1.14]]</f>
        <v>76.055</v>
      </c>
      <c r="O211" s="6" t="s">
        <v>1326</v>
      </c>
    </row>
    <row r="212" spans="1:15" x14ac:dyDescent="0.45">
      <c r="A212" s="1" t="s">
        <v>388</v>
      </c>
      <c r="B212" s="1">
        <f t="shared" si="12"/>
        <v>76.545000000000002</v>
      </c>
      <c r="C212" s="1" t="str">
        <f t="shared" si="13"/>
        <v>76.545</v>
      </c>
      <c r="D212" s="1" t="str">
        <f t="shared" si="14"/>
        <v>76.545"</v>
      </c>
      <c r="E212" s="1" t="str">
        <f>RIGHT(chitar__3[[#This Row],[Column1.2]],LEN(chitar__3[[#This Row],[Column1.2]])-7)</f>
        <v xml:space="preserve"> chordId="5" &gt;&lt;chordNote </v>
      </c>
      <c r="F212" s="1" t="s">
        <v>468</v>
      </c>
      <c r="G212" s="1" t="s">
        <v>787</v>
      </c>
      <c r="H212" s="1" t="s">
        <v>788</v>
      </c>
      <c r="I212" s="1"/>
      <c r="J212" s="1"/>
      <c r="L212" s="2" t="s">
        <v>16</v>
      </c>
      <c r="M212" s="3" t="str">
        <f t="shared" si="15"/>
        <v xml:space="preserve">        &lt;note time="76.545" string="2" fret="3" sustain="0.21" /&gt;</v>
      </c>
      <c r="N212" s="8" t="str">
        <f>chitar__3[[#This Row],[Column1.14]]</f>
        <v>76.545</v>
      </c>
      <c r="O212" s="4" t="s">
        <v>1748</v>
      </c>
    </row>
    <row r="213" spans="1:15" x14ac:dyDescent="0.45">
      <c r="A213" s="1" t="s">
        <v>388</v>
      </c>
      <c r="B213" s="1">
        <f t="shared" si="12"/>
        <v>76.984999999999999</v>
      </c>
      <c r="C213" s="1" t="str">
        <f t="shared" si="13"/>
        <v>76.985</v>
      </c>
      <c r="D213" s="1" t="str">
        <f t="shared" si="14"/>
        <v>76.985"</v>
      </c>
      <c r="E213" s="1" t="str">
        <f>RIGHT(chitar__3[[#This Row],[Column1.2]],LEN(chitar__3[[#This Row],[Column1.2]])-7)</f>
        <v xml:space="preserve"> chordId="7" &gt;&lt;chordNote </v>
      </c>
      <c r="F213" s="1" t="s">
        <v>469</v>
      </c>
      <c r="G213" s="1" t="s">
        <v>789</v>
      </c>
      <c r="H213" s="1" t="s">
        <v>790</v>
      </c>
      <c r="I213" s="1"/>
      <c r="J213" s="1"/>
      <c r="L213" s="5" t="s">
        <v>16</v>
      </c>
      <c r="M213" s="3" t="str">
        <f t="shared" si="15"/>
        <v xml:space="preserve">        &lt;note time="76.985" string="1" fret="5" /&gt;</v>
      </c>
      <c r="N213" s="8" t="str">
        <f>chitar__3[[#This Row],[Column1.14]]</f>
        <v>76.985</v>
      </c>
      <c r="O213" s="6" t="s">
        <v>1328</v>
      </c>
    </row>
    <row r="214" spans="1:15" x14ac:dyDescent="0.45">
      <c r="A214" s="1" t="s">
        <v>16</v>
      </c>
      <c r="B214" s="1">
        <f t="shared" si="12"/>
        <v>77.215000000000003</v>
      </c>
      <c r="C214" s="1" t="str">
        <f t="shared" si="13"/>
        <v>77.215</v>
      </c>
      <c r="D214" s="1" t="str">
        <f t="shared" si="14"/>
        <v>77.215"</v>
      </c>
      <c r="E214" s="1" t="str">
        <f>RIGHT(chitar__3[[#This Row],[Column1.2]],LEN(chitar__3[[#This Row],[Column1.2]])-7)</f>
        <v xml:space="preserve"> string="0" fret="10" palmMute="1" /&gt;</v>
      </c>
      <c r="F214" s="1" t="s">
        <v>147</v>
      </c>
      <c r="G214" s="1"/>
      <c r="H214" s="1"/>
      <c r="I214" s="1"/>
      <c r="J214" s="1"/>
      <c r="L214" s="2" t="s">
        <v>16</v>
      </c>
      <c r="M214" s="3" t="str">
        <f t="shared" si="15"/>
        <v xml:space="preserve">        &lt;note time="77.215" string="1" fret="5" /&gt;</v>
      </c>
      <c r="N214" s="8" t="str">
        <f>chitar__3[[#This Row],[Column1.14]]</f>
        <v>77.215</v>
      </c>
      <c r="O214" s="4" t="s">
        <v>1329</v>
      </c>
    </row>
    <row r="215" spans="1:15" x14ac:dyDescent="0.45">
      <c r="A215" s="1" t="s">
        <v>16</v>
      </c>
      <c r="B215" s="1">
        <f t="shared" si="12"/>
        <v>77.444999999999993</v>
      </c>
      <c r="C215" s="1" t="str">
        <f t="shared" si="13"/>
        <v>77.445</v>
      </c>
      <c r="D215" s="1" t="str">
        <f t="shared" si="14"/>
        <v>77.445"</v>
      </c>
      <c r="E215" s="1" t="str">
        <f>RIGHT(chitar__3[[#This Row],[Column1.2]],LEN(chitar__3[[#This Row],[Column1.2]])-7)</f>
        <v xml:space="preserve"> string="0" fret="10" palmMute="1" /&gt;</v>
      </c>
      <c r="F215" s="1" t="s">
        <v>148</v>
      </c>
      <c r="G215" s="1"/>
      <c r="H215" s="1"/>
      <c r="I215" s="1"/>
      <c r="J215" s="1"/>
      <c r="L215" s="5" t="s">
        <v>16</v>
      </c>
      <c r="M215" s="3" t="str">
        <f t="shared" si="15"/>
        <v xml:space="preserve">        &lt;note time="77.445" string="1" fret="5" /&gt;</v>
      </c>
      <c r="N215" s="8" t="str">
        <f>chitar__3[[#This Row],[Column1.14]]</f>
        <v>77.445</v>
      </c>
      <c r="O215" s="6" t="s">
        <v>1330</v>
      </c>
    </row>
    <row r="216" spans="1:15" x14ac:dyDescent="0.45">
      <c r="A216" s="1" t="s">
        <v>16</v>
      </c>
      <c r="B216" s="1">
        <f t="shared" si="12"/>
        <v>77.674999999999997</v>
      </c>
      <c r="C216" s="1" t="str">
        <f t="shared" si="13"/>
        <v>77.675</v>
      </c>
      <c r="D216" s="1" t="str">
        <f t="shared" si="14"/>
        <v>77.675"</v>
      </c>
      <c r="E216" s="1" t="str">
        <f>RIGHT(chitar__3[[#This Row],[Column1.2]],LEN(chitar__3[[#This Row],[Column1.2]])-7)</f>
        <v xml:space="preserve"> string="0" fret="10" palmMute="1" /&gt;</v>
      </c>
      <c r="F216" s="1" t="s">
        <v>149</v>
      </c>
      <c r="G216" s="1"/>
      <c r="H216" s="1"/>
      <c r="I216" s="1"/>
      <c r="J216" s="1"/>
      <c r="L216" s="2" t="s">
        <v>16</v>
      </c>
      <c r="M216" s="3" t="str">
        <f t="shared" si="15"/>
        <v xml:space="preserve">        &lt;note time="77.675" string="1" fret="5" /&gt;</v>
      </c>
      <c r="N216" s="8" t="str">
        <f>chitar__3[[#This Row],[Column1.14]]</f>
        <v>77.675</v>
      </c>
      <c r="O216" s="4" t="s">
        <v>1331</v>
      </c>
    </row>
    <row r="217" spans="1:15" x14ac:dyDescent="0.45">
      <c r="A217" s="1" t="s">
        <v>388</v>
      </c>
      <c r="B217" s="1">
        <f t="shared" si="12"/>
        <v>77.781999999999996</v>
      </c>
      <c r="C217" s="1" t="str">
        <f t="shared" si="13"/>
        <v>77.782</v>
      </c>
      <c r="D217" s="1" t="str">
        <f t="shared" si="14"/>
        <v>77.782"</v>
      </c>
      <c r="E217" s="1" t="str">
        <f>RIGHT(chitar__3[[#This Row],[Column1.2]],LEN(chitar__3[[#This Row],[Column1.2]])-7)</f>
        <v xml:space="preserve"> chordId="4" &gt;&lt;chordNote </v>
      </c>
      <c r="F217" s="1" t="s">
        <v>470</v>
      </c>
      <c r="G217" s="1" t="s">
        <v>791</v>
      </c>
      <c r="H217" s="1" t="s">
        <v>792</v>
      </c>
      <c r="I217" s="1"/>
      <c r="J217" s="1"/>
      <c r="L217" s="5" t="s">
        <v>16</v>
      </c>
      <c r="M217" s="3" t="str">
        <f t="shared" si="15"/>
        <v xml:space="preserve">        &lt;note time="77.782" string="2" fret="5" /&gt;</v>
      </c>
      <c r="N217" s="8" t="str">
        <f>chitar__3[[#This Row],[Column1.14]]</f>
        <v>77.782</v>
      </c>
      <c r="O217" s="6" t="s">
        <v>1332</v>
      </c>
    </row>
    <row r="218" spans="1:15" x14ac:dyDescent="0.45">
      <c r="A218" s="1" t="s">
        <v>388</v>
      </c>
      <c r="B218" s="1">
        <f t="shared" si="12"/>
        <v>78.272000000000006</v>
      </c>
      <c r="C218" s="1" t="str">
        <f t="shared" si="13"/>
        <v>78.272</v>
      </c>
      <c r="D218" s="1" t="str">
        <f t="shared" si="14"/>
        <v>78.272"</v>
      </c>
      <c r="E218" s="1" t="str">
        <f>RIGHT(chitar__3[[#This Row],[Column1.2]],LEN(chitar__3[[#This Row],[Column1.2]])-7)</f>
        <v xml:space="preserve"> chordId="5" &gt;&lt;chordNote </v>
      </c>
      <c r="F218" s="1" t="s">
        <v>471</v>
      </c>
      <c r="G218" s="1" t="s">
        <v>793</v>
      </c>
      <c r="H218" s="1" t="s">
        <v>794</v>
      </c>
      <c r="I218" s="1"/>
      <c r="J218" s="1"/>
      <c r="L218" s="2" t="s">
        <v>16</v>
      </c>
      <c r="M218" s="3" t="str">
        <f t="shared" si="15"/>
        <v xml:space="preserve">        &lt;note time="78.272" string="2" fret="3" sustain="0.21" /&gt;</v>
      </c>
      <c r="N218" s="8" t="str">
        <f>chitar__3[[#This Row],[Column1.14]]</f>
        <v>78.272</v>
      </c>
      <c r="O218" s="4" t="s">
        <v>1749</v>
      </c>
    </row>
    <row r="219" spans="1:15" x14ac:dyDescent="0.45">
      <c r="A219" s="1" t="s">
        <v>388</v>
      </c>
      <c r="B219" s="1">
        <f t="shared" si="12"/>
        <v>78.712999999999994</v>
      </c>
      <c r="C219" s="1" t="str">
        <f t="shared" si="13"/>
        <v>78.713</v>
      </c>
      <c r="D219" s="1" t="str">
        <f t="shared" si="14"/>
        <v>78.713"</v>
      </c>
      <c r="E219" s="1" t="str">
        <f>RIGHT(chitar__3[[#This Row],[Column1.2]],LEN(chitar__3[[#This Row],[Column1.2]])-7)</f>
        <v xml:space="preserve"> chordId="7" &gt;&lt;chordNote </v>
      </c>
      <c r="F219" s="1" t="s">
        <v>472</v>
      </c>
      <c r="G219" s="1" t="s">
        <v>795</v>
      </c>
      <c r="H219" s="1" t="s">
        <v>796</v>
      </c>
      <c r="I219" s="1"/>
      <c r="J219" s="1"/>
      <c r="L219" s="5" t="s">
        <v>16</v>
      </c>
      <c r="M219" s="3" t="str">
        <f t="shared" si="15"/>
        <v xml:space="preserve">        &lt;note time="78.713" string="1" fret="5" /&gt;</v>
      </c>
      <c r="N219" s="8" t="str">
        <f>chitar__3[[#This Row],[Column1.14]]</f>
        <v>78.713</v>
      </c>
      <c r="O219" s="6" t="s">
        <v>1334</v>
      </c>
    </row>
    <row r="220" spans="1:15" x14ac:dyDescent="0.45">
      <c r="A220" s="1" t="s">
        <v>16</v>
      </c>
      <c r="B220" s="1">
        <f t="shared" si="12"/>
        <v>78.941999999999993</v>
      </c>
      <c r="C220" s="1" t="str">
        <f t="shared" si="13"/>
        <v>78.942</v>
      </c>
      <c r="D220" s="1" t="str">
        <f t="shared" si="14"/>
        <v>78.942"</v>
      </c>
      <c r="E220" s="1" t="str">
        <f>RIGHT(chitar__3[[#This Row],[Column1.2]],LEN(chitar__3[[#This Row],[Column1.2]])-7)</f>
        <v xml:space="preserve"> string="0" fret="10" palmMute="1" /&gt;</v>
      </c>
      <c r="F220" s="1" t="s">
        <v>150</v>
      </c>
      <c r="G220" s="1"/>
      <c r="H220" s="1"/>
      <c r="I220" s="1"/>
      <c r="J220" s="1"/>
      <c r="L220" s="2" t="s">
        <v>16</v>
      </c>
      <c r="M220" s="3" t="str">
        <f t="shared" si="15"/>
        <v xml:space="preserve">        &lt;note time="78.942" string="1" fret="5" /&gt;</v>
      </c>
      <c r="N220" s="8" t="str">
        <f>chitar__3[[#This Row],[Column1.14]]</f>
        <v>78.942</v>
      </c>
      <c r="O220" s="4" t="s">
        <v>1335</v>
      </c>
    </row>
    <row r="221" spans="1:15" x14ac:dyDescent="0.45">
      <c r="A221" s="1" t="s">
        <v>16</v>
      </c>
      <c r="B221" s="1">
        <f t="shared" si="12"/>
        <v>79.171999999999997</v>
      </c>
      <c r="C221" s="1" t="str">
        <f t="shared" si="13"/>
        <v>79.172</v>
      </c>
      <c r="D221" s="1" t="str">
        <f t="shared" si="14"/>
        <v>79.172"</v>
      </c>
      <c r="E221" s="1" t="str">
        <f>RIGHT(chitar__3[[#This Row],[Column1.2]],LEN(chitar__3[[#This Row],[Column1.2]])-7)</f>
        <v xml:space="preserve"> string="0" fret="10" palmMute="1" /&gt;</v>
      </c>
      <c r="F221" s="1" t="s">
        <v>151</v>
      </c>
      <c r="G221" s="1"/>
      <c r="H221" s="1"/>
      <c r="I221" s="1"/>
      <c r="J221" s="1"/>
      <c r="L221" s="5" t="s">
        <v>16</v>
      </c>
      <c r="M221" s="3" t="str">
        <f t="shared" si="15"/>
        <v xml:space="preserve">        &lt;note time="79.172" string="1" fret="5" /&gt;</v>
      </c>
      <c r="N221" s="8" t="str">
        <f>chitar__3[[#This Row],[Column1.14]]</f>
        <v>79.172</v>
      </c>
      <c r="O221" s="6" t="s">
        <v>1336</v>
      </c>
    </row>
    <row r="222" spans="1:15" x14ac:dyDescent="0.45">
      <c r="A222" s="1" t="s">
        <v>16</v>
      </c>
      <c r="B222" s="1">
        <f t="shared" si="12"/>
        <v>79.402000000000001</v>
      </c>
      <c r="C222" s="1" t="str">
        <f t="shared" si="13"/>
        <v>79.402</v>
      </c>
      <c r="D222" s="1" t="str">
        <f t="shared" si="14"/>
        <v>79.402"</v>
      </c>
      <c r="E222" s="1" t="str">
        <f>RIGHT(chitar__3[[#This Row],[Column1.2]],LEN(chitar__3[[#This Row],[Column1.2]])-7)</f>
        <v xml:space="preserve"> string="0" fret="10" palmMute="1" /&gt;</v>
      </c>
      <c r="F222" s="1" t="s">
        <v>152</v>
      </c>
      <c r="G222" s="1"/>
      <c r="H222" s="1"/>
      <c r="I222" s="1"/>
      <c r="J222" s="1"/>
      <c r="L222" s="2" t="s">
        <v>16</v>
      </c>
      <c r="M222" s="3" t="str">
        <f t="shared" si="15"/>
        <v xml:space="preserve">        &lt;note time="79.402" string="1" fret="5" /&gt;</v>
      </c>
      <c r="N222" s="8" t="str">
        <f>chitar__3[[#This Row],[Column1.14]]</f>
        <v>79.402</v>
      </c>
      <c r="O222" s="4" t="s">
        <v>1337</v>
      </c>
    </row>
    <row r="223" spans="1:15" x14ac:dyDescent="0.45">
      <c r="A223" s="1" t="s">
        <v>388</v>
      </c>
      <c r="B223" s="1">
        <f t="shared" si="12"/>
        <v>79.62</v>
      </c>
      <c r="C223" s="1" t="str">
        <f t="shared" si="13"/>
        <v>79.620</v>
      </c>
      <c r="D223" s="1" t="str">
        <f t="shared" si="14"/>
        <v>79.620"</v>
      </c>
      <c r="E223" s="1" t="str">
        <f>RIGHT(chitar__3[[#This Row],[Column1.2]],LEN(chitar__3[[#This Row],[Column1.2]])-7)</f>
        <v xml:space="preserve"> chordId="6" &gt;&lt;chordNote </v>
      </c>
      <c r="F223" s="1" t="s">
        <v>473</v>
      </c>
      <c r="G223" s="1" t="s">
        <v>797</v>
      </c>
      <c r="H223" s="1" t="s">
        <v>798</v>
      </c>
      <c r="I223" s="1"/>
      <c r="J223" s="1"/>
      <c r="L223" s="5" t="s">
        <v>16</v>
      </c>
      <c r="M223" s="3" t="str">
        <f t="shared" si="15"/>
        <v xml:space="preserve">        &lt;note time="79.620" string="1" fret="3" /&gt;</v>
      </c>
      <c r="N223" s="8" t="str">
        <f>chitar__3[[#This Row],[Column1.14]]</f>
        <v>79.620</v>
      </c>
      <c r="O223" s="6" t="s">
        <v>1338</v>
      </c>
    </row>
    <row r="224" spans="1:15" x14ac:dyDescent="0.45">
      <c r="A224" s="1" t="s">
        <v>388</v>
      </c>
      <c r="B224" s="1">
        <f t="shared" si="12"/>
        <v>79.84</v>
      </c>
      <c r="C224" s="1" t="str">
        <f t="shared" si="13"/>
        <v>79.840</v>
      </c>
      <c r="D224" s="1" t="str">
        <f t="shared" si="14"/>
        <v>79.840"</v>
      </c>
      <c r="E224" s="1" t="str">
        <f>RIGHT(chitar__3[[#This Row],[Column1.2]],LEN(chitar__3[[#This Row],[Column1.2]])-7)</f>
        <v xml:space="preserve"> chordId="6" highDensity="1" &gt;&lt;chordNote </v>
      </c>
      <c r="F224" s="1" t="s">
        <v>474</v>
      </c>
      <c r="G224" s="1" t="s">
        <v>799</v>
      </c>
      <c r="H224" s="1" t="s">
        <v>800</v>
      </c>
      <c r="I224" s="1"/>
      <c r="J224" s="1"/>
      <c r="L224" s="2" t="s">
        <v>16</v>
      </c>
      <c r="M224" s="3" t="str">
        <f t="shared" si="15"/>
        <v xml:space="preserve">        &lt;note time="79.840" string="1" fret="3" /&gt;</v>
      </c>
      <c r="N224" s="8" t="str">
        <f>chitar__3[[#This Row],[Column1.14]]</f>
        <v>79.840</v>
      </c>
      <c r="O224" s="4" t="s">
        <v>1339</v>
      </c>
    </row>
    <row r="225" spans="1:15" x14ac:dyDescent="0.45">
      <c r="A225" s="1" t="s">
        <v>388</v>
      </c>
      <c r="B225" s="1">
        <f t="shared" si="12"/>
        <v>80.06</v>
      </c>
      <c r="C225" s="1" t="str">
        <f t="shared" si="13"/>
        <v>80.060</v>
      </c>
      <c r="D225" s="1" t="str">
        <f t="shared" si="14"/>
        <v>80.060"</v>
      </c>
      <c r="E225" s="1" t="str">
        <f>RIGHT(chitar__3[[#This Row],[Column1.2]],LEN(chitar__3[[#This Row],[Column1.2]])-7)</f>
        <v xml:space="preserve"> chordId="7" &gt;&lt;chordNote </v>
      </c>
      <c r="F225" s="1" t="s">
        <v>475</v>
      </c>
      <c r="G225" s="1" t="s">
        <v>801</v>
      </c>
      <c r="H225" s="1" t="s">
        <v>802</v>
      </c>
      <c r="I225" s="1"/>
      <c r="J225" s="1"/>
      <c r="L225" s="5" t="s">
        <v>16</v>
      </c>
      <c r="M225" s="3" t="str">
        <f t="shared" si="15"/>
        <v xml:space="preserve">        &lt;note time="80.060" string="1" fret="5" sustain="3" /&gt;</v>
      </c>
      <c r="N225" s="8" t="str">
        <f>chitar__3[[#This Row],[Column1.14]]</f>
        <v>80.060</v>
      </c>
      <c r="O225" s="6" t="s">
        <v>1797</v>
      </c>
    </row>
    <row r="226" spans="1:15" x14ac:dyDescent="0.45">
      <c r="A226" s="1" t="s">
        <v>388</v>
      </c>
      <c r="B226" s="1">
        <f t="shared" si="12"/>
        <v>83.09</v>
      </c>
      <c r="C226" s="1" t="str">
        <f t="shared" si="13"/>
        <v>83.090</v>
      </c>
      <c r="D226" s="1" t="str">
        <f t="shared" si="14"/>
        <v>83.090"</v>
      </c>
      <c r="E226" s="1" t="str">
        <f>RIGHT(chitar__3[[#This Row],[Column1.2]],LEN(chitar__3[[#This Row],[Column1.2]])-7)</f>
        <v xml:space="preserve"> chordId="6" &gt;&lt;chordNote </v>
      </c>
      <c r="F226" s="1" t="s">
        <v>476</v>
      </c>
      <c r="G226" s="1" t="s">
        <v>803</v>
      </c>
      <c r="H226" s="1" t="s">
        <v>804</v>
      </c>
      <c r="I226" s="1"/>
      <c r="J226" s="1"/>
      <c r="L226" s="2" t="s">
        <v>16</v>
      </c>
      <c r="M226" s="3" t="str">
        <f t="shared" si="15"/>
        <v xml:space="preserve">        &lt;note time="83.090" string="1" fret="3" /&gt;</v>
      </c>
      <c r="N226" s="8" t="str">
        <f>chitar__3[[#This Row],[Column1.14]]</f>
        <v>83.090</v>
      </c>
      <c r="O226" s="4" t="s">
        <v>1341</v>
      </c>
    </row>
    <row r="227" spans="1:15" x14ac:dyDescent="0.45">
      <c r="A227" s="1" t="s">
        <v>388</v>
      </c>
      <c r="B227" s="1">
        <f t="shared" si="12"/>
        <v>83.31</v>
      </c>
      <c r="C227" s="1" t="str">
        <f t="shared" si="13"/>
        <v>83.310</v>
      </c>
      <c r="D227" s="1" t="str">
        <f t="shared" si="14"/>
        <v>83.310"</v>
      </c>
      <c r="E227" s="1" t="str">
        <f>RIGHT(chitar__3[[#This Row],[Column1.2]],LEN(chitar__3[[#This Row],[Column1.2]])-7)</f>
        <v xml:space="preserve"> chordId="6" highDensity="1" &gt;&lt;chordNote </v>
      </c>
      <c r="F227" s="1" t="s">
        <v>477</v>
      </c>
      <c r="G227" s="1" t="s">
        <v>805</v>
      </c>
      <c r="H227" s="1" t="s">
        <v>806</v>
      </c>
      <c r="I227" s="1"/>
      <c r="J227" s="1"/>
      <c r="L227" s="5" t="s">
        <v>16</v>
      </c>
      <c r="M227" s="3" t="str">
        <f t="shared" si="15"/>
        <v xml:space="preserve">        &lt;note time="83.310" string="1" fret="3" /&gt;</v>
      </c>
      <c r="N227" s="8" t="str">
        <f>chitar__3[[#This Row],[Column1.14]]</f>
        <v>83.310</v>
      </c>
      <c r="O227" s="6" t="s">
        <v>1342</v>
      </c>
    </row>
    <row r="228" spans="1:15" x14ac:dyDescent="0.45">
      <c r="A228" s="1" t="s">
        <v>388</v>
      </c>
      <c r="B228" s="1">
        <f t="shared" si="12"/>
        <v>83.53</v>
      </c>
      <c r="C228" s="1" t="str">
        <f t="shared" si="13"/>
        <v>83.530</v>
      </c>
      <c r="D228" s="1" t="str">
        <f t="shared" si="14"/>
        <v>83.530"</v>
      </c>
      <c r="E228" s="1" t="str">
        <f>RIGHT(chitar__3[[#This Row],[Column1.2]],LEN(chitar__3[[#This Row],[Column1.2]])-7)</f>
        <v xml:space="preserve"> chordId="7" &gt;&lt;chordNote </v>
      </c>
      <c r="F228" s="1" t="s">
        <v>478</v>
      </c>
      <c r="G228" s="1" t="s">
        <v>807</v>
      </c>
      <c r="H228" s="1" t="s">
        <v>808</v>
      </c>
      <c r="I228" s="1"/>
      <c r="J228" s="1"/>
      <c r="L228" s="2" t="s">
        <v>16</v>
      </c>
      <c r="M228" s="3" t="str">
        <f t="shared" si="15"/>
        <v xml:space="preserve">        &lt;note time="83.530" string="1" fret="5" sustain="3" /&gt;</v>
      </c>
      <c r="N228" s="8" t="str">
        <f>chitar__3[[#This Row],[Column1.14]]</f>
        <v>83.530</v>
      </c>
      <c r="O228" s="4" t="s">
        <v>1798</v>
      </c>
    </row>
    <row r="229" spans="1:15" x14ac:dyDescent="0.45">
      <c r="A229" s="1" t="s">
        <v>388</v>
      </c>
      <c r="B229" s="1">
        <f t="shared" si="12"/>
        <v>86.5</v>
      </c>
      <c r="C229" s="1" t="str">
        <f t="shared" si="13"/>
        <v>86.500</v>
      </c>
      <c r="D229" s="1" t="str">
        <f t="shared" si="14"/>
        <v>86.500"</v>
      </c>
      <c r="E229" s="1" t="str">
        <f>RIGHT(chitar__3[[#This Row],[Column1.2]],LEN(chitar__3[[#This Row],[Column1.2]])-7)</f>
        <v xml:space="preserve"> chordId="6" &gt;&lt;chordNote </v>
      </c>
      <c r="F229" s="1" t="s">
        <v>479</v>
      </c>
      <c r="G229" s="1" t="s">
        <v>809</v>
      </c>
      <c r="H229" s="1" t="s">
        <v>810</v>
      </c>
      <c r="I229" s="1"/>
      <c r="J229" s="1"/>
      <c r="L229" s="5" t="s">
        <v>16</v>
      </c>
      <c r="M229" s="3" t="str">
        <f t="shared" si="15"/>
        <v xml:space="preserve">        &lt;note time="86.500" string="1" fret="3" /&gt;</v>
      </c>
      <c r="N229" s="8" t="str">
        <f>chitar__3[[#This Row],[Column1.14]]</f>
        <v>86.500</v>
      </c>
      <c r="O229" s="6" t="s">
        <v>1344</v>
      </c>
    </row>
    <row r="230" spans="1:15" x14ac:dyDescent="0.45">
      <c r="A230" s="1" t="s">
        <v>388</v>
      </c>
      <c r="B230" s="1">
        <f t="shared" si="12"/>
        <v>86.76</v>
      </c>
      <c r="C230" s="1" t="str">
        <f t="shared" si="13"/>
        <v>86.760</v>
      </c>
      <c r="D230" s="1" t="str">
        <f t="shared" si="14"/>
        <v>86.760"</v>
      </c>
      <c r="E230" s="1" t="str">
        <f>RIGHT(chitar__3[[#This Row],[Column1.2]],LEN(chitar__3[[#This Row],[Column1.2]])-7)</f>
        <v xml:space="preserve"> chordId="6" highDensity="1" &gt;&lt;chordNote </v>
      </c>
      <c r="F230" s="1" t="s">
        <v>480</v>
      </c>
      <c r="G230" s="1" t="s">
        <v>811</v>
      </c>
      <c r="H230" s="1" t="s">
        <v>812</v>
      </c>
      <c r="I230" s="1"/>
      <c r="J230" s="1"/>
      <c r="L230" s="2" t="s">
        <v>16</v>
      </c>
      <c r="M230" s="3" t="str">
        <f t="shared" si="15"/>
        <v xml:space="preserve">        &lt;note time="86.760" string="1" fret="3" /&gt;</v>
      </c>
      <c r="N230" s="8" t="str">
        <f>chitar__3[[#This Row],[Column1.14]]</f>
        <v>86.760</v>
      </c>
      <c r="O230" s="4" t="s">
        <v>1345</v>
      </c>
    </row>
    <row r="231" spans="1:15" x14ac:dyDescent="0.45">
      <c r="A231" s="1" t="s">
        <v>388</v>
      </c>
      <c r="B231" s="1">
        <f t="shared" si="12"/>
        <v>86.98</v>
      </c>
      <c r="C231" s="1" t="str">
        <f t="shared" si="13"/>
        <v>86.980</v>
      </c>
      <c r="D231" s="1" t="str">
        <f t="shared" si="14"/>
        <v>86.980"</v>
      </c>
      <c r="E231" s="1" t="str">
        <f>RIGHT(chitar__3[[#This Row],[Column1.2]],LEN(chitar__3[[#This Row],[Column1.2]])-7)</f>
        <v xml:space="preserve"> chordId="7" &gt;&lt;chordNote </v>
      </c>
      <c r="F231" s="1" t="s">
        <v>481</v>
      </c>
      <c r="G231" s="1" t="s">
        <v>813</v>
      </c>
      <c r="H231" s="1" t="s">
        <v>814</v>
      </c>
      <c r="I231" s="1"/>
      <c r="J231" s="1"/>
      <c r="L231" s="5" t="s">
        <v>16</v>
      </c>
      <c r="M231" s="3" t="str">
        <f t="shared" si="15"/>
        <v xml:space="preserve">        &lt;note time="86.980" string="1" fret="5" sustain="0.21" /&gt;</v>
      </c>
      <c r="N231" s="8" t="str">
        <f>chitar__3[[#This Row],[Column1.14]]</f>
        <v>86.980</v>
      </c>
      <c r="O231" s="6" t="s">
        <v>1750</v>
      </c>
    </row>
    <row r="232" spans="1:15" x14ac:dyDescent="0.45">
      <c r="A232" s="1"/>
      <c r="B232" s="1" t="e">
        <f>VALUE(C232)</f>
        <v>#VALUE!</v>
      </c>
      <c r="C232" s="1" t="str">
        <f>SUBSTITUTE(D232,"""","")</f>
        <v/>
      </c>
      <c r="D232" s="1" t="str">
        <f>LEFT(F232,7)</f>
        <v/>
      </c>
      <c r="E232" s="1" t="e">
        <f>RIGHT(chitar__3[[#This Row],[Column1.2]],LEN(chitar__3[[#This Row],[Column1.2]])-7)</f>
        <v>#VALUE!</v>
      </c>
      <c r="F232" s="1"/>
      <c r="G232" s="1"/>
      <c r="H232" s="1"/>
      <c r="I232" s="1"/>
      <c r="J232" s="1"/>
      <c r="L232" s="2" t="s">
        <v>16</v>
      </c>
      <c r="M232" s="3" t="str">
        <f t="shared" si="15"/>
        <v xml:space="preserve">        &lt;note time="87.000" string="1" fret="5" /&gt;</v>
      </c>
      <c r="N232" s="9" t="s">
        <v>1727</v>
      </c>
      <c r="O232" s="4" t="s">
        <v>1347</v>
      </c>
    </row>
    <row r="233" spans="1:15" x14ac:dyDescent="0.45">
      <c r="A233" s="1" t="s">
        <v>388</v>
      </c>
      <c r="B233" s="1">
        <f t="shared" si="12"/>
        <v>87.44</v>
      </c>
      <c r="C233" s="1" t="str">
        <f t="shared" si="13"/>
        <v>87.440</v>
      </c>
      <c r="D233" s="1" t="str">
        <f t="shared" si="14"/>
        <v>87.440"</v>
      </c>
      <c r="E233" s="1" t="str">
        <f>RIGHT(chitar__3[[#This Row],[Column1.2]],LEN(chitar__3[[#This Row],[Column1.2]])-7)</f>
        <v xml:space="preserve"> chordId="7" highDensity="1" &gt;&lt;chordNote </v>
      </c>
      <c r="F233" s="1" t="s">
        <v>482</v>
      </c>
      <c r="G233" s="1" t="s">
        <v>815</v>
      </c>
      <c r="H233" s="1" t="s">
        <v>816</v>
      </c>
      <c r="I233" s="1"/>
      <c r="J233" s="1"/>
      <c r="L233" s="5" t="s">
        <v>16</v>
      </c>
      <c r="M233" s="3" t="str">
        <f t="shared" si="15"/>
        <v xml:space="preserve">        &lt;note time="87.440" string="1" fret="5" /&gt;</v>
      </c>
      <c r="N233" s="8" t="str">
        <f>chitar__3[[#This Row],[Column1.14]]</f>
        <v>87.440</v>
      </c>
      <c r="O233" s="6" t="s">
        <v>1348</v>
      </c>
    </row>
    <row r="234" spans="1:15" x14ac:dyDescent="0.45">
      <c r="A234" s="1" t="s">
        <v>16</v>
      </c>
      <c r="B234" s="1">
        <f t="shared" si="12"/>
        <v>87.67</v>
      </c>
      <c r="C234" s="1" t="str">
        <f t="shared" si="13"/>
        <v>87.670</v>
      </c>
      <c r="D234" s="1" t="str">
        <f t="shared" si="14"/>
        <v>87.670"</v>
      </c>
      <c r="E234" s="1" t="str">
        <f>RIGHT(chitar__3[[#This Row],[Column1.2]],LEN(chitar__3[[#This Row],[Column1.2]])-7)</f>
        <v xml:space="preserve"> string="0" fret="10" palmMute="1" /&gt;</v>
      </c>
      <c r="F234" s="1" t="s">
        <v>153</v>
      </c>
      <c r="G234" s="1"/>
      <c r="H234" s="1"/>
      <c r="I234" s="1"/>
      <c r="J234" s="1"/>
      <c r="L234" s="2" t="s">
        <v>16</v>
      </c>
      <c r="M234" s="3" t="str">
        <f t="shared" si="15"/>
        <v xml:space="preserve">        &lt;note time="87.670" string="1" fret="5" /&gt;</v>
      </c>
      <c r="N234" s="8" t="str">
        <f>chitar__3[[#This Row],[Column1.14]]</f>
        <v>87.670</v>
      </c>
      <c r="O234" s="4" t="s">
        <v>1349</v>
      </c>
    </row>
    <row r="235" spans="1:15" x14ac:dyDescent="0.45">
      <c r="A235" s="1" t="s">
        <v>16</v>
      </c>
      <c r="B235" s="1">
        <f t="shared" si="12"/>
        <v>87.9</v>
      </c>
      <c r="C235" s="1" t="str">
        <f t="shared" si="13"/>
        <v>87.900</v>
      </c>
      <c r="D235" s="1" t="str">
        <f t="shared" si="14"/>
        <v>87.900"</v>
      </c>
      <c r="E235" s="1" t="str">
        <f>RIGHT(chitar__3[[#This Row],[Column1.2]],LEN(chitar__3[[#This Row],[Column1.2]])-7)</f>
        <v xml:space="preserve"> string="0" fret="10" palmMute="1" /&gt;</v>
      </c>
      <c r="F235" s="1" t="s">
        <v>154</v>
      </c>
      <c r="G235" s="1"/>
      <c r="H235" s="1"/>
      <c r="I235" s="1"/>
      <c r="J235" s="1"/>
      <c r="L235" s="5" t="s">
        <v>16</v>
      </c>
      <c r="M235" s="3" t="str">
        <f t="shared" si="15"/>
        <v xml:space="preserve">        &lt;note time="87.900" string="1" fret="5" /&gt;</v>
      </c>
      <c r="N235" s="8" t="str">
        <f>chitar__3[[#This Row],[Column1.14]]</f>
        <v>87.900</v>
      </c>
      <c r="O235" s="6" t="s">
        <v>1350</v>
      </c>
    </row>
    <row r="236" spans="1:15" x14ac:dyDescent="0.45">
      <c r="A236" s="1" t="s">
        <v>16</v>
      </c>
      <c r="B236" s="1">
        <f t="shared" si="12"/>
        <v>88.13</v>
      </c>
      <c r="C236" s="1" t="str">
        <f t="shared" si="13"/>
        <v>88.130</v>
      </c>
      <c r="D236" s="1" t="str">
        <f t="shared" si="14"/>
        <v>88.130"</v>
      </c>
      <c r="E236" s="1" t="str">
        <f>RIGHT(chitar__3[[#This Row],[Column1.2]],LEN(chitar__3[[#This Row],[Column1.2]])-7)</f>
        <v xml:space="preserve"> string="0" fret="10" palmMute="1" /&gt;</v>
      </c>
      <c r="F236" s="1" t="s">
        <v>155</v>
      </c>
      <c r="G236" s="1"/>
      <c r="H236" s="1"/>
      <c r="I236" s="1"/>
      <c r="J236" s="1"/>
      <c r="L236" s="2" t="s">
        <v>16</v>
      </c>
      <c r="M236" s="3" t="str">
        <f>L236&amp;"time="""&amp;N236&amp;RIGHT(O236,LEN(O236)-7)</f>
        <v xml:space="preserve">        &lt;note time="88.130" string="1" fret="5" /&gt;</v>
      </c>
      <c r="N236" s="8" t="str">
        <f>chitar__3[[#This Row],[Column1.14]]</f>
        <v>88.130</v>
      </c>
      <c r="O236" s="4" t="s">
        <v>1351</v>
      </c>
    </row>
    <row r="237" spans="1:15" x14ac:dyDescent="0.45">
      <c r="A237" s="1" t="s">
        <v>16</v>
      </c>
      <c r="B237" s="1">
        <f t="shared" si="12"/>
        <v>88.36</v>
      </c>
      <c r="C237" s="1" t="str">
        <f t="shared" si="13"/>
        <v>88.360</v>
      </c>
      <c r="D237" s="1" t="str">
        <f t="shared" si="14"/>
        <v>88.360"</v>
      </c>
      <c r="E237" s="1" t="str">
        <f>RIGHT(chitar__3[[#This Row],[Column1.2]],LEN(chitar__3[[#This Row],[Column1.2]])-7)</f>
        <v xml:space="preserve"> string="0" fret="10" palmMute="1" /&gt;</v>
      </c>
      <c r="F237" s="1" t="s">
        <v>156</v>
      </c>
      <c r="G237" s="1"/>
      <c r="H237" s="1"/>
      <c r="I237" s="1"/>
      <c r="J237" s="1"/>
      <c r="L237" s="5" t="s">
        <v>16</v>
      </c>
      <c r="M237" s="3" t="str">
        <f t="shared" ref="M237:M300" si="16">L237&amp;"time="""&amp;N237&amp;RIGHT(O237,LEN(O237)-7)</f>
        <v xml:space="preserve">        &lt;note time="88.360" string="1" fret="5" /&gt;</v>
      </c>
      <c r="N237" s="8" t="str">
        <f>chitar__3[[#This Row],[Column1.14]]</f>
        <v>88.360</v>
      </c>
      <c r="O237" s="6" t="s">
        <v>1352</v>
      </c>
    </row>
    <row r="238" spans="1:15" x14ac:dyDescent="0.45">
      <c r="A238" s="1" t="s">
        <v>16</v>
      </c>
      <c r="B238" s="1">
        <f t="shared" si="12"/>
        <v>88.590999999999994</v>
      </c>
      <c r="C238" s="1" t="str">
        <f t="shared" si="13"/>
        <v>88.591</v>
      </c>
      <c r="D238" s="1" t="str">
        <f t="shared" si="14"/>
        <v>88.591"</v>
      </c>
      <c r="E238" s="1" t="str">
        <f>RIGHT(chitar__3[[#This Row],[Column1.2]],LEN(chitar__3[[#This Row],[Column1.2]])-7)</f>
        <v xml:space="preserve"> string="0" fret="10" palmMute="1" /&gt;</v>
      </c>
      <c r="F238" s="1" t="s">
        <v>157</v>
      </c>
      <c r="G238" s="1"/>
      <c r="H238" s="1"/>
      <c r="I238" s="1"/>
      <c r="J238" s="1"/>
      <c r="L238" s="2" t="s">
        <v>16</v>
      </c>
      <c r="M238" s="3" t="str">
        <f t="shared" si="16"/>
        <v xml:space="preserve">        &lt;note time="88.591" string="1" fret="5" /&gt;</v>
      </c>
      <c r="N238" s="8" t="str">
        <f>chitar__3[[#This Row],[Column1.14]]</f>
        <v>88.591</v>
      </c>
      <c r="O238" s="4" t="s">
        <v>1353</v>
      </c>
    </row>
    <row r="239" spans="1:15" x14ac:dyDescent="0.45">
      <c r="A239" s="1" t="s">
        <v>16</v>
      </c>
      <c r="B239" s="1">
        <f t="shared" si="12"/>
        <v>88.820999999999998</v>
      </c>
      <c r="C239" s="1" t="str">
        <f t="shared" si="13"/>
        <v>88.821</v>
      </c>
      <c r="D239" s="1" t="str">
        <f t="shared" si="14"/>
        <v>88.821"</v>
      </c>
      <c r="E239" s="1" t="str">
        <f>RIGHT(chitar__3[[#This Row],[Column1.2]],LEN(chitar__3[[#This Row],[Column1.2]])-7)</f>
        <v xml:space="preserve"> string="0" fret="10" palmMute="1" /&gt;</v>
      </c>
      <c r="F239" s="1" t="s">
        <v>158</v>
      </c>
      <c r="G239" s="1"/>
      <c r="H239" s="1"/>
      <c r="I239" s="1"/>
      <c r="J239" s="1"/>
      <c r="L239" s="5" t="s">
        <v>16</v>
      </c>
      <c r="M239" s="3" t="str">
        <f t="shared" si="16"/>
        <v xml:space="preserve">        &lt;note time="88.821" string="1" fret="5" /&gt;</v>
      </c>
      <c r="N239" s="8" t="str">
        <f>chitar__3[[#This Row],[Column1.14]]</f>
        <v>88.821</v>
      </c>
      <c r="O239" s="6" t="s">
        <v>1354</v>
      </c>
    </row>
    <row r="240" spans="1:15" x14ac:dyDescent="0.45">
      <c r="A240" s="1" t="s">
        <v>16</v>
      </c>
      <c r="B240" s="1">
        <f t="shared" si="12"/>
        <v>89.051000000000002</v>
      </c>
      <c r="C240" s="1" t="str">
        <f t="shared" si="13"/>
        <v>89.051</v>
      </c>
      <c r="D240" s="1" t="str">
        <f t="shared" si="14"/>
        <v>89.051"</v>
      </c>
      <c r="E240" s="1" t="str">
        <f>RIGHT(chitar__3[[#This Row],[Column1.2]],LEN(chitar__3[[#This Row],[Column1.2]])-7)</f>
        <v xml:space="preserve"> string="0" fret="10" palmMute="1" /&gt;</v>
      </c>
      <c r="F240" s="1" t="s">
        <v>159</v>
      </c>
      <c r="G240" s="1"/>
      <c r="H240" s="1"/>
      <c r="I240" s="1"/>
      <c r="J240" s="1"/>
      <c r="L240" s="2" t="s">
        <v>16</v>
      </c>
      <c r="M240" s="3" t="str">
        <f t="shared" si="16"/>
        <v xml:space="preserve">        &lt;note time="89.051" string="1" fret="5" /&gt;</v>
      </c>
      <c r="N240" s="8" t="str">
        <f>chitar__3[[#This Row],[Column1.14]]</f>
        <v>89.051</v>
      </c>
      <c r="O240" s="4" t="s">
        <v>1355</v>
      </c>
    </row>
    <row r="241" spans="1:15" x14ac:dyDescent="0.45">
      <c r="A241" s="1" t="s">
        <v>16</v>
      </c>
      <c r="B241" s="1">
        <f t="shared" si="12"/>
        <v>89.281000000000006</v>
      </c>
      <c r="C241" s="1" t="str">
        <f t="shared" si="13"/>
        <v>89.281</v>
      </c>
      <c r="D241" s="1" t="str">
        <f t="shared" si="14"/>
        <v>89.281"</v>
      </c>
      <c r="E241" s="1" t="str">
        <f>RIGHT(chitar__3[[#This Row],[Column1.2]],LEN(chitar__3[[#This Row],[Column1.2]])-7)</f>
        <v xml:space="preserve"> string="0" fret="10" palmMute="1" /&gt;</v>
      </c>
      <c r="F241" s="1" t="s">
        <v>160</v>
      </c>
      <c r="G241" s="1"/>
      <c r="H241" s="1"/>
      <c r="I241" s="1"/>
      <c r="J241" s="1"/>
      <c r="L241" s="5" t="s">
        <v>16</v>
      </c>
      <c r="M241" s="3" t="str">
        <f t="shared" si="16"/>
        <v xml:space="preserve">        &lt;note time="89.281" string="1" fret="5" /&gt;</v>
      </c>
      <c r="N241" s="8" t="str">
        <f>chitar__3[[#This Row],[Column1.14]]</f>
        <v>89.281</v>
      </c>
      <c r="O241" s="6" t="s">
        <v>1356</v>
      </c>
    </row>
    <row r="242" spans="1:15" x14ac:dyDescent="0.45">
      <c r="A242" s="1" t="s">
        <v>16</v>
      </c>
      <c r="B242" s="1">
        <f t="shared" si="12"/>
        <v>89.51</v>
      </c>
      <c r="C242" s="1" t="str">
        <f t="shared" si="13"/>
        <v>89.510</v>
      </c>
      <c r="D242" s="1" t="str">
        <f t="shared" si="14"/>
        <v>89.510"</v>
      </c>
      <c r="E242" s="1" t="str">
        <f>RIGHT(chitar__3[[#This Row],[Column1.2]],LEN(chitar__3[[#This Row],[Column1.2]])-7)</f>
        <v xml:space="preserve"> string="0" fret="10" palmMute="1" /&gt;</v>
      </c>
      <c r="F242" s="1" t="s">
        <v>161</v>
      </c>
      <c r="G242" s="1"/>
      <c r="H242" s="1"/>
      <c r="I242" s="1"/>
      <c r="J242" s="1"/>
      <c r="L242" s="2" t="s">
        <v>16</v>
      </c>
      <c r="M242" s="3" t="str">
        <f t="shared" si="16"/>
        <v xml:space="preserve">        &lt;note time="89.510" string="1" fret="5" /&gt;</v>
      </c>
      <c r="N242" s="8" t="str">
        <f>chitar__3[[#This Row],[Column1.14]]</f>
        <v>89.510</v>
      </c>
      <c r="O242" s="4" t="s">
        <v>1357</v>
      </c>
    </row>
    <row r="243" spans="1:15" ht="17.25" customHeight="1" x14ac:dyDescent="0.45">
      <c r="A243" s="1" t="s">
        <v>16</v>
      </c>
      <c r="B243" s="1">
        <f t="shared" si="12"/>
        <v>89.74</v>
      </c>
      <c r="C243" s="1" t="str">
        <f t="shared" si="13"/>
        <v>89.740</v>
      </c>
      <c r="D243" s="1" t="str">
        <f t="shared" si="14"/>
        <v>89.740"</v>
      </c>
      <c r="E243" s="1" t="str">
        <f>RIGHT(chitar__3[[#This Row],[Column1.2]],LEN(chitar__3[[#This Row],[Column1.2]])-7)</f>
        <v xml:space="preserve"> string="0" fret="10" palmMute="1" /&gt;</v>
      </c>
      <c r="F243" s="1" t="s">
        <v>162</v>
      </c>
      <c r="G243" s="1"/>
      <c r="H243" s="1"/>
      <c r="I243" s="1"/>
      <c r="J243" s="1"/>
      <c r="L243" s="5" t="s">
        <v>16</v>
      </c>
      <c r="M243" s="3" t="str">
        <f t="shared" si="16"/>
        <v xml:space="preserve">        &lt;note time="89.740" string="1" fret="5" /&gt;</v>
      </c>
      <c r="N243" s="8" t="str">
        <f>chitar__3[[#This Row],[Column1.14]]</f>
        <v>89.740</v>
      </c>
      <c r="O243" s="6" t="s">
        <v>1358</v>
      </c>
    </row>
    <row r="244" spans="1:15" x14ac:dyDescent="0.45">
      <c r="A244" s="1" t="s">
        <v>388</v>
      </c>
      <c r="B244" s="1">
        <f t="shared" si="12"/>
        <v>89.966999999999999</v>
      </c>
      <c r="C244" s="1" t="str">
        <f t="shared" si="13"/>
        <v>89.967</v>
      </c>
      <c r="D244" s="1" t="str">
        <f t="shared" si="14"/>
        <v>89.967"</v>
      </c>
      <c r="E244" s="1" t="str">
        <f>RIGHT(chitar__3[[#This Row],[Column1.2]],LEN(chitar__3[[#This Row],[Column1.2]])-7)</f>
        <v xml:space="preserve"> chordId="4" &gt;&lt;chordNote </v>
      </c>
      <c r="F244" s="1" t="s">
        <v>483</v>
      </c>
      <c r="G244" s="1" t="s">
        <v>817</v>
      </c>
      <c r="H244" s="1" t="s">
        <v>818</v>
      </c>
      <c r="I244" s="1"/>
      <c r="J244" s="1"/>
      <c r="L244" s="2" t="s">
        <v>16</v>
      </c>
      <c r="M244" s="3" t="str">
        <f t="shared" si="16"/>
        <v xml:space="preserve">        &lt;note time="89.967" string="2" fret="5" /&gt;</v>
      </c>
      <c r="N244" s="8" t="str">
        <f>chitar__3[[#This Row],[Column1.14]]</f>
        <v>89.967</v>
      </c>
      <c r="O244" s="4" t="s">
        <v>1359</v>
      </c>
    </row>
    <row r="245" spans="1:15" x14ac:dyDescent="0.45">
      <c r="A245" s="1" t="s">
        <v>388</v>
      </c>
      <c r="B245" s="1">
        <f t="shared" si="12"/>
        <v>90.387</v>
      </c>
      <c r="C245" s="1" t="str">
        <f t="shared" si="13"/>
        <v>90.387</v>
      </c>
      <c r="D245" s="1" t="str">
        <f t="shared" si="14"/>
        <v>90.387"</v>
      </c>
      <c r="E245" s="1" t="str">
        <f>RIGHT(chitar__3[[#This Row],[Column1.2]],LEN(chitar__3[[#This Row],[Column1.2]])-7)</f>
        <v xml:space="preserve"> chordId="5" &gt;&lt;chordNote </v>
      </c>
      <c r="F245" s="1" t="s">
        <v>484</v>
      </c>
      <c r="G245" s="1" t="s">
        <v>819</v>
      </c>
      <c r="H245" s="1" t="s">
        <v>820</v>
      </c>
      <c r="I245" s="1"/>
      <c r="J245" s="1"/>
      <c r="L245" s="5" t="s">
        <v>16</v>
      </c>
      <c r="M245" s="3" t="str">
        <f t="shared" si="16"/>
        <v xml:space="preserve">        &lt;note time="90.387" string="2" fret="3" sustain="0.21" /&gt;</v>
      </c>
      <c r="N245" s="8" t="str">
        <f>chitar__3[[#This Row],[Column1.14]]</f>
        <v>90.387</v>
      </c>
      <c r="O245" s="6" t="s">
        <v>1751</v>
      </c>
    </row>
    <row r="246" spans="1:15" x14ac:dyDescent="0.45">
      <c r="A246" s="1" t="s">
        <v>388</v>
      </c>
      <c r="B246" s="1">
        <f t="shared" si="12"/>
        <v>90.828000000000003</v>
      </c>
      <c r="C246" s="1" t="str">
        <f t="shared" si="13"/>
        <v>90.828</v>
      </c>
      <c r="D246" s="1" t="str">
        <f t="shared" si="14"/>
        <v>90.828"</v>
      </c>
      <c r="E246" s="1" t="str">
        <f>RIGHT(chitar__3[[#This Row],[Column1.2]],LEN(chitar__3[[#This Row],[Column1.2]])-7)</f>
        <v xml:space="preserve"> chordId="7" &gt;&lt;chordNote </v>
      </c>
      <c r="F246" s="1" t="s">
        <v>485</v>
      </c>
      <c r="G246" s="1" t="s">
        <v>821</v>
      </c>
      <c r="H246" s="1" t="s">
        <v>822</v>
      </c>
      <c r="I246" s="1"/>
      <c r="J246" s="1"/>
      <c r="L246" s="2" t="s">
        <v>16</v>
      </c>
      <c r="M246" s="3" t="str">
        <f t="shared" si="16"/>
        <v xml:space="preserve">        &lt;note time="90.828" string="1" fret="5" /&gt;</v>
      </c>
      <c r="N246" s="8" t="str">
        <f>chitar__3[[#This Row],[Column1.14]]</f>
        <v>90.828</v>
      </c>
      <c r="O246" s="4" t="s">
        <v>1361</v>
      </c>
    </row>
    <row r="247" spans="1:15" x14ac:dyDescent="0.45">
      <c r="A247" s="1" t="s">
        <v>16</v>
      </c>
      <c r="B247" s="1">
        <f t="shared" si="12"/>
        <v>91.057000000000002</v>
      </c>
      <c r="C247" s="1" t="str">
        <f t="shared" si="13"/>
        <v>91.057</v>
      </c>
      <c r="D247" s="1" t="str">
        <f t="shared" si="14"/>
        <v>91.057"</v>
      </c>
      <c r="E247" s="1" t="str">
        <f>RIGHT(chitar__3[[#This Row],[Column1.2]],LEN(chitar__3[[#This Row],[Column1.2]])-7)</f>
        <v xml:space="preserve"> string="0" fret="10" palmMute="1" /&gt;</v>
      </c>
      <c r="F247" s="1" t="s">
        <v>163</v>
      </c>
      <c r="G247" s="1"/>
      <c r="H247" s="1"/>
      <c r="I247" s="1"/>
      <c r="J247" s="1"/>
      <c r="L247" s="5" t="s">
        <v>16</v>
      </c>
      <c r="M247" s="3" t="str">
        <f t="shared" si="16"/>
        <v xml:space="preserve">        &lt;note time="91.057" string="1" fret="5" /&gt;</v>
      </c>
      <c r="N247" s="8" t="str">
        <f>chitar__3[[#This Row],[Column1.14]]</f>
        <v>91.057</v>
      </c>
      <c r="O247" s="6" t="s">
        <v>1362</v>
      </c>
    </row>
    <row r="248" spans="1:15" x14ac:dyDescent="0.45">
      <c r="A248" s="1" t="s">
        <v>16</v>
      </c>
      <c r="B248" s="1">
        <f t="shared" si="12"/>
        <v>91.287000000000006</v>
      </c>
      <c r="C248" s="1" t="str">
        <f t="shared" si="13"/>
        <v>91.287</v>
      </c>
      <c r="D248" s="1" t="str">
        <f t="shared" si="14"/>
        <v>91.287"</v>
      </c>
      <c r="E248" s="1" t="str">
        <f>RIGHT(chitar__3[[#This Row],[Column1.2]],LEN(chitar__3[[#This Row],[Column1.2]])-7)</f>
        <v xml:space="preserve"> string="0" fret="10" palmMute="1" /&gt;</v>
      </c>
      <c r="F248" s="1" t="s">
        <v>164</v>
      </c>
      <c r="G248" s="1"/>
      <c r="H248" s="1"/>
      <c r="I248" s="1"/>
      <c r="J248" s="1"/>
      <c r="L248" s="2" t="s">
        <v>16</v>
      </c>
      <c r="M248" s="3" t="str">
        <f t="shared" si="16"/>
        <v xml:space="preserve">        &lt;note time="91.287" string="1" fret="5" /&gt;</v>
      </c>
      <c r="N248" s="8" t="str">
        <f>chitar__3[[#This Row],[Column1.14]]</f>
        <v>91.287</v>
      </c>
      <c r="O248" s="4" t="s">
        <v>1363</v>
      </c>
    </row>
    <row r="249" spans="1:15" x14ac:dyDescent="0.45">
      <c r="A249" s="1" t="s">
        <v>16</v>
      </c>
      <c r="B249" s="1">
        <f t="shared" si="12"/>
        <v>91.516999999999996</v>
      </c>
      <c r="C249" s="1" t="str">
        <f t="shared" si="13"/>
        <v>91.517</v>
      </c>
      <c r="D249" s="1" t="str">
        <f t="shared" si="14"/>
        <v>91.517"</v>
      </c>
      <c r="E249" s="1" t="str">
        <f>RIGHT(chitar__3[[#This Row],[Column1.2]],LEN(chitar__3[[#This Row],[Column1.2]])-7)</f>
        <v xml:space="preserve"> string="0" fret="10" palmMute="1" /&gt;</v>
      </c>
      <c r="F249" s="1" t="s">
        <v>165</v>
      </c>
      <c r="G249" s="1"/>
      <c r="H249" s="1"/>
      <c r="I249" s="1"/>
      <c r="J249" s="1"/>
      <c r="L249" s="5" t="s">
        <v>16</v>
      </c>
      <c r="M249" s="3" t="str">
        <f t="shared" si="16"/>
        <v xml:space="preserve">        &lt;note time="91.517" string="1" fret="5" /&gt;</v>
      </c>
      <c r="N249" s="8" t="str">
        <f>chitar__3[[#This Row],[Column1.14]]</f>
        <v>91.517</v>
      </c>
      <c r="O249" s="6" t="s">
        <v>1364</v>
      </c>
    </row>
    <row r="250" spans="1:15" x14ac:dyDescent="0.45">
      <c r="A250" s="1" t="s">
        <v>16</v>
      </c>
      <c r="B250" s="1">
        <f t="shared" si="12"/>
        <v>91.742999999999995</v>
      </c>
      <c r="C250" s="1" t="str">
        <f t="shared" si="13"/>
        <v>91.743</v>
      </c>
      <c r="D250" s="1" t="str">
        <f t="shared" si="14"/>
        <v>91.743"</v>
      </c>
      <c r="E250" s="1" t="str">
        <f>RIGHT(chitar__3[[#This Row],[Column1.2]],LEN(chitar__3[[#This Row],[Column1.2]])-7)</f>
        <v xml:space="preserve"> string="0" fret="10" palmMute="1" /&gt;</v>
      </c>
      <c r="F250" s="1" t="s">
        <v>166</v>
      </c>
      <c r="G250" s="1"/>
      <c r="H250" s="1"/>
      <c r="I250" s="1"/>
      <c r="J250" s="1"/>
      <c r="L250" s="2" t="s">
        <v>16</v>
      </c>
      <c r="M250" s="3" t="str">
        <f t="shared" si="16"/>
        <v xml:space="preserve">        &lt;note time="91.743" string="1" fret="5" /&gt;</v>
      </c>
      <c r="N250" s="8" t="str">
        <f>chitar__3[[#This Row],[Column1.14]]</f>
        <v>91.743</v>
      </c>
      <c r="O250" s="4" t="s">
        <v>1365</v>
      </c>
    </row>
    <row r="251" spans="1:15" x14ac:dyDescent="0.45">
      <c r="A251" s="1" t="s">
        <v>16</v>
      </c>
      <c r="B251" s="1">
        <f t="shared" si="12"/>
        <v>91.974000000000004</v>
      </c>
      <c r="C251" s="1" t="str">
        <f t="shared" si="13"/>
        <v>91.974</v>
      </c>
      <c r="D251" s="1" t="str">
        <f t="shared" si="14"/>
        <v>91.974"</v>
      </c>
      <c r="E251" s="1" t="str">
        <f>RIGHT(chitar__3[[#This Row],[Column1.2]],LEN(chitar__3[[#This Row],[Column1.2]])-7)</f>
        <v xml:space="preserve"> string="0" fret="10" palmMute="1" /&gt;</v>
      </c>
      <c r="F251" s="1" t="s">
        <v>167</v>
      </c>
      <c r="G251" s="1"/>
      <c r="H251" s="1"/>
      <c r="I251" s="1"/>
      <c r="J251" s="1"/>
      <c r="L251" s="5" t="s">
        <v>16</v>
      </c>
      <c r="M251" s="3" t="str">
        <f t="shared" si="16"/>
        <v xml:space="preserve">        &lt;note time="91.974" string="1" fret="5" /&gt;</v>
      </c>
      <c r="N251" s="8" t="str">
        <f>chitar__3[[#This Row],[Column1.14]]</f>
        <v>91.974</v>
      </c>
      <c r="O251" s="6" t="s">
        <v>1366</v>
      </c>
    </row>
    <row r="252" spans="1:15" x14ac:dyDescent="0.45">
      <c r="A252" s="1" t="s">
        <v>16</v>
      </c>
      <c r="B252" s="1">
        <f t="shared" si="12"/>
        <v>92.203999999999994</v>
      </c>
      <c r="C252" s="1" t="str">
        <f t="shared" si="13"/>
        <v>92.204</v>
      </c>
      <c r="D252" s="1" t="str">
        <f t="shared" si="14"/>
        <v>92.204"</v>
      </c>
      <c r="E252" s="1" t="str">
        <f>RIGHT(chitar__3[[#This Row],[Column1.2]],LEN(chitar__3[[#This Row],[Column1.2]])-7)</f>
        <v xml:space="preserve"> string="0" fret="10" palmMute="1" /&gt;</v>
      </c>
      <c r="F252" s="1" t="s">
        <v>168</v>
      </c>
      <c r="G252" s="1"/>
      <c r="H252" s="1"/>
      <c r="I252" s="1"/>
      <c r="J252" s="1"/>
      <c r="L252" s="2" t="s">
        <v>16</v>
      </c>
      <c r="M252" s="3" t="str">
        <f t="shared" si="16"/>
        <v xml:space="preserve">        &lt;note time="92.204" string="1" fret="5" /&gt;</v>
      </c>
      <c r="N252" s="8" t="str">
        <f>chitar__3[[#This Row],[Column1.14]]</f>
        <v>92.204</v>
      </c>
      <c r="O252" s="4" t="s">
        <v>1367</v>
      </c>
    </row>
    <row r="253" spans="1:15" x14ac:dyDescent="0.45">
      <c r="A253" s="1" t="s">
        <v>16</v>
      </c>
      <c r="B253" s="1">
        <f t="shared" si="12"/>
        <v>92.433999999999997</v>
      </c>
      <c r="C253" s="1" t="str">
        <f t="shared" si="13"/>
        <v>92.434</v>
      </c>
      <c r="D253" s="1" t="str">
        <f t="shared" si="14"/>
        <v>92.434"</v>
      </c>
      <c r="E253" s="1" t="str">
        <f>RIGHT(chitar__3[[#This Row],[Column1.2]],LEN(chitar__3[[#This Row],[Column1.2]])-7)</f>
        <v xml:space="preserve"> string="0" fret="10" palmMute="1" /&gt;</v>
      </c>
      <c r="F253" s="1" t="s">
        <v>169</v>
      </c>
      <c r="G253" s="1"/>
      <c r="H253" s="1"/>
      <c r="I253" s="1"/>
      <c r="J253" s="1"/>
      <c r="L253" s="5" t="s">
        <v>16</v>
      </c>
      <c r="M253" s="3" t="str">
        <f t="shared" si="16"/>
        <v xml:space="preserve">        &lt;note time="92.434" string="1" fret="5" /&gt;</v>
      </c>
      <c r="N253" s="8" t="str">
        <f>chitar__3[[#This Row],[Column1.14]]</f>
        <v>92.434</v>
      </c>
      <c r="O253" s="6" t="s">
        <v>1368</v>
      </c>
    </row>
    <row r="254" spans="1:15" x14ac:dyDescent="0.45">
      <c r="A254" s="1" t="s">
        <v>16</v>
      </c>
      <c r="B254" s="1">
        <f t="shared" si="12"/>
        <v>92.664000000000001</v>
      </c>
      <c r="C254" s="1" t="str">
        <f t="shared" si="13"/>
        <v>92.664</v>
      </c>
      <c r="D254" s="1" t="str">
        <f t="shared" si="14"/>
        <v>92.664"</v>
      </c>
      <c r="E254" s="1" t="str">
        <f>RIGHT(chitar__3[[#This Row],[Column1.2]],LEN(chitar__3[[#This Row],[Column1.2]])-7)</f>
        <v xml:space="preserve"> string="0" fret="10" palmMute="1" /&gt;</v>
      </c>
      <c r="F254" s="1" t="s">
        <v>170</v>
      </c>
      <c r="G254" s="1"/>
      <c r="H254" s="1"/>
      <c r="I254" s="1"/>
      <c r="J254" s="1"/>
      <c r="L254" s="2" t="s">
        <v>16</v>
      </c>
      <c r="M254" s="3" t="str">
        <f t="shared" si="16"/>
        <v xml:space="preserve">        &lt;note time="92.664" string="1" fret="5" /&gt;</v>
      </c>
      <c r="N254" s="8" t="str">
        <f>chitar__3[[#This Row],[Column1.14]]</f>
        <v>92.664</v>
      </c>
      <c r="O254" s="4" t="s">
        <v>1369</v>
      </c>
    </row>
    <row r="255" spans="1:15" x14ac:dyDescent="0.45">
      <c r="A255" s="1" t="s">
        <v>16</v>
      </c>
      <c r="B255" s="1">
        <f t="shared" si="12"/>
        <v>92.893000000000001</v>
      </c>
      <c r="C255" s="1" t="str">
        <f t="shared" si="13"/>
        <v>92.893</v>
      </c>
      <c r="D255" s="1" t="str">
        <f t="shared" si="14"/>
        <v>92.893"</v>
      </c>
      <c r="E255" s="1" t="str">
        <f>RIGHT(chitar__3[[#This Row],[Column1.2]],LEN(chitar__3[[#This Row],[Column1.2]])-7)</f>
        <v xml:space="preserve"> string="0" fret="10" palmMute="1" /&gt;</v>
      </c>
      <c r="F255" s="1" t="s">
        <v>171</v>
      </c>
      <c r="G255" s="1"/>
      <c r="H255" s="1"/>
      <c r="I255" s="1"/>
      <c r="J255" s="1"/>
      <c r="L255" s="5" t="s">
        <v>16</v>
      </c>
      <c r="M255" s="3" t="str">
        <f t="shared" si="16"/>
        <v xml:space="preserve">        &lt;note time="92.893" string="1" fret="5" /&gt;</v>
      </c>
      <c r="N255" s="8" t="str">
        <f>chitar__3[[#This Row],[Column1.14]]</f>
        <v>92.893</v>
      </c>
      <c r="O255" s="6" t="s">
        <v>1370</v>
      </c>
    </row>
    <row r="256" spans="1:15" x14ac:dyDescent="0.45">
      <c r="A256" s="1" t="s">
        <v>16</v>
      </c>
      <c r="B256" s="1">
        <f t="shared" si="12"/>
        <v>93.123000000000005</v>
      </c>
      <c r="C256" s="1" t="str">
        <f t="shared" si="13"/>
        <v>93.123</v>
      </c>
      <c r="D256" s="1" t="str">
        <f t="shared" si="14"/>
        <v>93.123"</v>
      </c>
      <c r="E256" s="1" t="str">
        <f>RIGHT(chitar__3[[#This Row],[Column1.2]],LEN(chitar__3[[#This Row],[Column1.2]])-7)</f>
        <v xml:space="preserve"> string="0" fret="10" palmMute="1" /&gt;</v>
      </c>
      <c r="F256" s="1" t="s">
        <v>172</v>
      </c>
      <c r="G256" s="1"/>
      <c r="H256" s="1"/>
      <c r="I256" s="1"/>
      <c r="J256" s="1"/>
      <c r="L256" s="2" t="s">
        <v>16</v>
      </c>
      <c r="M256" s="3" t="str">
        <f t="shared" si="16"/>
        <v xml:space="preserve">        &lt;note time="93.123" string="1" fret="5" /&gt;</v>
      </c>
      <c r="N256" s="8" t="str">
        <f>chitar__3[[#This Row],[Column1.14]]</f>
        <v>93.123</v>
      </c>
      <c r="O256" s="4" t="s">
        <v>1371</v>
      </c>
    </row>
    <row r="257" spans="1:15" x14ac:dyDescent="0.45">
      <c r="A257" s="1" t="s">
        <v>16</v>
      </c>
      <c r="B257" s="1">
        <f t="shared" si="12"/>
        <v>93.355999999999995</v>
      </c>
      <c r="C257" s="1" t="str">
        <f t="shared" si="13"/>
        <v>93.356</v>
      </c>
      <c r="D257" s="1" t="str">
        <f t="shared" si="14"/>
        <v>93.356"</v>
      </c>
      <c r="E257" s="1" t="str">
        <f>RIGHT(chitar__3[[#This Row],[Column1.2]],LEN(chitar__3[[#This Row],[Column1.2]])-7)</f>
        <v xml:space="preserve"> string="0" fret="10" palmMute="1" /&gt;</v>
      </c>
      <c r="F257" s="1" t="s">
        <v>173</v>
      </c>
      <c r="G257" s="1"/>
      <c r="H257" s="1"/>
      <c r="I257" s="1"/>
      <c r="J257" s="1"/>
      <c r="L257" s="5" t="s">
        <v>16</v>
      </c>
      <c r="M257" s="3" t="str">
        <f t="shared" si="16"/>
        <v xml:space="preserve">        &lt;note time="93.356" string="1" fret="5" /&gt;</v>
      </c>
      <c r="N257" s="8" t="str">
        <f>chitar__3[[#This Row],[Column1.14]]</f>
        <v>93.356</v>
      </c>
      <c r="O257" s="6" t="s">
        <v>1372</v>
      </c>
    </row>
    <row r="258" spans="1:15" x14ac:dyDescent="0.45">
      <c r="A258" s="1" t="s">
        <v>388</v>
      </c>
      <c r="B258" s="1">
        <f t="shared" si="12"/>
        <v>93.525999999999996</v>
      </c>
      <c r="C258" s="1" t="str">
        <f t="shared" si="13"/>
        <v>93.526</v>
      </c>
      <c r="D258" s="1" t="str">
        <f t="shared" si="14"/>
        <v>93.526"</v>
      </c>
      <c r="E258" s="1" t="str">
        <f>RIGHT(chitar__3[[#This Row],[Column1.2]],LEN(chitar__3[[#This Row],[Column1.2]])-7)</f>
        <v xml:space="preserve"> chordId="4" &gt;&lt;chordNote </v>
      </c>
      <c r="F258" s="1" t="s">
        <v>486</v>
      </c>
      <c r="G258" s="1" t="s">
        <v>823</v>
      </c>
      <c r="H258" s="1" t="s">
        <v>824</v>
      </c>
      <c r="I258" s="1"/>
      <c r="J258" s="1"/>
      <c r="L258" s="2" t="s">
        <v>16</v>
      </c>
      <c r="M258" s="3" t="str">
        <f t="shared" si="16"/>
        <v xml:space="preserve">        &lt;note time="93.526" string="2" fret="5" /&gt;</v>
      </c>
      <c r="N258" s="8" t="str">
        <f>chitar__3[[#This Row],[Column1.14]]</f>
        <v>93.526</v>
      </c>
      <c r="O258" s="4" t="s">
        <v>1373</v>
      </c>
    </row>
    <row r="259" spans="1:15" x14ac:dyDescent="0.45">
      <c r="A259" s="1" t="s">
        <v>388</v>
      </c>
      <c r="B259" s="1">
        <f t="shared" ref="B259:B322" si="17">VALUE(C259)</f>
        <v>93.945999999999998</v>
      </c>
      <c r="C259" s="1" t="str">
        <f t="shared" ref="C259:C322" si="18">SUBSTITUTE(D259,"""","")</f>
        <v>93.946</v>
      </c>
      <c r="D259" s="1" t="str">
        <f t="shared" ref="D259:D322" si="19">LEFT(F259,7)</f>
        <v>93.946"</v>
      </c>
      <c r="E259" s="1" t="str">
        <f>RIGHT(chitar__3[[#This Row],[Column1.2]],LEN(chitar__3[[#This Row],[Column1.2]])-7)</f>
        <v xml:space="preserve"> chordId="5" &gt;&lt;chordNote </v>
      </c>
      <c r="F259" s="1" t="s">
        <v>487</v>
      </c>
      <c r="G259" s="1" t="s">
        <v>825</v>
      </c>
      <c r="H259" s="1" t="s">
        <v>826</v>
      </c>
      <c r="I259" s="1"/>
      <c r="J259" s="1"/>
      <c r="L259" s="5" t="s">
        <v>16</v>
      </c>
      <c r="M259" s="3" t="str">
        <f t="shared" si="16"/>
        <v xml:space="preserve">        &lt;note time="93.946" string="2" fret="3" sustain="0.21" /&gt;</v>
      </c>
      <c r="N259" s="8" t="str">
        <f>chitar__3[[#This Row],[Column1.14]]</f>
        <v>93.946</v>
      </c>
      <c r="O259" s="6" t="s">
        <v>1752</v>
      </c>
    </row>
    <row r="260" spans="1:15" x14ac:dyDescent="0.45">
      <c r="A260" s="1" t="s">
        <v>388</v>
      </c>
      <c r="B260" s="1">
        <f t="shared" si="17"/>
        <v>94.387</v>
      </c>
      <c r="C260" s="1" t="str">
        <f t="shared" si="18"/>
        <v>94.387</v>
      </c>
      <c r="D260" s="1" t="str">
        <f t="shared" si="19"/>
        <v>94.387"</v>
      </c>
      <c r="E260" s="1" t="str">
        <f>RIGHT(chitar__3[[#This Row],[Column1.2]],LEN(chitar__3[[#This Row],[Column1.2]])-7)</f>
        <v xml:space="preserve"> chordId="7" &gt;&lt;chordNote </v>
      </c>
      <c r="F260" s="1" t="s">
        <v>488</v>
      </c>
      <c r="G260" s="1" t="s">
        <v>827</v>
      </c>
      <c r="H260" s="1" t="s">
        <v>828</v>
      </c>
      <c r="I260" s="1"/>
      <c r="J260" s="1"/>
      <c r="L260" s="2" t="s">
        <v>16</v>
      </c>
      <c r="M260" s="3" t="str">
        <f t="shared" si="16"/>
        <v xml:space="preserve">        &lt;note time="94.387" string="1" fret="5" /&gt;</v>
      </c>
      <c r="N260" s="8" t="str">
        <f>chitar__3[[#This Row],[Column1.14]]</f>
        <v>94.387</v>
      </c>
      <c r="O260" s="4" t="s">
        <v>1375</v>
      </c>
    </row>
    <row r="261" spans="1:15" x14ac:dyDescent="0.45">
      <c r="A261" s="1" t="s">
        <v>16</v>
      </c>
      <c r="B261" s="1">
        <f t="shared" si="17"/>
        <v>94.616</v>
      </c>
      <c r="C261" s="1" t="str">
        <f t="shared" si="18"/>
        <v>94.616</v>
      </c>
      <c r="D261" s="1" t="str">
        <f t="shared" si="19"/>
        <v>94.616"</v>
      </c>
      <c r="E261" s="1" t="str">
        <f>RIGHT(chitar__3[[#This Row],[Column1.2]],LEN(chitar__3[[#This Row],[Column1.2]])-7)</f>
        <v xml:space="preserve"> string="0" fret="10" palmMute="1" /&gt;</v>
      </c>
      <c r="F261" s="1" t="s">
        <v>174</v>
      </c>
      <c r="G261" s="1"/>
      <c r="H261" s="1"/>
      <c r="I261" s="1"/>
      <c r="J261" s="1"/>
      <c r="L261" s="5" t="s">
        <v>16</v>
      </c>
      <c r="M261" s="3" t="str">
        <f t="shared" si="16"/>
        <v xml:space="preserve">        &lt;note time="94.616" string="1" fret="5" /&gt;</v>
      </c>
      <c r="N261" s="8" t="str">
        <f>chitar__3[[#This Row],[Column1.14]]</f>
        <v>94.616</v>
      </c>
      <c r="O261" s="6" t="s">
        <v>1376</v>
      </c>
    </row>
    <row r="262" spans="1:15" x14ac:dyDescent="0.45">
      <c r="A262" s="1" t="s">
        <v>16</v>
      </c>
      <c r="B262" s="1">
        <f t="shared" si="17"/>
        <v>94.835999999999999</v>
      </c>
      <c r="C262" s="1" t="str">
        <f t="shared" si="18"/>
        <v>94.836</v>
      </c>
      <c r="D262" s="1" t="str">
        <f t="shared" si="19"/>
        <v>94.836"</v>
      </c>
      <c r="E262" s="1" t="str">
        <f>RIGHT(chitar__3[[#This Row],[Column1.2]],LEN(chitar__3[[#This Row],[Column1.2]])-7)</f>
        <v xml:space="preserve"> string="0" fret="10" palmMute="1" /&gt;</v>
      </c>
      <c r="F262" s="1" t="s">
        <v>175</v>
      </c>
      <c r="G262" s="1"/>
      <c r="H262" s="1"/>
      <c r="I262" s="1"/>
      <c r="J262" s="1"/>
      <c r="L262" s="2" t="s">
        <v>16</v>
      </c>
      <c r="M262" s="3" t="str">
        <f t="shared" si="16"/>
        <v xml:space="preserve">        &lt;note time="94.836" string="1" fret="5" /&gt;</v>
      </c>
      <c r="N262" s="8" t="str">
        <f>chitar__3[[#This Row],[Column1.14]]</f>
        <v>94.836</v>
      </c>
      <c r="O262" s="4" t="s">
        <v>1377</v>
      </c>
    </row>
    <row r="263" spans="1:15" x14ac:dyDescent="0.45">
      <c r="A263" s="1" t="s">
        <v>16</v>
      </c>
      <c r="B263" s="1">
        <f t="shared" si="17"/>
        <v>95.066000000000003</v>
      </c>
      <c r="C263" s="1" t="str">
        <f t="shared" si="18"/>
        <v>95.066</v>
      </c>
      <c r="D263" s="1" t="str">
        <f t="shared" si="19"/>
        <v>95.066"</v>
      </c>
      <c r="E263" s="1" t="str">
        <f>RIGHT(chitar__3[[#This Row],[Column1.2]],LEN(chitar__3[[#This Row],[Column1.2]])-7)</f>
        <v xml:space="preserve"> string="0" fret="10" palmMute="1" /&gt;</v>
      </c>
      <c r="F263" s="1" t="s">
        <v>176</v>
      </c>
      <c r="G263" s="1"/>
      <c r="H263" s="1"/>
      <c r="I263" s="1"/>
      <c r="J263" s="1"/>
      <c r="L263" s="5" t="s">
        <v>16</v>
      </c>
      <c r="M263" s="3" t="str">
        <f t="shared" si="16"/>
        <v xml:space="preserve">        &lt;note time="95.066" string="1" fret="5" /&gt;</v>
      </c>
      <c r="N263" s="8" t="str">
        <f>chitar__3[[#This Row],[Column1.14]]</f>
        <v>95.066</v>
      </c>
      <c r="O263" s="6" t="s">
        <v>1378</v>
      </c>
    </row>
    <row r="264" spans="1:15" x14ac:dyDescent="0.45">
      <c r="A264" s="1" t="s">
        <v>16</v>
      </c>
      <c r="B264" s="1">
        <f t="shared" si="17"/>
        <v>95.292000000000002</v>
      </c>
      <c r="C264" s="1" t="str">
        <f t="shared" si="18"/>
        <v>95.292</v>
      </c>
      <c r="D264" s="1" t="str">
        <f t="shared" si="19"/>
        <v>95.292"</v>
      </c>
      <c r="E264" s="1" t="str">
        <f>RIGHT(chitar__3[[#This Row],[Column1.2]],LEN(chitar__3[[#This Row],[Column1.2]])-7)</f>
        <v xml:space="preserve"> string="0" fret="10" palmMute="1" /&gt;</v>
      </c>
      <c r="F264" s="1" t="s">
        <v>177</v>
      </c>
      <c r="G264" s="1"/>
      <c r="H264" s="1"/>
      <c r="I264" s="1"/>
      <c r="J264" s="1"/>
      <c r="L264" s="2" t="s">
        <v>16</v>
      </c>
      <c r="M264" s="3" t="str">
        <f t="shared" si="16"/>
        <v xml:space="preserve">        &lt;note time="95.292" string="1" fret="5" /&gt;</v>
      </c>
      <c r="N264" s="8" t="str">
        <f>chitar__3[[#This Row],[Column1.14]]</f>
        <v>95.292</v>
      </c>
      <c r="O264" s="4" t="s">
        <v>1379</v>
      </c>
    </row>
    <row r="265" spans="1:15" x14ac:dyDescent="0.45">
      <c r="A265" s="1" t="s">
        <v>16</v>
      </c>
      <c r="B265" s="1">
        <f t="shared" si="17"/>
        <v>95.522999999999996</v>
      </c>
      <c r="C265" s="1" t="str">
        <f t="shared" si="18"/>
        <v>95.523</v>
      </c>
      <c r="D265" s="1" t="str">
        <f t="shared" si="19"/>
        <v>95.523"</v>
      </c>
      <c r="E265" s="1" t="str">
        <f>RIGHT(chitar__3[[#This Row],[Column1.2]],LEN(chitar__3[[#This Row],[Column1.2]])-7)</f>
        <v xml:space="preserve"> string="0" fret="10" palmMute="1" /&gt;</v>
      </c>
      <c r="F265" s="1" t="s">
        <v>178</v>
      </c>
      <c r="G265" s="1"/>
      <c r="H265" s="1"/>
      <c r="I265" s="1"/>
      <c r="J265" s="1"/>
      <c r="L265" s="5" t="s">
        <v>16</v>
      </c>
      <c r="M265" s="3" t="str">
        <f t="shared" si="16"/>
        <v xml:space="preserve">        &lt;note time="95.523" string="1" fret="5" /&gt;</v>
      </c>
      <c r="N265" s="8" t="str">
        <f>chitar__3[[#This Row],[Column1.14]]</f>
        <v>95.523</v>
      </c>
      <c r="O265" s="6" t="s">
        <v>1380</v>
      </c>
    </row>
    <row r="266" spans="1:15" x14ac:dyDescent="0.45">
      <c r="A266" s="1" t="s">
        <v>16</v>
      </c>
      <c r="B266" s="1">
        <f t="shared" si="17"/>
        <v>95.753</v>
      </c>
      <c r="C266" s="1" t="str">
        <f t="shared" si="18"/>
        <v>95.753</v>
      </c>
      <c r="D266" s="1" t="str">
        <f t="shared" si="19"/>
        <v>95.753"</v>
      </c>
      <c r="E266" s="1" t="str">
        <f>RIGHT(chitar__3[[#This Row],[Column1.2]],LEN(chitar__3[[#This Row],[Column1.2]])-7)</f>
        <v xml:space="preserve"> string="0" fret="10" palmMute="1" /&gt;</v>
      </c>
      <c r="F266" s="1" t="s">
        <v>179</v>
      </c>
      <c r="G266" s="1"/>
      <c r="H266" s="1"/>
      <c r="I266" s="1"/>
      <c r="J266" s="1"/>
      <c r="L266" s="2" t="s">
        <v>16</v>
      </c>
      <c r="M266" s="3" t="str">
        <f t="shared" si="16"/>
        <v xml:space="preserve">        &lt;note time="95.753" string="1" fret="5" /&gt;</v>
      </c>
      <c r="N266" s="8" t="str">
        <f>chitar__3[[#This Row],[Column1.14]]</f>
        <v>95.753</v>
      </c>
      <c r="O266" s="4" t="s">
        <v>1381</v>
      </c>
    </row>
    <row r="267" spans="1:15" x14ac:dyDescent="0.45">
      <c r="A267" s="1" t="s">
        <v>16</v>
      </c>
      <c r="B267" s="1">
        <f t="shared" si="17"/>
        <v>95.983000000000004</v>
      </c>
      <c r="C267" s="1" t="str">
        <f t="shared" si="18"/>
        <v>95.983</v>
      </c>
      <c r="D267" s="1" t="str">
        <f t="shared" si="19"/>
        <v>95.983"</v>
      </c>
      <c r="E267" s="1" t="str">
        <f>RIGHT(chitar__3[[#This Row],[Column1.2]],LEN(chitar__3[[#This Row],[Column1.2]])-7)</f>
        <v xml:space="preserve"> string="0" fret="10" palmMute="1" /&gt;</v>
      </c>
      <c r="F267" s="1" t="s">
        <v>180</v>
      </c>
      <c r="G267" s="1"/>
      <c r="H267" s="1"/>
      <c r="I267" s="1"/>
      <c r="J267" s="1"/>
      <c r="L267" s="5" t="s">
        <v>16</v>
      </c>
      <c r="M267" s="3" t="str">
        <f t="shared" si="16"/>
        <v xml:space="preserve">        &lt;note time="95.983" string="1" fret="5" /&gt;</v>
      </c>
      <c r="N267" s="8" t="str">
        <f>chitar__3[[#This Row],[Column1.14]]</f>
        <v>95.983</v>
      </c>
      <c r="O267" s="6" t="s">
        <v>1382</v>
      </c>
    </row>
    <row r="268" spans="1:15" x14ac:dyDescent="0.45">
      <c r="A268" s="1" t="s">
        <v>16</v>
      </c>
      <c r="B268" s="1">
        <f t="shared" si="17"/>
        <v>96.212999999999994</v>
      </c>
      <c r="C268" s="1" t="str">
        <f t="shared" si="18"/>
        <v>96.213</v>
      </c>
      <c r="D268" s="1" t="str">
        <f t="shared" si="19"/>
        <v>96.213"</v>
      </c>
      <c r="E268" s="1" t="str">
        <f>RIGHT(chitar__3[[#This Row],[Column1.2]],LEN(chitar__3[[#This Row],[Column1.2]])-7)</f>
        <v xml:space="preserve"> string="0" fret="10" palmMute="1" /&gt;</v>
      </c>
      <c r="F268" s="1" t="s">
        <v>181</v>
      </c>
      <c r="G268" s="1"/>
      <c r="H268" s="1"/>
      <c r="I268" s="1"/>
      <c r="J268" s="1"/>
      <c r="L268" s="2" t="s">
        <v>16</v>
      </c>
      <c r="M268" s="3" t="str">
        <f t="shared" si="16"/>
        <v xml:space="preserve">        &lt;note time="96.213" string="1" fret="5" /&gt;</v>
      </c>
      <c r="N268" s="8" t="str">
        <f>chitar__3[[#This Row],[Column1.14]]</f>
        <v>96.213</v>
      </c>
      <c r="O268" s="4" t="s">
        <v>1383</v>
      </c>
    </row>
    <row r="269" spans="1:15" x14ac:dyDescent="0.45">
      <c r="A269" s="1" t="s">
        <v>16</v>
      </c>
      <c r="B269" s="1">
        <f t="shared" si="17"/>
        <v>96.441999999999993</v>
      </c>
      <c r="C269" s="1" t="str">
        <f t="shared" si="18"/>
        <v>96.442</v>
      </c>
      <c r="D269" s="1" t="str">
        <f t="shared" si="19"/>
        <v>96.442"</v>
      </c>
      <c r="E269" s="1" t="str">
        <f>RIGHT(chitar__3[[#This Row],[Column1.2]],LEN(chitar__3[[#This Row],[Column1.2]])-7)</f>
        <v xml:space="preserve"> string="0" fret="10" palmMute="1" /&gt;</v>
      </c>
      <c r="F269" s="1" t="s">
        <v>182</v>
      </c>
      <c r="G269" s="1"/>
      <c r="H269" s="1"/>
      <c r="I269" s="1"/>
      <c r="J269" s="1"/>
      <c r="L269" s="5" t="s">
        <v>16</v>
      </c>
      <c r="M269" s="3" t="str">
        <f t="shared" si="16"/>
        <v xml:space="preserve">        &lt;note time="96.442" string="1" fret="5" /&gt;</v>
      </c>
      <c r="N269" s="8" t="str">
        <f>chitar__3[[#This Row],[Column1.14]]</f>
        <v>96.442</v>
      </c>
      <c r="O269" s="6" t="s">
        <v>1384</v>
      </c>
    </row>
    <row r="270" spans="1:15" x14ac:dyDescent="0.45">
      <c r="A270" s="1" t="s">
        <v>16</v>
      </c>
      <c r="B270" s="1">
        <f t="shared" si="17"/>
        <v>96.671999999999997</v>
      </c>
      <c r="C270" s="1" t="str">
        <f t="shared" si="18"/>
        <v>96.672</v>
      </c>
      <c r="D270" s="1" t="str">
        <f t="shared" si="19"/>
        <v>96.672"</v>
      </c>
      <c r="E270" s="1" t="str">
        <f>RIGHT(chitar__3[[#This Row],[Column1.2]],LEN(chitar__3[[#This Row],[Column1.2]])-7)</f>
        <v xml:space="preserve"> string="0" fret="10" palmMute="1" /&gt;</v>
      </c>
      <c r="F270" s="1" t="s">
        <v>183</v>
      </c>
      <c r="G270" s="1"/>
      <c r="H270" s="1"/>
      <c r="I270" s="1"/>
      <c r="J270" s="1"/>
      <c r="L270" s="2" t="s">
        <v>16</v>
      </c>
      <c r="M270" s="3" t="str">
        <f t="shared" si="16"/>
        <v xml:space="preserve">        &lt;note time="96.672" string="1" fret="5" /&gt;</v>
      </c>
      <c r="N270" s="8" t="str">
        <f>chitar__3[[#This Row],[Column1.14]]</f>
        <v>96.672</v>
      </c>
      <c r="O270" s="4" t="s">
        <v>1385</v>
      </c>
    </row>
    <row r="271" spans="1:15" x14ac:dyDescent="0.45">
      <c r="A271" s="1" t="s">
        <v>16</v>
      </c>
      <c r="B271" s="1">
        <f t="shared" si="17"/>
        <v>96.906000000000006</v>
      </c>
      <c r="C271" s="1" t="str">
        <f t="shared" si="18"/>
        <v>96.906</v>
      </c>
      <c r="D271" s="1" t="str">
        <f t="shared" si="19"/>
        <v>96.906"</v>
      </c>
      <c r="E271" s="1" t="str">
        <f>RIGHT(chitar__3[[#This Row],[Column1.2]],LEN(chitar__3[[#This Row],[Column1.2]])-7)</f>
        <v xml:space="preserve"> string="0" fret="10" palmMute="1" /&gt;</v>
      </c>
      <c r="F271" s="1" t="s">
        <v>184</v>
      </c>
      <c r="G271" s="1"/>
      <c r="H271" s="1"/>
      <c r="I271" s="1"/>
      <c r="J271" s="1"/>
      <c r="L271" s="5" t="s">
        <v>16</v>
      </c>
      <c r="M271" s="3" t="str">
        <f t="shared" si="16"/>
        <v xml:space="preserve">        &lt;note time="96.906" string="1" fret="5" /&gt;</v>
      </c>
      <c r="N271" s="8" t="str">
        <f>chitar__3[[#This Row],[Column1.14]]</f>
        <v>96.906</v>
      </c>
      <c r="O271" s="6" t="s">
        <v>1386</v>
      </c>
    </row>
    <row r="272" spans="1:15" x14ac:dyDescent="0.45">
      <c r="A272" s="1" t="s">
        <v>388</v>
      </c>
      <c r="B272" s="1">
        <f t="shared" si="17"/>
        <v>97.006</v>
      </c>
      <c r="C272" s="1" t="str">
        <f t="shared" si="18"/>
        <v>97.006</v>
      </c>
      <c r="D272" s="1" t="str">
        <f t="shared" si="19"/>
        <v>97.006"</v>
      </c>
      <c r="E272" s="1" t="str">
        <f>RIGHT(chitar__3[[#This Row],[Column1.2]],LEN(chitar__3[[#This Row],[Column1.2]])-7)</f>
        <v xml:space="preserve"> chordId="4" &gt;&lt;chordNote </v>
      </c>
      <c r="F272" s="1" t="s">
        <v>489</v>
      </c>
      <c r="G272" s="1" t="s">
        <v>829</v>
      </c>
      <c r="H272" s="1" t="s">
        <v>830</v>
      </c>
      <c r="I272" s="1"/>
      <c r="J272" s="1"/>
      <c r="L272" s="2" t="s">
        <v>16</v>
      </c>
      <c r="M272" s="3" t="str">
        <f t="shared" si="16"/>
        <v xml:space="preserve">        &lt;note time="97.006" string="2" fret="5" /&gt;</v>
      </c>
      <c r="N272" s="8" t="str">
        <f>chitar__3[[#This Row],[Column1.14]]</f>
        <v>97.006</v>
      </c>
      <c r="O272" s="4" t="s">
        <v>1387</v>
      </c>
    </row>
    <row r="273" spans="1:15" x14ac:dyDescent="0.45">
      <c r="A273" s="1" t="s">
        <v>388</v>
      </c>
      <c r="B273" s="1">
        <f t="shared" si="17"/>
        <v>97.426000000000002</v>
      </c>
      <c r="C273" s="1" t="str">
        <f t="shared" si="18"/>
        <v>97.426</v>
      </c>
      <c r="D273" s="1" t="str">
        <f t="shared" si="19"/>
        <v>97.426"</v>
      </c>
      <c r="E273" s="1" t="str">
        <f>RIGHT(chitar__3[[#This Row],[Column1.2]],LEN(chitar__3[[#This Row],[Column1.2]])-7)</f>
        <v xml:space="preserve"> chordId="5" &gt;&lt;chordNote </v>
      </c>
      <c r="F273" s="1" t="s">
        <v>490</v>
      </c>
      <c r="G273" s="1" t="s">
        <v>831</v>
      </c>
      <c r="H273" s="1" t="s">
        <v>832</v>
      </c>
      <c r="I273" s="1"/>
      <c r="J273" s="1"/>
      <c r="L273" s="5" t="s">
        <v>16</v>
      </c>
      <c r="M273" s="3" t="str">
        <f t="shared" si="16"/>
        <v xml:space="preserve">        &lt;note time="97.426" string="2" fret="3" sustain="0.21" /&gt;</v>
      </c>
      <c r="N273" s="8" t="str">
        <f>chitar__3[[#This Row],[Column1.14]]</f>
        <v>97.426</v>
      </c>
      <c r="O273" s="6" t="s">
        <v>1753</v>
      </c>
    </row>
    <row r="274" spans="1:15" x14ac:dyDescent="0.45">
      <c r="A274" s="1" t="s">
        <v>388</v>
      </c>
      <c r="B274" s="1">
        <f t="shared" si="17"/>
        <v>97.867000000000004</v>
      </c>
      <c r="C274" s="1" t="str">
        <f t="shared" si="18"/>
        <v>97.867</v>
      </c>
      <c r="D274" s="1" t="str">
        <f t="shared" si="19"/>
        <v>97.867"</v>
      </c>
      <c r="E274" s="1" t="str">
        <f>RIGHT(chitar__3[[#This Row],[Column1.2]],LEN(chitar__3[[#This Row],[Column1.2]])-7)</f>
        <v xml:space="preserve"> chordId="7" &gt;&lt;chordNote </v>
      </c>
      <c r="F274" s="1" t="s">
        <v>491</v>
      </c>
      <c r="G274" s="1" t="s">
        <v>833</v>
      </c>
      <c r="H274" s="1" t="s">
        <v>834</v>
      </c>
      <c r="I274" s="1"/>
      <c r="J274" s="1"/>
      <c r="L274" s="2" t="s">
        <v>16</v>
      </c>
      <c r="M274" s="3" t="str">
        <f t="shared" si="16"/>
        <v xml:space="preserve">        &lt;note time="97.867" string="1" fret="5" /&gt;</v>
      </c>
      <c r="N274" s="8" t="str">
        <f>chitar__3[[#This Row],[Column1.14]]</f>
        <v>97.867</v>
      </c>
      <c r="O274" s="4" t="s">
        <v>1389</v>
      </c>
    </row>
    <row r="275" spans="1:15" x14ac:dyDescent="0.45">
      <c r="A275" s="1" t="s">
        <v>16</v>
      </c>
      <c r="B275" s="1">
        <f t="shared" si="17"/>
        <v>98.096000000000004</v>
      </c>
      <c r="C275" s="1" t="str">
        <f t="shared" si="18"/>
        <v>98.096</v>
      </c>
      <c r="D275" s="1" t="str">
        <f t="shared" si="19"/>
        <v>98.096"</v>
      </c>
      <c r="E275" s="1" t="str">
        <f>RIGHT(chitar__3[[#This Row],[Column1.2]],LEN(chitar__3[[#This Row],[Column1.2]])-7)</f>
        <v xml:space="preserve"> string="0" fret="10" palmMute="1" /&gt;</v>
      </c>
      <c r="F275" s="1" t="s">
        <v>185</v>
      </c>
      <c r="G275" s="1"/>
      <c r="H275" s="1"/>
      <c r="I275" s="1"/>
      <c r="J275" s="1"/>
      <c r="L275" s="5" t="s">
        <v>16</v>
      </c>
      <c r="M275" s="3" t="str">
        <f t="shared" si="16"/>
        <v xml:space="preserve">        &lt;note time="98.096" string="1" fret="5" /&gt;</v>
      </c>
      <c r="N275" s="8" t="str">
        <f>chitar__3[[#This Row],[Column1.14]]</f>
        <v>98.096</v>
      </c>
      <c r="O275" s="6" t="s">
        <v>1390</v>
      </c>
    </row>
    <row r="276" spans="1:15" x14ac:dyDescent="0.45">
      <c r="A276" s="1" t="s">
        <v>16</v>
      </c>
      <c r="B276" s="1">
        <f t="shared" si="17"/>
        <v>98.316000000000003</v>
      </c>
      <c r="C276" s="1" t="str">
        <f t="shared" si="18"/>
        <v>98.316</v>
      </c>
      <c r="D276" s="1" t="str">
        <f t="shared" si="19"/>
        <v>98.316"</v>
      </c>
      <c r="E276" s="1" t="str">
        <f>RIGHT(chitar__3[[#This Row],[Column1.2]],LEN(chitar__3[[#This Row],[Column1.2]])-7)</f>
        <v xml:space="preserve"> string="0" fret="10" palmMute="1" /&gt;</v>
      </c>
      <c r="F276" s="1" t="s">
        <v>186</v>
      </c>
      <c r="G276" s="1"/>
      <c r="H276" s="1"/>
      <c r="I276" s="1"/>
      <c r="J276" s="1"/>
      <c r="L276" s="2" t="s">
        <v>16</v>
      </c>
      <c r="M276" s="3" t="str">
        <f t="shared" si="16"/>
        <v xml:space="preserve">        &lt;note time="98.316" string="1" fret="5" /&gt;</v>
      </c>
      <c r="N276" s="8" t="str">
        <f>chitar__3[[#This Row],[Column1.14]]</f>
        <v>98.316</v>
      </c>
      <c r="O276" s="4" t="s">
        <v>1391</v>
      </c>
    </row>
    <row r="277" spans="1:15" x14ac:dyDescent="0.45">
      <c r="A277" s="1" t="s">
        <v>16</v>
      </c>
      <c r="B277" s="1">
        <f t="shared" si="17"/>
        <v>98.536000000000001</v>
      </c>
      <c r="C277" s="1" t="str">
        <f t="shared" si="18"/>
        <v>98.536</v>
      </c>
      <c r="D277" s="1" t="str">
        <f t="shared" si="19"/>
        <v>98.536"</v>
      </c>
      <c r="E277" s="1" t="str">
        <f>RIGHT(chitar__3[[#This Row],[Column1.2]],LEN(chitar__3[[#This Row],[Column1.2]])-7)</f>
        <v xml:space="preserve"> string="0" fret="10" palmMute="1" /&gt;</v>
      </c>
      <c r="F277" s="1" t="s">
        <v>187</v>
      </c>
      <c r="G277" s="1"/>
      <c r="H277" s="1"/>
      <c r="I277" s="1"/>
      <c r="J277" s="1"/>
      <c r="L277" s="5" t="s">
        <v>16</v>
      </c>
      <c r="M277" s="3" t="str">
        <f t="shared" si="16"/>
        <v xml:space="preserve">        &lt;note time="98.536" string="1" fret="5" /&gt;</v>
      </c>
      <c r="N277" s="8" t="str">
        <f>chitar__3[[#This Row],[Column1.14]]</f>
        <v>98.536</v>
      </c>
      <c r="O277" s="6" t="s">
        <v>1392</v>
      </c>
    </row>
    <row r="278" spans="1:15" x14ac:dyDescent="0.45">
      <c r="A278" s="1" t="s">
        <v>16</v>
      </c>
      <c r="B278" s="1">
        <f t="shared" si="17"/>
        <v>98.762</v>
      </c>
      <c r="C278" s="1" t="str">
        <f t="shared" si="18"/>
        <v>98.762</v>
      </c>
      <c r="D278" s="1" t="str">
        <f t="shared" si="19"/>
        <v>98.762"</v>
      </c>
      <c r="E278" s="1" t="str">
        <f>RIGHT(chitar__3[[#This Row],[Column1.2]],LEN(chitar__3[[#This Row],[Column1.2]])-7)</f>
        <v xml:space="preserve"> string="0" fret="10" palmMute="1" /&gt;</v>
      </c>
      <c r="F278" s="1" t="s">
        <v>188</v>
      </c>
      <c r="G278" s="1"/>
      <c r="H278" s="1"/>
      <c r="I278" s="1"/>
      <c r="J278" s="1"/>
      <c r="L278" s="2" t="s">
        <v>16</v>
      </c>
      <c r="M278" s="3" t="str">
        <f t="shared" si="16"/>
        <v xml:space="preserve">        &lt;note time="98.762" string="1" fret="5" /&gt;</v>
      </c>
      <c r="N278" s="8" t="str">
        <f>chitar__3[[#This Row],[Column1.14]]</f>
        <v>98.762</v>
      </c>
      <c r="O278" s="4" t="s">
        <v>1393</v>
      </c>
    </row>
    <row r="279" spans="1:15" x14ac:dyDescent="0.45">
      <c r="A279" s="1" t="s">
        <v>16</v>
      </c>
      <c r="B279" s="1">
        <f t="shared" si="17"/>
        <v>98.992999999999995</v>
      </c>
      <c r="C279" s="1" t="str">
        <f t="shared" si="18"/>
        <v>98.993</v>
      </c>
      <c r="D279" s="1" t="str">
        <f t="shared" si="19"/>
        <v>98.993"</v>
      </c>
      <c r="E279" s="1" t="str">
        <f>RIGHT(chitar__3[[#This Row],[Column1.2]],LEN(chitar__3[[#This Row],[Column1.2]])-7)</f>
        <v xml:space="preserve"> string="0" fret="10" palmMute="1" /&gt;</v>
      </c>
      <c r="F279" s="1" t="s">
        <v>189</v>
      </c>
      <c r="G279" s="1"/>
      <c r="H279" s="1"/>
      <c r="I279" s="1"/>
      <c r="J279" s="1"/>
      <c r="L279" s="5" t="s">
        <v>16</v>
      </c>
      <c r="M279" s="3" t="str">
        <f t="shared" si="16"/>
        <v xml:space="preserve">        &lt;note time="98.993" string="1" fret="5" /&gt;</v>
      </c>
      <c r="N279" s="8" t="str">
        <f>chitar__3[[#This Row],[Column1.14]]</f>
        <v>98.993</v>
      </c>
      <c r="O279" s="6" t="s">
        <v>1394</v>
      </c>
    </row>
    <row r="280" spans="1:15" x14ac:dyDescent="0.45">
      <c r="A280" s="1" t="s">
        <v>16</v>
      </c>
      <c r="B280" s="1">
        <f t="shared" si="17"/>
        <v>99.203000000000003</v>
      </c>
      <c r="C280" s="1" t="str">
        <f t="shared" si="18"/>
        <v>99.203</v>
      </c>
      <c r="D280" s="1" t="str">
        <f t="shared" si="19"/>
        <v>99.203"</v>
      </c>
      <c r="E280" s="1" t="str">
        <f>RIGHT(chitar__3[[#This Row],[Column1.2]],LEN(chitar__3[[#This Row],[Column1.2]])-7)</f>
        <v xml:space="preserve"> string="0" fret="10" palmMute="1" /&gt;</v>
      </c>
      <c r="F280" s="1" t="s">
        <v>190</v>
      </c>
      <c r="G280" s="1"/>
      <c r="H280" s="1"/>
      <c r="I280" s="1"/>
      <c r="J280" s="1"/>
      <c r="L280" s="2" t="s">
        <v>16</v>
      </c>
      <c r="M280" s="3" t="str">
        <f t="shared" si="16"/>
        <v xml:space="preserve">        &lt;note time="99.203" string="1" fret="5" /&gt;</v>
      </c>
      <c r="N280" s="8" t="str">
        <f>chitar__3[[#This Row],[Column1.14]]</f>
        <v>99.203</v>
      </c>
      <c r="O280" s="4" t="s">
        <v>1395</v>
      </c>
    </row>
    <row r="281" spans="1:15" x14ac:dyDescent="0.45">
      <c r="A281" s="1" t="s">
        <v>16</v>
      </c>
      <c r="B281" s="1">
        <f t="shared" si="17"/>
        <v>99.423000000000002</v>
      </c>
      <c r="C281" s="1" t="str">
        <f t="shared" si="18"/>
        <v>99.423</v>
      </c>
      <c r="D281" s="1" t="str">
        <f t="shared" si="19"/>
        <v>99.423"</v>
      </c>
      <c r="E281" s="1" t="str">
        <f>RIGHT(chitar__3[[#This Row],[Column1.2]],LEN(chitar__3[[#This Row],[Column1.2]])-7)</f>
        <v xml:space="preserve"> string="0" fret="10" palmMute="1" /&gt;</v>
      </c>
      <c r="F281" s="1" t="s">
        <v>191</v>
      </c>
      <c r="G281" s="1"/>
      <c r="H281" s="1"/>
      <c r="I281" s="1"/>
      <c r="J281" s="1"/>
      <c r="L281" s="5" t="s">
        <v>16</v>
      </c>
      <c r="M281" s="3" t="str">
        <f t="shared" si="16"/>
        <v xml:space="preserve">        &lt;note time="99.423" string="1" fret="5" /&gt;</v>
      </c>
      <c r="N281" s="8" t="str">
        <f>chitar__3[[#This Row],[Column1.14]]</f>
        <v>99.423</v>
      </c>
      <c r="O281" s="6" t="s">
        <v>1396</v>
      </c>
    </row>
    <row r="282" spans="1:15" x14ac:dyDescent="0.45">
      <c r="A282" s="1" t="s">
        <v>16</v>
      </c>
      <c r="B282" s="1">
        <f t="shared" si="17"/>
        <v>99.653000000000006</v>
      </c>
      <c r="C282" s="1" t="str">
        <f t="shared" si="18"/>
        <v>99.653</v>
      </c>
      <c r="D282" s="1" t="str">
        <f t="shared" si="19"/>
        <v>99.653"</v>
      </c>
      <c r="E282" s="1" t="str">
        <f>RIGHT(chitar__3[[#This Row],[Column1.2]],LEN(chitar__3[[#This Row],[Column1.2]])-7)</f>
        <v xml:space="preserve"> string="0" fret="10" palmMute="1" /&gt;</v>
      </c>
      <c r="F282" s="1" t="s">
        <v>192</v>
      </c>
      <c r="G282" s="1"/>
      <c r="H282" s="1"/>
      <c r="I282" s="1"/>
      <c r="J282" s="1"/>
      <c r="L282" s="2" t="s">
        <v>16</v>
      </c>
      <c r="M282" s="3" t="str">
        <f t="shared" si="16"/>
        <v xml:space="preserve">        &lt;note time="99.653" string="1" fret="5" /&gt;</v>
      </c>
      <c r="N282" s="8" t="str">
        <f>chitar__3[[#This Row],[Column1.14]]</f>
        <v>99.653</v>
      </c>
      <c r="O282" s="4" t="s">
        <v>1397</v>
      </c>
    </row>
    <row r="283" spans="1:15" x14ac:dyDescent="0.45">
      <c r="A283" s="1" t="s">
        <v>16</v>
      </c>
      <c r="B283" s="1">
        <f t="shared" si="17"/>
        <v>99.882000000000005</v>
      </c>
      <c r="C283" s="1" t="str">
        <f t="shared" si="18"/>
        <v>99.882</v>
      </c>
      <c r="D283" s="1" t="str">
        <f t="shared" si="19"/>
        <v>99.882"</v>
      </c>
      <c r="E283" s="1" t="str">
        <f>RIGHT(chitar__3[[#This Row],[Column1.2]],LEN(chitar__3[[#This Row],[Column1.2]])-7)</f>
        <v xml:space="preserve"> string="0" fret="10" palmMute="1" /&gt;</v>
      </c>
      <c r="F283" s="1" t="s">
        <v>193</v>
      </c>
      <c r="G283" s="1"/>
      <c r="H283" s="1"/>
      <c r="I283" s="1"/>
      <c r="J283" s="1"/>
      <c r="L283" s="5" t="s">
        <v>16</v>
      </c>
      <c r="M283" s="3" t="str">
        <f t="shared" si="16"/>
        <v xml:space="preserve">        &lt;note time="99.882" string="1" fret="5" /&gt;</v>
      </c>
      <c r="N283" s="8" t="str">
        <f>chitar__3[[#This Row],[Column1.14]]</f>
        <v>99.882</v>
      </c>
      <c r="O283" s="6" t="s">
        <v>1398</v>
      </c>
    </row>
    <row r="284" spans="1:15" x14ac:dyDescent="0.45">
      <c r="A284" s="1" t="s">
        <v>16</v>
      </c>
      <c r="B284" s="1">
        <f t="shared" si="17"/>
        <v>100.11199999999999</v>
      </c>
      <c r="C284" s="1" t="str">
        <f t="shared" si="18"/>
        <v>100.112</v>
      </c>
      <c r="D284" s="1" t="str">
        <f t="shared" si="19"/>
        <v>100.112</v>
      </c>
      <c r="E284" s="1" t="str">
        <f>RIGHT(chitar__3[[#This Row],[Column1.2]],LEN(chitar__3[[#This Row],[Column1.2]])-7)</f>
        <v>" string="0" fret="10" palmMute="1" /&gt;</v>
      </c>
      <c r="F284" s="1" t="s">
        <v>194</v>
      </c>
      <c r="G284" s="1"/>
      <c r="H284" s="1"/>
      <c r="I284" s="1"/>
      <c r="J284" s="1"/>
      <c r="L284" s="2" t="s">
        <v>16</v>
      </c>
      <c r="M284" s="3" t="str">
        <f t="shared" si="16"/>
        <v xml:space="preserve">        &lt;note time="100.112" string="1" fret="5" /&gt;</v>
      </c>
      <c r="N284" s="8" t="str">
        <f>chitar__3[[#This Row],[Column1.14]]</f>
        <v>100.112</v>
      </c>
      <c r="O284" s="4" t="s">
        <v>1399</v>
      </c>
    </row>
    <row r="285" spans="1:15" x14ac:dyDescent="0.45">
      <c r="A285" s="1" t="s">
        <v>16</v>
      </c>
      <c r="B285" s="1">
        <f t="shared" si="17"/>
        <v>100.336</v>
      </c>
      <c r="C285" s="1" t="str">
        <f t="shared" si="18"/>
        <v>100.336</v>
      </c>
      <c r="D285" s="1" t="str">
        <f t="shared" si="19"/>
        <v>100.336</v>
      </c>
      <c r="E285" s="1" t="str">
        <f>RIGHT(chitar__3[[#This Row],[Column1.2]],LEN(chitar__3[[#This Row],[Column1.2]])-7)</f>
        <v>" string="0" fret="10" palmMute="1" /&gt;</v>
      </c>
      <c r="F285" s="1" t="s">
        <v>195</v>
      </c>
      <c r="G285" s="1"/>
      <c r="H285" s="1"/>
      <c r="I285" s="1"/>
      <c r="J285" s="1"/>
      <c r="L285" s="5" t="s">
        <v>16</v>
      </c>
      <c r="M285" s="3" t="str">
        <f t="shared" si="16"/>
        <v xml:space="preserve">        &lt;note time="100.336" string="1" fret="5" /&gt;</v>
      </c>
      <c r="N285" s="8" t="str">
        <f>chitar__3[[#This Row],[Column1.14]]</f>
        <v>100.336</v>
      </c>
      <c r="O285" s="6" t="s">
        <v>1400</v>
      </c>
    </row>
    <row r="286" spans="1:15" x14ac:dyDescent="0.45">
      <c r="A286" s="1" t="s">
        <v>388</v>
      </c>
      <c r="B286" s="1">
        <f t="shared" si="17"/>
        <v>100.426</v>
      </c>
      <c r="C286" s="1" t="str">
        <f t="shared" si="18"/>
        <v>100.426</v>
      </c>
      <c r="D286" s="1" t="str">
        <f t="shared" si="19"/>
        <v>100.426</v>
      </c>
      <c r="E286" s="1" t="str">
        <f>RIGHT(chitar__3[[#This Row],[Column1.2]],LEN(chitar__3[[#This Row],[Column1.2]])-7)</f>
        <v xml:space="preserve">" chordId="4" &gt;&lt;chordNote </v>
      </c>
      <c r="F286" s="1" t="s">
        <v>492</v>
      </c>
      <c r="G286" s="1" t="s">
        <v>835</v>
      </c>
      <c r="H286" s="1" t="s">
        <v>836</v>
      </c>
      <c r="I286" s="1"/>
      <c r="J286" s="1"/>
      <c r="L286" s="2" t="s">
        <v>16</v>
      </c>
      <c r="M286" s="3" t="str">
        <f t="shared" si="16"/>
        <v xml:space="preserve">        &lt;note time="100.426" string="2" fret="5" /&gt;</v>
      </c>
      <c r="N286" s="8" t="str">
        <f>chitar__3[[#This Row],[Column1.14]]</f>
        <v>100.426</v>
      </c>
      <c r="O286" s="4" t="s">
        <v>1401</v>
      </c>
    </row>
    <row r="287" spans="1:15" x14ac:dyDescent="0.45">
      <c r="A287" s="1" t="s">
        <v>388</v>
      </c>
      <c r="B287" s="1">
        <f t="shared" si="17"/>
        <v>100.846</v>
      </c>
      <c r="C287" s="1" t="str">
        <f t="shared" si="18"/>
        <v>100.846</v>
      </c>
      <c r="D287" s="1" t="str">
        <f t="shared" si="19"/>
        <v>100.846</v>
      </c>
      <c r="E287" s="1" t="str">
        <f>RIGHT(chitar__3[[#This Row],[Column1.2]],LEN(chitar__3[[#This Row],[Column1.2]])-7)</f>
        <v xml:space="preserve">" chordId="5" &gt;&lt;chordNote </v>
      </c>
      <c r="F287" s="1" t="s">
        <v>493</v>
      </c>
      <c r="G287" s="1" t="s">
        <v>837</v>
      </c>
      <c r="H287" s="1" t="s">
        <v>838</v>
      </c>
      <c r="I287" s="1"/>
      <c r="J287" s="1"/>
      <c r="L287" s="5" t="s">
        <v>16</v>
      </c>
      <c r="M287" s="3" t="str">
        <f t="shared" si="16"/>
        <v xml:space="preserve">        &lt;note time="100.846" string="2" fret="3" sustain="0.21" /&gt;</v>
      </c>
      <c r="N287" s="8" t="str">
        <f>chitar__3[[#This Row],[Column1.14]]</f>
        <v>100.846</v>
      </c>
      <c r="O287" s="6" t="s">
        <v>1754</v>
      </c>
    </row>
    <row r="288" spans="1:15" x14ac:dyDescent="0.45">
      <c r="A288" s="1" t="s">
        <v>388</v>
      </c>
      <c r="B288" s="1">
        <f t="shared" si="17"/>
        <v>101.28700000000001</v>
      </c>
      <c r="C288" s="1" t="str">
        <f t="shared" si="18"/>
        <v>101.287</v>
      </c>
      <c r="D288" s="1" t="str">
        <f t="shared" si="19"/>
        <v>101.287</v>
      </c>
      <c r="E288" s="1" t="str">
        <f>RIGHT(chitar__3[[#This Row],[Column1.2]],LEN(chitar__3[[#This Row],[Column1.2]])-7)</f>
        <v xml:space="preserve">" chordId="7" &gt;&lt;chordNote </v>
      </c>
      <c r="F288" s="1" t="s">
        <v>494</v>
      </c>
      <c r="G288" s="1" t="s">
        <v>839</v>
      </c>
      <c r="H288" s="1" t="s">
        <v>840</v>
      </c>
      <c r="I288" s="1"/>
      <c r="J288" s="1"/>
      <c r="L288" s="2" t="s">
        <v>16</v>
      </c>
      <c r="M288" s="3" t="str">
        <f t="shared" si="16"/>
        <v xml:space="preserve">        &lt;note time="101.287" string="1" fret="5" /&gt;</v>
      </c>
      <c r="N288" s="8" t="str">
        <f>chitar__3[[#This Row],[Column1.14]]</f>
        <v>101.287</v>
      </c>
      <c r="O288" s="4" t="s">
        <v>1403</v>
      </c>
    </row>
    <row r="289" spans="1:15" x14ac:dyDescent="0.45">
      <c r="A289" s="1" t="s">
        <v>16</v>
      </c>
      <c r="B289" s="1">
        <f t="shared" si="17"/>
        <v>101.51600000000001</v>
      </c>
      <c r="C289" s="1" t="str">
        <f t="shared" si="18"/>
        <v>101.516</v>
      </c>
      <c r="D289" s="1" t="str">
        <f t="shared" si="19"/>
        <v>101.516</v>
      </c>
      <c r="E289" s="1" t="str">
        <f>RIGHT(chitar__3[[#This Row],[Column1.2]],LEN(chitar__3[[#This Row],[Column1.2]])-7)</f>
        <v>" string="0" fret="10" palmMute="1" /&gt;</v>
      </c>
      <c r="F289" s="1" t="s">
        <v>196</v>
      </c>
      <c r="G289" s="1"/>
      <c r="H289" s="1"/>
      <c r="I289" s="1"/>
      <c r="J289" s="1"/>
      <c r="L289" s="5" t="s">
        <v>16</v>
      </c>
      <c r="M289" s="3" t="str">
        <f t="shared" si="16"/>
        <v xml:space="preserve">        &lt;note time="101.516" string="1" fret="5" /&gt;</v>
      </c>
      <c r="N289" s="8" t="str">
        <f>chitar__3[[#This Row],[Column1.14]]</f>
        <v>101.516</v>
      </c>
      <c r="O289" s="6" t="s">
        <v>1404</v>
      </c>
    </row>
    <row r="290" spans="1:15" x14ac:dyDescent="0.45">
      <c r="A290" s="1" t="s">
        <v>16</v>
      </c>
      <c r="B290" s="1">
        <f t="shared" si="17"/>
        <v>101.736</v>
      </c>
      <c r="C290" s="1" t="str">
        <f t="shared" si="18"/>
        <v>101.736</v>
      </c>
      <c r="D290" s="1" t="str">
        <f t="shared" si="19"/>
        <v>101.736</v>
      </c>
      <c r="E290" s="1" t="str">
        <f>RIGHT(chitar__3[[#This Row],[Column1.2]],LEN(chitar__3[[#This Row],[Column1.2]])-7)</f>
        <v>" string="0" fret="10" palmMute="1" /&gt;</v>
      </c>
      <c r="F290" s="1" t="s">
        <v>197</v>
      </c>
      <c r="G290" s="1"/>
      <c r="H290" s="1"/>
      <c r="I290" s="1"/>
      <c r="J290" s="1"/>
      <c r="L290" s="2" t="s">
        <v>16</v>
      </c>
      <c r="M290" s="3" t="str">
        <f t="shared" si="16"/>
        <v xml:space="preserve">        &lt;note time="101.736" string="1" fret="5" /&gt;</v>
      </c>
      <c r="N290" s="8" t="str">
        <f>chitar__3[[#This Row],[Column1.14]]</f>
        <v>101.736</v>
      </c>
      <c r="O290" s="4" t="s">
        <v>1405</v>
      </c>
    </row>
    <row r="291" spans="1:15" x14ac:dyDescent="0.45">
      <c r="A291" s="1" t="s">
        <v>16</v>
      </c>
      <c r="B291" s="1">
        <f t="shared" si="17"/>
        <v>101.96599999999999</v>
      </c>
      <c r="C291" s="1" t="str">
        <f t="shared" si="18"/>
        <v>101.966</v>
      </c>
      <c r="D291" s="1" t="str">
        <f t="shared" si="19"/>
        <v>101.966</v>
      </c>
      <c r="E291" s="1" t="str">
        <f>RIGHT(chitar__3[[#This Row],[Column1.2]],LEN(chitar__3[[#This Row],[Column1.2]])-7)</f>
        <v>" string="0" fret="10" palmMute="1" /&gt;</v>
      </c>
      <c r="F291" s="1" t="s">
        <v>198</v>
      </c>
      <c r="G291" s="1"/>
      <c r="H291" s="1"/>
      <c r="I291" s="1"/>
      <c r="J291" s="1"/>
      <c r="L291" s="5" t="s">
        <v>16</v>
      </c>
      <c r="M291" s="3" t="str">
        <f t="shared" si="16"/>
        <v xml:space="preserve">        &lt;note time="101.966" string="1" fret="5" /&gt;</v>
      </c>
      <c r="N291" s="8" t="str">
        <f>chitar__3[[#This Row],[Column1.14]]</f>
        <v>101.966</v>
      </c>
      <c r="O291" s="6" t="s">
        <v>1406</v>
      </c>
    </row>
    <row r="292" spans="1:15" x14ac:dyDescent="0.45">
      <c r="A292" s="1" t="s">
        <v>16</v>
      </c>
      <c r="B292" s="1">
        <f t="shared" si="17"/>
        <v>102.19199999999999</v>
      </c>
      <c r="C292" s="1" t="str">
        <f t="shared" si="18"/>
        <v>102.192</v>
      </c>
      <c r="D292" s="1" t="str">
        <f t="shared" si="19"/>
        <v>102.192</v>
      </c>
      <c r="E292" s="1" t="str">
        <f>RIGHT(chitar__3[[#This Row],[Column1.2]],LEN(chitar__3[[#This Row],[Column1.2]])-7)</f>
        <v>" string="0" fret="10" palmMute="1" /&gt;</v>
      </c>
      <c r="F292" s="1" t="s">
        <v>199</v>
      </c>
      <c r="G292" s="1"/>
      <c r="H292" s="1"/>
      <c r="I292" s="1"/>
      <c r="J292" s="1"/>
      <c r="L292" s="2" t="s">
        <v>16</v>
      </c>
      <c r="M292" s="3" t="str">
        <f t="shared" si="16"/>
        <v xml:space="preserve">        &lt;note time="102.192" string="1" fret="5" /&gt;</v>
      </c>
      <c r="N292" s="8" t="str">
        <f>chitar__3[[#This Row],[Column1.14]]</f>
        <v>102.192</v>
      </c>
      <c r="O292" s="4" t="s">
        <v>1407</v>
      </c>
    </row>
    <row r="293" spans="1:15" x14ac:dyDescent="0.45">
      <c r="A293" s="1" t="s">
        <v>16</v>
      </c>
      <c r="B293" s="1">
        <f t="shared" si="17"/>
        <v>102.423</v>
      </c>
      <c r="C293" s="1" t="str">
        <f t="shared" si="18"/>
        <v>102.423</v>
      </c>
      <c r="D293" s="1" t="str">
        <f t="shared" si="19"/>
        <v>102.423</v>
      </c>
      <c r="E293" s="1" t="str">
        <f>RIGHT(chitar__3[[#This Row],[Column1.2]],LEN(chitar__3[[#This Row],[Column1.2]])-7)</f>
        <v>" string="0" fret="10" palmMute="1" /&gt;</v>
      </c>
      <c r="F293" s="1" t="s">
        <v>200</v>
      </c>
      <c r="G293" s="1"/>
      <c r="H293" s="1"/>
      <c r="I293" s="1"/>
      <c r="J293" s="1"/>
      <c r="L293" s="5" t="s">
        <v>16</v>
      </c>
      <c r="M293" s="3" t="str">
        <f t="shared" si="16"/>
        <v xml:space="preserve">        &lt;note time="102.423" string="1" fret="5" /&gt;</v>
      </c>
      <c r="N293" s="8" t="str">
        <f>chitar__3[[#This Row],[Column1.14]]</f>
        <v>102.423</v>
      </c>
      <c r="O293" s="6" t="s">
        <v>1408</v>
      </c>
    </row>
    <row r="294" spans="1:15" x14ac:dyDescent="0.45">
      <c r="A294" s="1" t="s">
        <v>16</v>
      </c>
      <c r="B294" s="1">
        <f t="shared" si="17"/>
        <v>102.65300000000001</v>
      </c>
      <c r="C294" s="1" t="str">
        <f t="shared" si="18"/>
        <v>102.653</v>
      </c>
      <c r="D294" s="1" t="str">
        <f t="shared" si="19"/>
        <v>102.653</v>
      </c>
      <c r="E294" s="1" t="str">
        <f>RIGHT(chitar__3[[#This Row],[Column1.2]],LEN(chitar__3[[#This Row],[Column1.2]])-7)</f>
        <v>" string="0" fret="10" palmMute="1" /&gt;</v>
      </c>
      <c r="F294" s="1" t="s">
        <v>201</v>
      </c>
      <c r="G294" s="1"/>
      <c r="H294" s="1"/>
      <c r="I294" s="1"/>
      <c r="J294" s="1"/>
      <c r="L294" s="2" t="s">
        <v>16</v>
      </c>
      <c r="M294" s="3" t="str">
        <f t="shared" si="16"/>
        <v xml:space="preserve">        &lt;note time="102.653" string="1" fret="5" /&gt;</v>
      </c>
      <c r="N294" s="8" t="str">
        <f>chitar__3[[#This Row],[Column1.14]]</f>
        <v>102.653</v>
      </c>
      <c r="O294" s="4" t="s">
        <v>1409</v>
      </c>
    </row>
    <row r="295" spans="1:15" x14ac:dyDescent="0.45">
      <c r="A295" s="1" t="s">
        <v>16</v>
      </c>
      <c r="B295" s="1">
        <f t="shared" si="17"/>
        <v>102.88500000000001</v>
      </c>
      <c r="C295" s="1" t="str">
        <f t="shared" si="18"/>
        <v>102.885</v>
      </c>
      <c r="D295" s="1" t="str">
        <f t="shared" si="19"/>
        <v>102.885</v>
      </c>
      <c r="E295" s="1" t="str">
        <f>RIGHT(chitar__3[[#This Row],[Column1.2]],LEN(chitar__3[[#This Row],[Column1.2]])-7)</f>
        <v>" string="0" fret="10" palmMute="1" /&gt;</v>
      </c>
      <c r="F295" s="1" t="s">
        <v>202</v>
      </c>
      <c r="G295" s="1"/>
      <c r="H295" s="1"/>
      <c r="I295" s="1"/>
      <c r="J295" s="1"/>
      <c r="L295" s="5" t="s">
        <v>16</v>
      </c>
      <c r="M295" s="3" t="str">
        <f t="shared" si="16"/>
        <v xml:space="preserve">        &lt;note time="102.885" string="1" fret="5" /&gt;</v>
      </c>
      <c r="N295" s="8" t="str">
        <f>chitar__3[[#This Row],[Column1.14]]</f>
        <v>102.885</v>
      </c>
      <c r="O295" s="6" t="s">
        <v>1410</v>
      </c>
    </row>
    <row r="296" spans="1:15" x14ac:dyDescent="0.45">
      <c r="A296" s="1" t="s">
        <v>16</v>
      </c>
      <c r="B296" s="1">
        <f t="shared" si="17"/>
        <v>103.113</v>
      </c>
      <c r="C296" s="1" t="str">
        <f t="shared" si="18"/>
        <v>103.113</v>
      </c>
      <c r="D296" s="1" t="str">
        <f t="shared" si="19"/>
        <v>103.113</v>
      </c>
      <c r="E296" s="1" t="str">
        <f>RIGHT(chitar__3[[#This Row],[Column1.2]],LEN(chitar__3[[#This Row],[Column1.2]])-7)</f>
        <v>" string="0" fret="10" palmMute="1" /&gt;</v>
      </c>
      <c r="F296" s="1" t="s">
        <v>203</v>
      </c>
      <c r="G296" s="1"/>
      <c r="H296" s="1"/>
      <c r="I296" s="1"/>
      <c r="J296" s="1"/>
      <c r="L296" s="2" t="s">
        <v>16</v>
      </c>
      <c r="M296" s="3" t="str">
        <f t="shared" si="16"/>
        <v xml:space="preserve">        &lt;note time="103.113" string="1" fret="5" /&gt;</v>
      </c>
      <c r="N296" s="8" t="str">
        <f>chitar__3[[#This Row],[Column1.14]]</f>
        <v>103.113</v>
      </c>
      <c r="O296" s="4" t="s">
        <v>1411</v>
      </c>
    </row>
    <row r="297" spans="1:15" x14ac:dyDescent="0.45">
      <c r="A297" s="1" t="s">
        <v>16</v>
      </c>
      <c r="B297" s="1">
        <f t="shared" si="17"/>
        <v>103.342</v>
      </c>
      <c r="C297" s="1" t="str">
        <f t="shared" si="18"/>
        <v>103.342</v>
      </c>
      <c r="D297" s="1" t="str">
        <f t="shared" si="19"/>
        <v>103.342</v>
      </c>
      <c r="E297" s="1" t="str">
        <f>RIGHT(chitar__3[[#This Row],[Column1.2]],LEN(chitar__3[[#This Row],[Column1.2]])-7)</f>
        <v>" string="0" fret="10" palmMute="1" /&gt;</v>
      </c>
      <c r="F297" s="1" t="s">
        <v>204</v>
      </c>
      <c r="G297" s="1"/>
      <c r="H297" s="1"/>
      <c r="I297" s="1"/>
      <c r="J297" s="1"/>
      <c r="L297" s="5" t="s">
        <v>16</v>
      </c>
      <c r="M297" s="3" t="str">
        <f t="shared" si="16"/>
        <v xml:space="preserve">        &lt;note time="103.342" string="1" fret="5" /&gt;</v>
      </c>
      <c r="N297" s="8" t="str">
        <f>chitar__3[[#This Row],[Column1.14]]</f>
        <v>103.342</v>
      </c>
      <c r="O297" s="6" t="s">
        <v>1412</v>
      </c>
    </row>
    <row r="298" spans="1:15" x14ac:dyDescent="0.45">
      <c r="A298" s="1" t="s">
        <v>16</v>
      </c>
      <c r="B298" s="1">
        <f t="shared" si="17"/>
        <v>103.562</v>
      </c>
      <c r="C298" s="1" t="str">
        <f t="shared" si="18"/>
        <v>103.562</v>
      </c>
      <c r="D298" s="1" t="str">
        <f t="shared" si="19"/>
        <v>103.562</v>
      </c>
      <c r="E298" s="1" t="str">
        <f>RIGHT(chitar__3[[#This Row],[Column1.2]],LEN(chitar__3[[#This Row],[Column1.2]])-7)</f>
        <v>" string="0" fret="10" palmMute="1" /&gt;</v>
      </c>
      <c r="F298" s="1" t="s">
        <v>205</v>
      </c>
      <c r="G298" s="1"/>
      <c r="H298" s="1"/>
      <c r="I298" s="1"/>
      <c r="J298" s="1"/>
      <c r="L298" s="2" t="s">
        <v>16</v>
      </c>
      <c r="M298" s="3" t="str">
        <f t="shared" si="16"/>
        <v xml:space="preserve">        &lt;note time="103.562" string="1" fret="5" /&gt;</v>
      </c>
      <c r="N298" s="8" t="str">
        <f>chitar__3[[#This Row],[Column1.14]]</f>
        <v>103.562</v>
      </c>
      <c r="O298" s="4" t="s">
        <v>1413</v>
      </c>
    </row>
    <row r="299" spans="1:15" x14ac:dyDescent="0.45">
      <c r="A299" s="1" t="s">
        <v>16</v>
      </c>
      <c r="B299" s="1">
        <f t="shared" si="17"/>
        <v>103.786</v>
      </c>
      <c r="C299" s="1" t="str">
        <f t="shared" si="18"/>
        <v>103.786</v>
      </c>
      <c r="D299" s="1" t="str">
        <f t="shared" si="19"/>
        <v>103.786</v>
      </c>
      <c r="E299" s="1" t="str">
        <f>RIGHT(chitar__3[[#This Row],[Column1.2]],LEN(chitar__3[[#This Row],[Column1.2]])-7)</f>
        <v>" string="0" fret="10" palmMute="1" /&gt;</v>
      </c>
      <c r="F299" s="1" t="s">
        <v>206</v>
      </c>
      <c r="G299" s="1"/>
      <c r="H299" s="1"/>
      <c r="I299" s="1"/>
      <c r="J299" s="1"/>
      <c r="L299" s="5" t="s">
        <v>16</v>
      </c>
      <c r="M299" s="3" t="str">
        <f t="shared" si="16"/>
        <v xml:space="preserve">        &lt;note time="103.786" string="1" fret="5" /&gt;</v>
      </c>
      <c r="N299" s="8" t="str">
        <f>chitar__3[[#This Row],[Column1.14]]</f>
        <v>103.786</v>
      </c>
      <c r="O299" s="6" t="s">
        <v>1414</v>
      </c>
    </row>
    <row r="300" spans="1:15" x14ac:dyDescent="0.45">
      <c r="A300" s="1" t="s">
        <v>388</v>
      </c>
      <c r="B300" s="1">
        <f t="shared" si="17"/>
        <v>103.919</v>
      </c>
      <c r="C300" s="1" t="str">
        <f t="shared" si="18"/>
        <v>103.919</v>
      </c>
      <c r="D300" s="1" t="str">
        <f t="shared" si="19"/>
        <v>103.919</v>
      </c>
      <c r="E300" s="1" t="str">
        <f>RIGHT(chitar__3[[#This Row],[Column1.2]],LEN(chitar__3[[#This Row],[Column1.2]])-7)</f>
        <v xml:space="preserve">" chordId="4" &gt;&lt;chordNote </v>
      </c>
      <c r="F300" s="1" t="s">
        <v>495</v>
      </c>
      <c r="G300" s="1" t="s">
        <v>841</v>
      </c>
      <c r="H300" s="1" t="s">
        <v>842</v>
      </c>
      <c r="I300" s="1"/>
      <c r="J300" s="1"/>
      <c r="L300" s="2" t="s">
        <v>16</v>
      </c>
      <c r="M300" s="3" t="str">
        <f t="shared" si="16"/>
        <v xml:space="preserve">        &lt;note time="103.919" string="2" fret="5" /&gt;</v>
      </c>
      <c r="N300" s="8" t="str">
        <f>chitar__3[[#This Row],[Column1.14]]</f>
        <v>103.919</v>
      </c>
      <c r="O300" s="4" t="s">
        <v>1415</v>
      </c>
    </row>
    <row r="301" spans="1:15" x14ac:dyDescent="0.45">
      <c r="A301" s="1" t="s">
        <v>388</v>
      </c>
      <c r="B301" s="1">
        <f t="shared" si="17"/>
        <v>104.339</v>
      </c>
      <c r="C301" s="1" t="str">
        <f t="shared" si="18"/>
        <v>104.339</v>
      </c>
      <c r="D301" s="1" t="str">
        <f t="shared" si="19"/>
        <v>104.339</v>
      </c>
      <c r="E301" s="1" t="str">
        <f>RIGHT(chitar__3[[#This Row],[Column1.2]],LEN(chitar__3[[#This Row],[Column1.2]])-7)</f>
        <v xml:space="preserve">" chordId="5" &gt;&lt;chordNote </v>
      </c>
      <c r="F301" s="1" t="s">
        <v>496</v>
      </c>
      <c r="G301" s="1" t="s">
        <v>843</v>
      </c>
      <c r="H301" s="1" t="s">
        <v>844</v>
      </c>
      <c r="I301" s="1"/>
      <c r="J301" s="1"/>
      <c r="L301" s="5" t="s">
        <v>16</v>
      </c>
      <c r="M301" s="3" t="str">
        <f t="shared" ref="M301:M364" si="20">L301&amp;"time="""&amp;N301&amp;RIGHT(O301,LEN(O301)-7)</f>
        <v xml:space="preserve">        &lt;note time="104.339" string="2" fret="3" sustain="0.21" /&gt;</v>
      </c>
      <c r="N301" s="8" t="str">
        <f>chitar__3[[#This Row],[Column1.14]]</f>
        <v>104.339</v>
      </c>
      <c r="O301" s="6" t="s">
        <v>1755</v>
      </c>
    </row>
    <row r="302" spans="1:15" x14ac:dyDescent="0.45">
      <c r="A302" s="1" t="s">
        <v>388</v>
      </c>
      <c r="B302" s="1">
        <f t="shared" si="17"/>
        <v>104.78</v>
      </c>
      <c r="C302" s="1" t="str">
        <f t="shared" si="18"/>
        <v>104.780</v>
      </c>
      <c r="D302" s="1" t="str">
        <f t="shared" si="19"/>
        <v>104.780</v>
      </c>
      <c r="E302" s="1" t="str">
        <f>RIGHT(chitar__3[[#This Row],[Column1.2]],LEN(chitar__3[[#This Row],[Column1.2]])-7)</f>
        <v xml:space="preserve">" chordId="7" &gt;&lt;chordNote </v>
      </c>
      <c r="F302" s="1" t="s">
        <v>497</v>
      </c>
      <c r="G302" s="1" t="s">
        <v>845</v>
      </c>
      <c r="H302" s="1" t="s">
        <v>846</v>
      </c>
      <c r="I302" s="1"/>
      <c r="J302" s="1"/>
      <c r="L302" s="2" t="s">
        <v>16</v>
      </c>
      <c r="M302" s="3" t="str">
        <f t="shared" si="20"/>
        <v xml:space="preserve">        &lt;note time="104.780" string="1" fret="5" /&gt;</v>
      </c>
      <c r="N302" s="8" t="str">
        <f>chitar__3[[#This Row],[Column1.14]]</f>
        <v>104.780</v>
      </c>
      <c r="O302" s="4" t="s">
        <v>1417</v>
      </c>
    </row>
    <row r="303" spans="1:15" x14ac:dyDescent="0.45">
      <c r="A303" s="1" t="s">
        <v>16</v>
      </c>
      <c r="B303" s="1">
        <f t="shared" si="17"/>
        <v>105.009</v>
      </c>
      <c r="C303" s="1" t="str">
        <f t="shared" si="18"/>
        <v>105.009</v>
      </c>
      <c r="D303" s="1" t="str">
        <f t="shared" si="19"/>
        <v>105.009</v>
      </c>
      <c r="E303" s="1" t="str">
        <f>RIGHT(chitar__3[[#This Row],[Column1.2]],LEN(chitar__3[[#This Row],[Column1.2]])-7)</f>
        <v>" string="0" fret="10" palmMute="1" /&gt;</v>
      </c>
      <c r="F303" s="1" t="s">
        <v>207</v>
      </c>
      <c r="G303" s="1"/>
      <c r="H303" s="1"/>
      <c r="I303" s="1"/>
      <c r="J303" s="1"/>
      <c r="L303" s="5" t="s">
        <v>16</v>
      </c>
      <c r="M303" s="3" t="str">
        <f t="shared" si="20"/>
        <v xml:space="preserve">        &lt;note time="105.009" string="1" fret="5" /&gt;</v>
      </c>
      <c r="N303" s="8" t="str">
        <f>chitar__3[[#This Row],[Column1.14]]</f>
        <v>105.009</v>
      </c>
      <c r="O303" s="6" t="s">
        <v>1418</v>
      </c>
    </row>
    <row r="304" spans="1:15" x14ac:dyDescent="0.45">
      <c r="A304" s="1" t="s">
        <v>16</v>
      </c>
      <c r="B304" s="1">
        <f t="shared" si="17"/>
        <v>105.229</v>
      </c>
      <c r="C304" s="1" t="str">
        <f t="shared" si="18"/>
        <v>105.229</v>
      </c>
      <c r="D304" s="1" t="str">
        <f t="shared" si="19"/>
        <v>105.229</v>
      </c>
      <c r="E304" s="1" t="str">
        <f>RIGHT(chitar__3[[#This Row],[Column1.2]],LEN(chitar__3[[#This Row],[Column1.2]])-7)</f>
        <v>" string="0" fret="10" palmMute="1" /&gt;</v>
      </c>
      <c r="F304" s="1" t="s">
        <v>208</v>
      </c>
      <c r="G304" s="1"/>
      <c r="H304" s="1"/>
      <c r="I304" s="1"/>
      <c r="J304" s="1"/>
      <c r="L304" s="2" t="s">
        <v>16</v>
      </c>
      <c r="M304" s="3" t="str">
        <f t="shared" si="20"/>
        <v xml:space="preserve">        &lt;note time="105.229" string="1" fret="5" /&gt;</v>
      </c>
      <c r="N304" s="8" t="str">
        <f>chitar__3[[#This Row],[Column1.14]]</f>
        <v>105.229</v>
      </c>
      <c r="O304" s="4" t="s">
        <v>1419</v>
      </c>
    </row>
    <row r="305" spans="1:15" x14ac:dyDescent="0.45">
      <c r="A305" s="1" t="s">
        <v>16</v>
      </c>
      <c r="B305" s="1">
        <f t="shared" si="17"/>
        <v>105.459</v>
      </c>
      <c r="C305" s="1" t="str">
        <f t="shared" si="18"/>
        <v>105.459</v>
      </c>
      <c r="D305" s="1" t="str">
        <f t="shared" si="19"/>
        <v>105.459</v>
      </c>
      <c r="E305" s="1" t="str">
        <f>RIGHT(chitar__3[[#This Row],[Column1.2]],LEN(chitar__3[[#This Row],[Column1.2]])-7)</f>
        <v>" string="0" fret="10" palmMute="1" /&gt;</v>
      </c>
      <c r="F305" s="1" t="s">
        <v>209</v>
      </c>
      <c r="G305" s="1"/>
      <c r="H305" s="1"/>
      <c r="I305" s="1"/>
      <c r="J305" s="1"/>
      <c r="L305" s="5" t="s">
        <v>16</v>
      </c>
      <c r="M305" s="3" t="str">
        <f t="shared" si="20"/>
        <v xml:space="preserve">        &lt;note time="105.459" string="1" fret="5" /&gt;</v>
      </c>
      <c r="N305" s="8" t="str">
        <f>chitar__3[[#This Row],[Column1.14]]</f>
        <v>105.459</v>
      </c>
      <c r="O305" s="6" t="s">
        <v>1420</v>
      </c>
    </row>
    <row r="306" spans="1:15" x14ac:dyDescent="0.45">
      <c r="A306" s="1" t="s">
        <v>16</v>
      </c>
      <c r="B306" s="1">
        <f t="shared" si="17"/>
        <v>105.685</v>
      </c>
      <c r="C306" s="1" t="str">
        <f t="shared" si="18"/>
        <v>105.685</v>
      </c>
      <c r="D306" s="1" t="str">
        <f t="shared" si="19"/>
        <v>105.685</v>
      </c>
      <c r="E306" s="1" t="str">
        <f>RIGHT(chitar__3[[#This Row],[Column1.2]],LEN(chitar__3[[#This Row],[Column1.2]])-7)</f>
        <v>" string="0" fret="10" palmMute="1" /&gt;</v>
      </c>
      <c r="F306" s="1" t="s">
        <v>210</v>
      </c>
      <c r="G306" s="1"/>
      <c r="H306" s="1"/>
      <c r="I306" s="1"/>
      <c r="J306" s="1"/>
      <c r="L306" s="2" t="s">
        <v>16</v>
      </c>
      <c r="M306" s="3" t="str">
        <f t="shared" si="20"/>
        <v xml:space="preserve">        &lt;note time="105.685" string="1" fret="5" /&gt;</v>
      </c>
      <c r="N306" s="8" t="str">
        <f>chitar__3[[#This Row],[Column1.14]]</f>
        <v>105.685</v>
      </c>
      <c r="O306" s="4" t="s">
        <v>1421</v>
      </c>
    </row>
    <row r="307" spans="1:15" x14ac:dyDescent="0.45">
      <c r="A307" s="1" t="s">
        <v>16</v>
      </c>
      <c r="B307" s="1">
        <f t="shared" si="17"/>
        <v>105.916</v>
      </c>
      <c r="C307" s="1" t="str">
        <f t="shared" si="18"/>
        <v>105.916</v>
      </c>
      <c r="D307" s="1" t="str">
        <f t="shared" si="19"/>
        <v>105.916</v>
      </c>
      <c r="E307" s="1" t="str">
        <f>RIGHT(chitar__3[[#This Row],[Column1.2]],LEN(chitar__3[[#This Row],[Column1.2]])-7)</f>
        <v>" string="0" fret="10" palmMute="1" /&gt;</v>
      </c>
      <c r="F307" s="1" t="s">
        <v>211</v>
      </c>
      <c r="G307" s="1"/>
      <c r="H307" s="1"/>
      <c r="I307" s="1"/>
      <c r="J307" s="1"/>
      <c r="L307" s="5" t="s">
        <v>16</v>
      </c>
      <c r="M307" s="3" t="str">
        <f t="shared" si="20"/>
        <v xml:space="preserve">        &lt;note time="105.916" string="1" fret="5" /&gt;</v>
      </c>
      <c r="N307" s="8" t="str">
        <f>chitar__3[[#This Row],[Column1.14]]</f>
        <v>105.916</v>
      </c>
      <c r="O307" s="6" t="s">
        <v>1422</v>
      </c>
    </row>
    <row r="308" spans="1:15" x14ac:dyDescent="0.45">
      <c r="A308" s="1" t="s">
        <v>16</v>
      </c>
      <c r="B308" s="1">
        <f t="shared" si="17"/>
        <v>106.146</v>
      </c>
      <c r="C308" s="1" t="str">
        <f t="shared" si="18"/>
        <v>106.146</v>
      </c>
      <c r="D308" s="1" t="str">
        <f t="shared" si="19"/>
        <v>106.146</v>
      </c>
      <c r="E308" s="1" t="str">
        <f>RIGHT(chitar__3[[#This Row],[Column1.2]],LEN(chitar__3[[#This Row],[Column1.2]])-7)</f>
        <v>" string="0" fret="10" palmMute="1" /&gt;</v>
      </c>
      <c r="F308" s="1" t="s">
        <v>212</v>
      </c>
      <c r="G308" s="1"/>
      <c r="H308" s="1"/>
      <c r="I308" s="1"/>
      <c r="J308" s="1"/>
      <c r="L308" s="2" t="s">
        <v>16</v>
      </c>
      <c r="M308" s="3" t="str">
        <f t="shared" si="20"/>
        <v xml:space="preserve">        &lt;note time="106.146" string="1" fret="5" /&gt;</v>
      </c>
      <c r="N308" s="8" t="str">
        <f>chitar__3[[#This Row],[Column1.14]]</f>
        <v>106.146</v>
      </c>
      <c r="O308" s="4" t="s">
        <v>1423</v>
      </c>
    </row>
    <row r="309" spans="1:15" x14ac:dyDescent="0.45">
      <c r="A309" s="1" t="s">
        <v>16</v>
      </c>
      <c r="B309" s="1">
        <f t="shared" si="17"/>
        <v>106.38</v>
      </c>
      <c r="C309" s="1" t="str">
        <f t="shared" si="18"/>
        <v>106.380</v>
      </c>
      <c r="D309" s="1" t="str">
        <f t="shared" si="19"/>
        <v>106.380</v>
      </c>
      <c r="E309" s="1" t="str">
        <f>RIGHT(chitar__3[[#This Row],[Column1.2]],LEN(chitar__3[[#This Row],[Column1.2]])-7)</f>
        <v>" string="0" fret="10" palmMute="1" /&gt;</v>
      </c>
      <c r="F309" s="1" t="s">
        <v>213</v>
      </c>
      <c r="G309" s="1"/>
      <c r="H309" s="1"/>
      <c r="I309" s="1"/>
      <c r="J309" s="1"/>
      <c r="L309" s="5" t="s">
        <v>16</v>
      </c>
      <c r="M309" s="3" t="str">
        <f t="shared" si="20"/>
        <v xml:space="preserve">        &lt;note time="106.380" string="1" fret="5" /&gt;</v>
      </c>
      <c r="N309" s="8" t="str">
        <f>chitar__3[[#This Row],[Column1.14]]</f>
        <v>106.380</v>
      </c>
      <c r="O309" s="6" t="s">
        <v>1424</v>
      </c>
    </row>
    <row r="310" spans="1:15" x14ac:dyDescent="0.45">
      <c r="A310" s="1" t="s">
        <v>16</v>
      </c>
      <c r="B310" s="1">
        <f t="shared" si="17"/>
        <v>106.60599999999999</v>
      </c>
      <c r="C310" s="1" t="str">
        <f t="shared" si="18"/>
        <v>106.606</v>
      </c>
      <c r="D310" s="1" t="str">
        <f t="shared" si="19"/>
        <v>106.606</v>
      </c>
      <c r="E310" s="1" t="str">
        <f>RIGHT(chitar__3[[#This Row],[Column1.2]],LEN(chitar__3[[#This Row],[Column1.2]])-7)</f>
        <v>" string="0" fret="10" palmMute="1" /&gt;</v>
      </c>
      <c r="F310" s="1" t="s">
        <v>214</v>
      </c>
      <c r="G310" s="1"/>
      <c r="H310" s="1"/>
      <c r="I310" s="1"/>
      <c r="J310" s="1"/>
      <c r="L310" s="2" t="s">
        <v>16</v>
      </c>
      <c r="M310" s="3" t="str">
        <f t="shared" si="20"/>
        <v xml:space="preserve">        &lt;note time="106.606" string="1" fret="5" /&gt;</v>
      </c>
      <c r="N310" s="8" t="str">
        <f>chitar__3[[#This Row],[Column1.14]]</f>
        <v>106.606</v>
      </c>
      <c r="O310" s="4" t="s">
        <v>1425</v>
      </c>
    </row>
    <row r="311" spans="1:15" x14ac:dyDescent="0.45">
      <c r="A311" s="1" t="s">
        <v>16</v>
      </c>
      <c r="B311" s="1">
        <f t="shared" si="17"/>
        <v>106.83499999999999</v>
      </c>
      <c r="C311" s="1" t="str">
        <f t="shared" si="18"/>
        <v>106.835</v>
      </c>
      <c r="D311" s="1" t="str">
        <f t="shared" si="19"/>
        <v>106.835</v>
      </c>
      <c r="E311" s="1" t="str">
        <f>RIGHT(chitar__3[[#This Row],[Column1.2]],LEN(chitar__3[[#This Row],[Column1.2]])-7)</f>
        <v>" string="0" fret="10" palmMute="1" /&gt;</v>
      </c>
      <c r="F311" s="1" t="s">
        <v>215</v>
      </c>
      <c r="G311" s="1"/>
      <c r="H311" s="1"/>
      <c r="I311" s="1"/>
      <c r="J311" s="1"/>
      <c r="L311" s="5" t="s">
        <v>16</v>
      </c>
      <c r="M311" s="3" t="str">
        <f t="shared" si="20"/>
        <v xml:space="preserve">        &lt;note time="106.835" string="1" fret="5" /&gt;</v>
      </c>
      <c r="N311" s="8" t="str">
        <f>chitar__3[[#This Row],[Column1.14]]</f>
        <v>106.835</v>
      </c>
      <c r="O311" s="6" t="s">
        <v>1426</v>
      </c>
    </row>
    <row r="312" spans="1:15" x14ac:dyDescent="0.45">
      <c r="A312" s="1" t="s">
        <v>16</v>
      </c>
      <c r="B312" s="1">
        <f t="shared" si="17"/>
        <v>107.05500000000001</v>
      </c>
      <c r="C312" s="1" t="str">
        <f t="shared" si="18"/>
        <v>107.055</v>
      </c>
      <c r="D312" s="1" t="str">
        <f t="shared" si="19"/>
        <v>107.055</v>
      </c>
      <c r="E312" s="1" t="str">
        <f>RIGHT(chitar__3[[#This Row],[Column1.2]],LEN(chitar__3[[#This Row],[Column1.2]])-7)</f>
        <v>" string="0" fret="10" palmMute="1" /&gt;</v>
      </c>
      <c r="F312" s="1" t="s">
        <v>216</v>
      </c>
      <c r="G312" s="1"/>
      <c r="H312" s="1"/>
      <c r="I312" s="1"/>
      <c r="J312" s="1"/>
      <c r="L312" s="2" t="s">
        <v>16</v>
      </c>
      <c r="M312" s="3" t="str">
        <f t="shared" si="20"/>
        <v xml:space="preserve">        &lt;note time="107.055" string="1" fret="5" /&gt;</v>
      </c>
      <c r="N312" s="8" t="str">
        <f>chitar__3[[#This Row],[Column1.14]]</f>
        <v>107.055</v>
      </c>
      <c r="O312" s="4" t="s">
        <v>1427</v>
      </c>
    </row>
    <row r="313" spans="1:15" x14ac:dyDescent="0.45">
      <c r="A313" s="1" t="s">
        <v>16</v>
      </c>
      <c r="B313" s="1">
        <f t="shared" si="17"/>
        <v>107.279</v>
      </c>
      <c r="C313" s="1" t="str">
        <f t="shared" si="18"/>
        <v>107.279</v>
      </c>
      <c r="D313" s="1" t="str">
        <f t="shared" si="19"/>
        <v>107.279</v>
      </c>
      <c r="E313" s="1" t="str">
        <f>RIGHT(chitar__3[[#This Row],[Column1.2]],LEN(chitar__3[[#This Row],[Column1.2]])-7)</f>
        <v>" string="0" fret="10" palmMute="1" /&gt;</v>
      </c>
      <c r="F313" s="1" t="s">
        <v>217</v>
      </c>
      <c r="G313" s="1"/>
      <c r="H313" s="1"/>
      <c r="I313" s="1"/>
      <c r="J313" s="1"/>
      <c r="L313" s="5" t="s">
        <v>16</v>
      </c>
      <c r="M313" s="3" t="str">
        <f t="shared" si="20"/>
        <v xml:space="preserve">        &lt;note time="107.279" string="1" fret="5" /&gt;</v>
      </c>
      <c r="N313" s="8" t="str">
        <f>chitar__3[[#This Row],[Column1.14]]</f>
        <v>107.279</v>
      </c>
      <c r="O313" s="6" t="s">
        <v>1428</v>
      </c>
    </row>
    <row r="314" spans="1:15" x14ac:dyDescent="0.45">
      <c r="A314" s="1" t="s">
        <v>388</v>
      </c>
      <c r="B314" s="1">
        <f t="shared" si="17"/>
        <v>107.371</v>
      </c>
      <c r="C314" s="1" t="str">
        <f t="shared" si="18"/>
        <v>107.371</v>
      </c>
      <c r="D314" s="1" t="str">
        <f t="shared" si="19"/>
        <v>107.371</v>
      </c>
      <c r="E314" s="1" t="str">
        <f>RIGHT(chitar__3[[#This Row],[Column1.2]],LEN(chitar__3[[#This Row],[Column1.2]])-7)</f>
        <v xml:space="preserve">" chordId="4" &gt;&lt;chordNote </v>
      </c>
      <c r="F314" s="1" t="s">
        <v>498</v>
      </c>
      <c r="G314" s="1" t="s">
        <v>847</v>
      </c>
      <c r="H314" s="1" t="s">
        <v>848</v>
      </c>
      <c r="I314" s="1"/>
      <c r="J314" s="1"/>
      <c r="L314" s="2" t="s">
        <v>16</v>
      </c>
      <c r="M314" s="3" t="str">
        <f t="shared" si="20"/>
        <v xml:space="preserve">        &lt;note time="107.371" string="2" fret="5" /&gt;</v>
      </c>
      <c r="N314" s="8" t="str">
        <f>chitar__3[[#This Row],[Column1.14]]</f>
        <v>107.371</v>
      </c>
      <c r="O314" s="4" t="s">
        <v>1429</v>
      </c>
    </row>
    <row r="315" spans="1:15" x14ac:dyDescent="0.45">
      <c r="A315" s="1" t="s">
        <v>388</v>
      </c>
      <c r="B315" s="1">
        <f t="shared" si="17"/>
        <v>107.791</v>
      </c>
      <c r="C315" s="1" t="str">
        <f t="shared" si="18"/>
        <v>107.791</v>
      </c>
      <c r="D315" s="1" t="str">
        <f t="shared" si="19"/>
        <v>107.791</v>
      </c>
      <c r="E315" s="1" t="str">
        <f>RIGHT(chitar__3[[#This Row],[Column1.2]],LEN(chitar__3[[#This Row],[Column1.2]])-7)</f>
        <v xml:space="preserve">" chordId="5" &gt;&lt;chordNote </v>
      </c>
      <c r="F315" s="1" t="s">
        <v>499</v>
      </c>
      <c r="G315" s="1" t="s">
        <v>849</v>
      </c>
      <c r="H315" s="1" t="s">
        <v>850</v>
      </c>
      <c r="I315" s="1"/>
      <c r="J315" s="1"/>
      <c r="L315" s="5" t="s">
        <v>16</v>
      </c>
      <c r="M315" s="3" t="str">
        <f t="shared" si="20"/>
        <v xml:space="preserve">        &lt;note time="107.791" string="2" fret="3" sustain="0.21" /&gt;</v>
      </c>
      <c r="N315" s="8" t="str">
        <f>chitar__3[[#This Row],[Column1.14]]</f>
        <v>107.791</v>
      </c>
      <c r="O315" s="6" t="s">
        <v>1756</v>
      </c>
    </row>
    <row r="316" spans="1:15" x14ac:dyDescent="0.45">
      <c r="A316" s="1" t="s">
        <v>388</v>
      </c>
      <c r="B316" s="1">
        <f t="shared" si="17"/>
        <v>108.233</v>
      </c>
      <c r="C316" s="1" t="str">
        <f t="shared" si="18"/>
        <v>108.233</v>
      </c>
      <c r="D316" s="1" t="str">
        <f t="shared" si="19"/>
        <v>108.233</v>
      </c>
      <c r="E316" s="1" t="str">
        <f>RIGHT(chitar__3[[#This Row],[Column1.2]],LEN(chitar__3[[#This Row],[Column1.2]])-7)</f>
        <v xml:space="preserve">" chordId="7" &gt;&lt;chordNote </v>
      </c>
      <c r="F316" s="1" t="s">
        <v>500</v>
      </c>
      <c r="G316" s="1" t="s">
        <v>851</v>
      </c>
      <c r="H316" s="1" t="s">
        <v>852</v>
      </c>
      <c r="I316" s="1"/>
      <c r="J316" s="1"/>
      <c r="L316" s="2" t="s">
        <v>16</v>
      </c>
      <c r="M316" s="3" t="str">
        <f t="shared" si="20"/>
        <v xml:space="preserve">        &lt;note time="108.233" string="1" fret="5" /&gt;</v>
      </c>
      <c r="N316" s="8" t="str">
        <f>chitar__3[[#This Row],[Column1.14]]</f>
        <v>108.233</v>
      </c>
      <c r="O316" s="4" t="s">
        <v>1431</v>
      </c>
    </row>
    <row r="317" spans="1:15" x14ac:dyDescent="0.45">
      <c r="A317" s="1" t="s">
        <v>16</v>
      </c>
      <c r="B317" s="1">
        <f t="shared" si="17"/>
        <v>108.461</v>
      </c>
      <c r="C317" s="1" t="str">
        <f t="shared" si="18"/>
        <v>108.461</v>
      </c>
      <c r="D317" s="1" t="str">
        <f t="shared" si="19"/>
        <v>108.461</v>
      </c>
      <c r="E317" s="1" t="str">
        <f>RIGHT(chitar__3[[#This Row],[Column1.2]],LEN(chitar__3[[#This Row],[Column1.2]])-7)</f>
        <v>" string="0" fret="10" palmMute="1" /&gt;</v>
      </c>
      <c r="F317" s="1" t="s">
        <v>218</v>
      </c>
      <c r="G317" s="1"/>
      <c r="H317" s="1"/>
      <c r="I317" s="1"/>
      <c r="J317" s="1"/>
      <c r="L317" s="5" t="s">
        <v>16</v>
      </c>
      <c r="M317" s="3" t="str">
        <f t="shared" si="20"/>
        <v xml:space="preserve">        &lt;note time="108.461" string="1" fret="5" /&gt;</v>
      </c>
      <c r="N317" s="8" t="str">
        <f>chitar__3[[#This Row],[Column1.14]]</f>
        <v>108.461</v>
      </c>
      <c r="O317" s="6" t="s">
        <v>1432</v>
      </c>
    </row>
    <row r="318" spans="1:15" x14ac:dyDescent="0.45">
      <c r="A318" s="1" t="s">
        <v>16</v>
      </c>
      <c r="B318" s="1">
        <f t="shared" si="17"/>
        <v>108.681</v>
      </c>
      <c r="C318" s="1" t="str">
        <f t="shared" si="18"/>
        <v>108.681</v>
      </c>
      <c r="D318" s="1" t="str">
        <f t="shared" si="19"/>
        <v>108.681</v>
      </c>
      <c r="E318" s="1" t="str">
        <f>RIGHT(chitar__3[[#This Row],[Column1.2]],LEN(chitar__3[[#This Row],[Column1.2]])-7)</f>
        <v>" string="0" fret="10" palmMute="1" /&gt;</v>
      </c>
      <c r="F318" s="1" t="s">
        <v>219</v>
      </c>
      <c r="G318" s="1"/>
      <c r="H318" s="1"/>
      <c r="I318" s="1"/>
      <c r="J318" s="1"/>
      <c r="L318" s="2" t="s">
        <v>16</v>
      </c>
      <c r="M318" s="3" t="str">
        <f t="shared" si="20"/>
        <v xml:space="preserve">        &lt;note time="108.681" string="1" fret="5" /&gt;</v>
      </c>
      <c r="N318" s="8" t="str">
        <f>chitar__3[[#This Row],[Column1.14]]</f>
        <v>108.681</v>
      </c>
      <c r="O318" s="4" t="s">
        <v>1433</v>
      </c>
    </row>
    <row r="319" spans="1:15" x14ac:dyDescent="0.45">
      <c r="A319" s="1" t="s">
        <v>16</v>
      </c>
      <c r="B319" s="1">
        <f t="shared" si="17"/>
        <v>108.911</v>
      </c>
      <c r="C319" s="1" t="str">
        <f t="shared" si="18"/>
        <v>108.911</v>
      </c>
      <c r="D319" s="1" t="str">
        <f t="shared" si="19"/>
        <v>108.911</v>
      </c>
      <c r="E319" s="1" t="str">
        <f>RIGHT(chitar__3[[#This Row],[Column1.2]],LEN(chitar__3[[#This Row],[Column1.2]])-7)</f>
        <v>" string="0" fret="10" palmMute="1" /&gt;</v>
      </c>
      <c r="F319" s="1" t="s">
        <v>220</v>
      </c>
      <c r="G319" s="1"/>
      <c r="H319" s="1"/>
      <c r="I319" s="1"/>
      <c r="J319" s="1"/>
      <c r="L319" s="5" t="s">
        <v>16</v>
      </c>
      <c r="M319" s="3" t="str">
        <f t="shared" si="20"/>
        <v xml:space="preserve">        &lt;note time="108.911" string="1" fret="5" /&gt;</v>
      </c>
      <c r="N319" s="8" t="str">
        <f>chitar__3[[#This Row],[Column1.14]]</f>
        <v>108.911</v>
      </c>
      <c r="O319" s="6" t="s">
        <v>1434</v>
      </c>
    </row>
    <row r="320" spans="1:15" x14ac:dyDescent="0.45">
      <c r="A320" s="1" t="s">
        <v>16</v>
      </c>
      <c r="B320" s="1">
        <f t="shared" si="17"/>
        <v>109.137</v>
      </c>
      <c r="C320" s="1" t="str">
        <f t="shared" si="18"/>
        <v>109.137</v>
      </c>
      <c r="D320" s="1" t="str">
        <f t="shared" si="19"/>
        <v>109.137</v>
      </c>
      <c r="E320" s="1" t="str">
        <f>RIGHT(chitar__3[[#This Row],[Column1.2]],LEN(chitar__3[[#This Row],[Column1.2]])-7)</f>
        <v>" string="0" fret="10" palmMute="1" /&gt;</v>
      </c>
      <c r="F320" s="1" t="s">
        <v>221</v>
      </c>
      <c r="G320" s="1"/>
      <c r="H320" s="1"/>
      <c r="I320" s="1"/>
      <c r="J320" s="1"/>
      <c r="L320" s="2" t="s">
        <v>16</v>
      </c>
      <c r="M320" s="3" t="str">
        <f t="shared" si="20"/>
        <v xml:space="preserve">        &lt;note time="109.137" string="1" fret="5" /&gt;</v>
      </c>
      <c r="N320" s="8" t="str">
        <f>chitar__3[[#This Row],[Column1.14]]</f>
        <v>109.137</v>
      </c>
      <c r="O320" s="4" t="s">
        <v>1435</v>
      </c>
    </row>
    <row r="321" spans="1:15" x14ac:dyDescent="0.45">
      <c r="A321" s="1" t="s">
        <v>16</v>
      </c>
      <c r="B321" s="1">
        <f t="shared" si="17"/>
        <v>109.36799999999999</v>
      </c>
      <c r="C321" s="1" t="str">
        <f t="shared" si="18"/>
        <v>109.368</v>
      </c>
      <c r="D321" s="1" t="str">
        <f t="shared" si="19"/>
        <v>109.368</v>
      </c>
      <c r="E321" s="1" t="str">
        <f>RIGHT(chitar__3[[#This Row],[Column1.2]],LEN(chitar__3[[#This Row],[Column1.2]])-7)</f>
        <v>" string="0" fret="10" palmMute="1" /&gt;</v>
      </c>
      <c r="F321" s="1" t="s">
        <v>222</v>
      </c>
      <c r="G321" s="1"/>
      <c r="H321" s="1"/>
      <c r="I321" s="1"/>
      <c r="J321" s="1"/>
      <c r="L321" s="5" t="s">
        <v>16</v>
      </c>
      <c r="M321" s="3" t="str">
        <f t="shared" si="20"/>
        <v xml:space="preserve">        &lt;note time="109.368" string="1" fret="5" /&gt;</v>
      </c>
      <c r="N321" s="8" t="str">
        <f>chitar__3[[#This Row],[Column1.14]]</f>
        <v>109.368</v>
      </c>
      <c r="O321" s="6" t="s">
        <v>1436</v>
      </c>
    </row>
    <row r="322" spans="1:15" x14ac:dyDescent="0.45">
      <c r="A322" s="1" t="s">
        <v>16</v>
      </c>
      <c r="B322" s="1">
        <f t="shared" si="17"/>
        <v>109.598</v>
      </c>
      <c r="C322" s="1" t="str">
        <f t="shared" si="18"/>
        <v>109.598</v>
      </c>
      <c r="D322" s="1" t="str">
        <f t="shared" si="19"/>
        <v>109.598</v>
      </c>
      <c r="E322" s="1" t="str">
        <f>RIGHT(chitar__3[[#This Row],[Column1.2]],LEN(chitar__3[[#This Row],[Column1.2]])-7)</f>
        <v>" string="0" fret="10" palmMute="1" /&gt;</v>
      </c>
      <c r="F322" s="1" t="s">
        <v>223</v>
      </c>
      <c r="G322" s="1"/>
      <c r="H322" s="1"/>
      <c r="I322" s="1"/>
      <c r="J322" s="1"/>
      <c r="L322" s="2" t="s">
        <v>16</v>
      </c>
      <c r="M322" s="3" t="str">
        <f t="shared" si="20"/>
        <v xml:space="preserve">        &lt;note time="109.598" string="1" fret="5" /&gt;</v>
      </c>
      <c r="N322" s="8" t="str">
        <f>chitar__3[[#This Row],[Column1.14]]</f>
        <v>109.598</v>
      </c>
      <c r="O322" s="4" t="s">
        <v>1437</v>
      </c>
    </row>
    <row r="323" spans="1:15" x14ac:dyDescent="0.45">
      <c r="A323" s="1" t="s">
        <v>16</v>
      </c>
      <c r="B323" s="1">
        <f t="shared" ref="B323:B386" si="21">VALUE(C323)</f>
        <v>109.83</v>
      </c>
      <c r="C323" s="1" t="str">
        <f t="shared" ref="C323:C386" si="22">SUBSTITUTE(D323,"""","")</f>
        <v>109.830</v>
      </c>
      <c r="D323" s="1" t="str">
        <f t="shared" ref="D323:D386" si="23">LEFT(F323,7)</f>
        <v>109.830</v>
      </c>
      <c r="E323" s="1" t="str">
        <f>RIGHT(chitar__3[[#This Row],[Column1.2]],LEN(chitar__3[[#This Row],[Column1.2]])-7)</f>
        <v>" string="0" fret="10" palmMute="1" /&gt;</v>
      </c>
      <c r="F323" s="1" t="s">
        <v>224</v>
      </c>
      <c r="G323" s="1"/>
      <c r="H323" s="1"/>
      <c r="I323" s="1"/>
      <c r="J323" s="1"/>
      <c r="L323" s="5" t="s">
        <v>16</v>
      </c>
      <c r="M323" s="3" t="str">
        <f t="shared" si="20"/>
        <v xml:space="preserve">        &lt;note time="109.830" string="1" fret="5" /&gt;</v>
      </c>
      <c r="N323" s="8" t="str">
        <f>chitar__3[[#This Row],[Column1.14]]</f>
        <v>109.830</v>
      </c>
      <c r="O323" s="6" t="s">
        <v>1438</v>
      </c>
    </row>
    <row r="324" spans="1:15" x14ac:dyDescent="0.45">
      <c r="A324" s="1" t="s">
        <v>16</v>
      </c>
      <c r="B324" s="1">
        <f t="shared" si="21"/>
        <v>110.05800000000001</v>
      </c>
      <c r="C324" s="1" t="str">
        <f t="shared" si="22"/>
        <v>110.058</v>
      </c>
      <c r="D324" s="1" t="str">
        <f t="shared" si="23"/>
        <v>110.058</v>
      </c>
      <c r="E324" s="1" t="str">
        <f>RIGHT(chitar__3[[#This Row],[Column1.2]],LEN(chitar__3[[#This Row],[Column1.2]])-7)</f>
        <v>" string="0" fret="10" palmMute="1" /&gt;</v>
      </c>
      <c r="F324" s="1" t="s">
        <v>225</v>
      </c>
      <c r="G324" s="1"/>
      <c r="H324" s="1"/>
      <c r="I324" s="1"/>
      <c r="J324" s="1"/>
      <c r="L324" s="2" t="s">
        <v>16</v>
      </c>
      <c r="M324" s="3" t="str">
        <f t="shared" si="20"/>
        <v xml:space="preserve">        &lt;note time="110.058" string="1" fret="5" /&gt;</v>
      </c>
      <c r="N324" s="8" t="str">
        <f>chitar__3[[#This Row],[Column1.14]]</f>
        <v>110.058</v>
      </c>
      <c r="O324" s="4" t="s">
        <v>1439</v>
      </c>
    </row>
    <row r="325" spans="1:15" x14ac:dyDescent="0.45">
      <c r="A325" s="1" t="s">
        <v>16</v>
      </c>
      <c r="B325" s="1">
        <f t="shared" si="21"/>
        <v>110.28700000000001</v>
      </c>
      <c r="C325" s="1" t="str">
        <f t="shared" si="22"/>
        <v>110.287</v>
      </c>
      <c r="D325" s="1" t="str">
        <f t="shared" si="23"/>
        <v>110.287</v>
      </c>
      <c r="E325" s="1" t="str">
        <f>RIGHT(chitar__3[[#This Row],[Column1.2]],LEN(chitar__3[[#This Row],[Column1.2]])-7)</f>
        <v>" string="0" fret="10" palmMute="1" /&gt;</v>
      </c>
      <c r="F325" s="1" t="s">
        <v>226</v>
      </c>
      <c r="G325" s="1"/>
      <c r="H325" s="1"/>
      <c r="I325" s="1"/>
      <c r="J325" s="1"/>
      <c r="L325" s="5" t="s">
        <v>16</v>
      </c>
      <c r="M325" s="3" t="str">
        <f t="shared" si="20"/>
        <v xml:space="preserve">        &lt;note time="110.287" string="1" fret="5" /&gt;</v>
      </c>
      <c r="N325" s="8" t="str">
        <f>chitar__3[[#This Row],[Column1.14]]</f>
        <v>110.287</v>
      </c>
      <c r="O325" s="6" t="s">
        <v>1440</v>
      </c>
    </row>
    <row r="326" spans="1:15" x14ac:dyDescent="0.45">
      <c r="A326" s="1" t="s">
        <v>16</v>
      </c>
      <c r="B326" s="1">
        <f t="shared" si="21"/>
        <v>110.50700000000001</v>
      </c>
      <c r="C326" s="1" t="str">
        <f t="shared" si="22"/>
        <v>110.507</v>
      </c>
      <c r="D326" s="1" t="str">
        <f t="shared" si="23"/>
        <v>110.507</v>
      </c>
      <c r="E326" s="1" t="str">
        <f>RIGHT(chitar__3[[#This Row],[Column1.2]],LEN(chitar__3[[#This Row],[Column1.2]])-7)</f>
        <v>" string="0" fret="10" palmMute="1" /&gt;</v>
      </c>
      <c r="F326" s="1" t="s">
        <v>227</v>
      </c>
      <c r="G326" s="1"/>
      <c r="H326" s="1"/>
      <c r="I326" s="1"/>
      <c r="J326" s="1"/>
      <c r="L326" s="2" t="s">
        <v>16</v>
      </c>
      <c r="M326" s="3" t="str">
        <f t="shared" si="20"/>
        <v xml:space="preserve">        &lt;note time="110.507" string="1" fret="5" /&gt;</v>
      </c>
      <c r="N326" s="8" t="str">
        <f>chitar__3[[#This Row],[Column1.14]]</f>
        <v>110.507</v>
      </c>
      <c r="O326" s="4" t="s">
        <v>1441</v>
      </c>
    </row>
    <row r="327" spans="1:15" x14ac:dyDescent="0.45">
      <c r="A327" s="1" t="s">
        <v>16</v>
      </c>
      <c r="B327" s="1">
        <f t="shared" si="21"/>
        <v>110.73</v>
      </c>
      <c r="C327" s="1" t="str">
        <f t="shared" si="22"/>
        <v>110.730</v>
      </c>
      <c r="D327" s="1" t="str">
        <f t="shared" si="23"/>
        <v>110.730</v>
      </c>
      <c r="E327" s="1" t="str">
        <f>RIGHT(chitar__3[[#This Row],[Column1.2]],LEN(chitar__3[[#This Row],[Column1.2]])-7)</f>
        <v>" string="0" fret="10" palmMute="1" /&gt;</v>
      </c>
      <c r="F327" s="1" t="s">
        <v>228</v>
      </c>
      <c r="G327" s="1"/>
      <c r="H327" s="1"/>
      <c r="I327" s="1"/>
      <c r="J327" s="1"/>
      <c r="L327" s="5" t="s">
        <v>16</v>
      </c>
      <c r="M327" s="3" t="str">
        <f t="shared" si="20"/>
        <v xml:space="preserve">        &lt;note time="110.730" string="1" fret="5" /&gt;</v>
      </c>
      <c r="N327" s="8" t="str">
        <f>chitar__3[[#This Row],[Column1.14]]</f>
        <v>110.730</v>
      </c>
      <c r="O327" s="6" t="s">
        <v>1442</v>
      </c>
    </row>
    <row r="328" spans="1:15" x14ac:dyDescent="0.45">
      <c r="A328" s="1" t="s">
        <v>388</v>
      </c>
      <c r="B328" s="1">
        <f t="shared" si="21"/>
        <v>110.82599999999999</v>
      </c>
      <c r="C328" s="1" t="str">
        <f t="shared" si="22"/>
        <v>110.826</v>
      </c>
      <c r="D328" s="1" t="str">
        <f t="shared" si="23"/>
        <v>110.826</v>
      </c>
      <c r="E328" s="1" t="str">
        <f>RIGHT(chitar__3[[#This Row],[Column1.2]],LEN(chitar__3[[#This Row],[Column1.2]])-7)</f>
        <v xml:space="preserve">" chordId="4" &gt;&lt;chordNote </v>
      </c>
      <c r="F328" s="1" t="s">
        <v>501</v>
      </c>
      <c r="G328" s="1" t="s">
        <v>853</v>
      </c>
      <c r="H328" s="1" t="s">
        <v>854</v>
      </c>
      <c r="I328" s="1"/>
      <c r="J328" s="1"/>
      <c r="L328" s="2" t="s">
        <v>16</v>
      </c>
      <c r="M328" s="3" t="str">
        <f t="shared" si="20"/>
        <v xml:space="preserve">        &lt;note time="110.826" string="2" fret="5" /&gt;</v>
      </c>
      <c r="N328" s="8" t="str">
        <f>chitar__3[[#This Row],[Column1.14]]</f>
        <v>110.826</v>
      </c>
      <c r="O328" s="4" t="s">
        <v>1443</v>
      </c>
    </row>
    <row r="329" spans="1:15" x14ac:dyDescent="0.45">
      <c r="A329" s="1" t="s">
        <v>388</v>
      </c>
      <c r="B329" s="1">
        <f t="shared" si="21"/>
        <v>111.246</v>
      </c>
      <c r="C329" s="1" t="str">
        <f t="shared" si="22"/>
        <v>111.246</v>
      </c>
      <c r="D329" s="1" t="str">
        <f t="shared" si="23"/>
        <v>111.246</v>
      </c>
      <c r="E329" s="1" t="str">
        <f>RIGHT(chitar__3[[#This Row],[Column1.2]],LEN(chitar__3[[#This Row],[Column1.2]])-7)</f>
        <v xml:space="preserve">" chordId="5" &gt;&lt;chordNote </v>
      </c>
      <c r="F329" s="1" t="s">
        <v>502</v>
      </c>
      <c r="G329" s="1" t="s">
        <v>855</v>
      </c>
      <c r="H329" s="1" t="s">
        <v>856</v>
      </c>
      <c r="I329" s="1"/>
      <c r="J329" s="1"/>
      <c r="L329" s="5" t="s">
        <v>16</v>
      </c>
      <c r="M329" s="3" t="str">
        <f t="shared" si="20"/>
        <v xml:space="preserve">        &lt;note time="111.246" string="2" fret="3" sustain="0.21" /&gt;</v>
      </c>
      <c r="N329" s="8" t="str">
        <f>chitar__3[[#This Row],[Column1.14]]</f>
        <v>111.246</v>
      </c>
      <c r="O329" s="6" t="s">
        <v>1757</v>
      </c>
    </row>
    <row r="330" spans="1:15" x14ac:dyDescent="0.45">
      <c r="A330" s="1" t="s">
        <v>388</v>
      </c>
      <c r="B330" s="1">
        <f t="shared" si="21"/>
        <v>111.687</v>
      </c>
      <c r="C330" s="1" t="str">
        <f t="shared" si="22"/>
        <v>111.687</v>
      </c>
      <c r="D330" s="1" t="str">
        <f t="shared" si="23"/>
        <v>111.687</v>
      </c>
      <c r="E330" s="1" t="str">
        <f>RIGHT(chitar__3[[#This Row],[Column1.2]],LEN(chitar__3[[#This Row],[Column1.2]])-7)</f>
        <v xml:space="preserve">" chordId="7" &gt;&lt;chordNote </v>
      </c>
      <c r="F330" s="1" t="s">
        <v>503</v>
      </c>
      <c r="G330" s="1" t="s">
        <v>857</v>
      </c>
      <c r="H330" s="1" t="s">
        <v>858</v>
      </c>
      <c r="I330" s="1"/>
      <c r="J330" s="1"/>
      <c r="L330" s="2" t="s">
        <v>16</v>
      </c>
      <c r="M330" s="3" t="str">
        <f t="shared" si="20"/>
        <v xml:space="preserve">        &lt;note time="111.687" string="1" fret="5" /&gt;</v>
      </c>
      <c r="N330" s="8" t="str">
        <f>chitar__3[[#This Row],[Column1.14]]</f>
        <v>111.687</v>
      </c>
      <c r="O330" s="4" t="s">
        <v>1445</v>
      </c>
    </row>
    <row r="331" spans="1:15" x14ac:dyDescent="0.45">
      <c r="A331" s="1" t="s">
        <v>16</v>
      </c>
      <c r="B331" s="1">
        <f t="shared" si="21"/>
        <v>111.916</v>
      </c>
      <c r="C331" s="1" t="str">
        <f t="shared" si="22"/>
        <v>111.916</v>
      </c>
      <c r="D331" s="1" t="str">
        <f t="shared" si="23"/>
        <v>111.916</v>
      </c>
      <c r="E331" s="1" t="str">
        <f>RIGHT(chitar__3[[#This Row],[Column1.2]],LEN(chitar__3[[#This Row],[Column1.2]])-7)</f>
        <v>" string="0" fret="10" palmMute="1" /&gt;</v>
      </c>
      <c r="F331" s="1" t="s">
        <v>229</v>
      </c>
      <c r="G331" s="1"/>
      <c r="H331" s="1"/>
      <c r="I331" s="1"/>
      <c r="J331" s="1"/>
      <c r="L331" s="5" t="s">
        <v>16</v>
      </c>
      <c r="M331" s="3" t="str">
        <f t="shared" si="20"/>
        <v xml:space="preserve">        &lt;note time="111.916" string="1" fret="5" /&gt;</v>
      </c>
      <c r="N331" s="8" t="str">
        <f>chitar__3[[#This Row],[Column1.14]]</f>
        <v>111.916</v>
      </c>
      <c r="O331" s="6" t="s">
        <v>1446</v>
      </c>
    </row>
    <row r="332" spans="1:15" x14ac:dyDescent="0.45">
      <c r="A332" s="1" t="s">
        <v>16</v>
      </c>
      <c r="B332" s="1">
        <f t="shared" si="21"/>
        <v>112.136</v>
      </c>
      <c r="C332" s="1" t="str">
        <f t="shared" si="22"/>
        <v>112.136</v>
      </c>
      <c r="D332" s="1" t="str">
        <f t="shared" si="23"/>
        <v>112.136</v>
      </c>
      <c r="E332" s="1" t="str">
        <f>RIGHT(chitar__3[[#This Row],[Column1.2]],LEN(chitar__3[[#This Row],[Column1.2]])-7)</f>
        <v>" string="0" fret="10" palmMute="1" /&gt;</v>
      </c>
      <c r="F332" s="1" t="s">
        <v>230</v>
      </c>
      <c r="G332" s="1"/>
      <c r="H332" s="1"/>
      <c r="I332" s="1"/>
      <c r="J332" s="1"/>
      <c r="L332" s="2" t="s">
        <v>16</v>
      </c>
      <c r="M332" s="3" t="str">
        <f t="shared" si="20"/>
        <v xml:space="preserve">        &lt;note time="112.136" string="1" fret="5" /&gt;</v>
      </c>
      <c r="N332" s="8" t="str">
        <f>chitar__3[[#This Row],[Column1.14]]</f>
        <v>112.136</v>
      </c>
      <c r="O332" s="4" t="s">
        <v>1447</v>
      </c>
    </row>
    <row r="333" spans="1:15" x14ac:dyDescent="0.45">
      <c r="A333" s="1" t="s">
        <v>16</v>
      </c>
      <c r="B333" s="1">
        <f t="shared" si="21"/>
        <v>112.366</v>
      </c>
      <c r="C333" s="1" t="str">
        <f t="shared" si="22"/>
        <v>112.366</v>
      </c>
      <c r="D333" s="1" t="str">
        <f t="shared" si="23"/>
        <v>112.366</v>
      </c>
      <c r="E333" s="1" t="str">
        <f>RIGHT(chitar__3[[#This Row],[Column1.2]],LEN(chitar__3[[#This Row],[Column1.2]])-7)</f>
        <v>" string="0" fret="10" palmMute="1" /&gt;</v>
      </c>
      <c r="F333" s="1" t="s">
        <v>231</v>
      </c>
      <c r="G333" s="1"/>
      <c r="H333" s="1"/>
      <c r="I333" s="1"/>
      <c r="J333" s="1"/>
      <c r="L333" s="5" t="s">
        <v>16</v>
      </c>
      <c r="M333" s="3" t="str">
        <f t="shared" si="20"/>
        <v xml:space="preserve">        &lt;note time="112.366" string="1" fret="5" /&gt;</v>
      </c>
      <c r="N333" s="8" t="str">
        <f>chitar__3[[#This Row],[Column1.14]]</f>
        <v>112.366</v>
      </c>
      <c r="O333" s="6" t="s">
        <v>1448</v>
      </c>
    </row>
    <row r="334" spans="1:15" x14ac:dyDescent="0.45">
      <c r="A334" s="1" t="s">
        <v>16</v>
      </c>
      <c r="B334" s="1">
        <f t="shared" si="21"/>
        <v>112.592</v>
      </c>
      <c r="C334" s="1" t="str">
        <f t="shared" si="22"/>
        <v>112.592</v>
      </c>
      <c r="D334" s="1" t="str">
        <f t="shared" si="23"/>
        <v>112.592</v>
      </c>
      <c r="E334" s="1" t="str">
        <f>RIGHT(chitar__3[[#This Row],[Column1.2]],LEN(chitar__3[[#This Row],[Column1.2]])-7)</f>
        <v>" string="0" fret="10" palmMute="1" /&gt;</v>
      </c>
      <c r="F334" s="1" t="s">
        <v>232</v>
      </c>
      <c r="G334" s="1"/>
      <c r="H334" s="1"/>
      <c r="I334" s="1"/>
      <c r="J334" s="1"/>
      <c r="L334" s="2" t="s">
        <v>16</v>
      </c>
      <c r="M334" s="3" t="str">
        <f t="shared" si="20"/>
        <v xml:space="preserve">        &lt;note time="112.592" string="1" fret="5" /&gt;</v>
      </c>
      <c r="N334" s="8" t="str">
        <f>chitar__3[[#This Row],[Column1.14]]</f>
        <v>112.592</v>
      </c>
      <c r="O334" s="4" t="s">
        <v>1449</v>
      </c>
    </row>
    <row r="335" spans="1:15" x14ac:dyDescent="0.45">
      <c r="A335" s="1" t="s">
        <v>16</v>
      </c>
      <c r="B335" s="1">
        <f t="shared" si="21"/>
        <v>112.82299999999999</v>
      </c>
      <c r="C335" s="1" t="str">
        <f t="shared" si="22"/>
        <v>112.823</v>
      </c>
      <c r="D335" s="1" t="str">
        <f t="shared" si="23"/>
        <v>112.823</v>
      </c>
      <c r="E335" s="1" t="str">
        <f>RIGHT(chitar__3[[#This Row],[Column1.2]],LEN(chitar__3[[#This Row],[Column1.2]])-7)</f>
        <v>" string="0" fret="10" palmMute="1" /&gt;</v>
      </c>
      <c r="F335" s="1" t="s">
        <v>233</v>
      </c>
      <c r="G335" s="1"/>
      <c r="H335" s="1"/>
      <c r="I335" s="1"/>
      <c r="J335" s="1"/>
      <c r="L335" s="5" t="s">
        <v>16</v>
      </c>
      <c r="M335" s="3" t="str">
        <f t="shared" si="20"/>
        <v xml:space="preserve">        &lt;note time="112.823" string="1" fret="5" /&gt;</v>
      </c>
      <c r="N335" s="8" t="str">
        <f>chitar__3[[#This Row],[Column1.14]]</f>
        <v>112.823</v>
      </c>
      <c r="O335" s="6" t="s">
        <v>1450</v>
      </c>
    </row>
    <row r="336" spans="1:15" x14ac:dyDescent="0.45">
      <c r="A336" s="1" t="s">
        <v>16</v>
      </c>
      <c r="B336" s="1">
        <f t="shared" si="21"/>
        <v>113.053</v>
      </c>
      <c r="C336" s="1" t="str">
        <f t="shared" si="22"/>
        <v>113.053</v>
      </c>
      <c r="D336" s="1" t="str">
        <f t="shared" si="23"/>
        <v>113.053</v>
      </c>
      <c r="E336" s="1" t="str">
        <f>RIGHT(chitar__3[[#This Row],[Column1.2]],LEN(chitar__3[[#This Row],[Column1.2]])-7)</f>
        <v>" string="0" fret="10" palmMute="1" /&gt;</v>
      </c>
      <c r="F336" s="1" t="s">
        <v>234</v>
      </c>
      <c r="G336" s="1"/>
      <c r="H336" s="1"/>
      <c r="I336" s="1"/>
      <c r="J336" s="1"/>
      <c r="L336" s="2" t="s">
        <v>16</v>
      </c>
      <c r="M336" s="3" t="str">
        <f t="shared" si="20"/>
        <v xml:space="preserve">        &lt;note time="113.053" string="1" fret="5" /&gt;</v>
      </c>
      <c r="N336" s="8" t="str">
        <f>chitar__3[[#This Row],[Column1.14]]</f>
        <v>113.053</v>
      </c>
      <c r="O336" s="4" t="s">
        <v>1451</v>
      </c>
    </row>
    <row r="337" spans="1:15" x14ac:dyDescent="0.45">
      <c r="A337" s="1" t="s">
        <v>16</v>
      </c>
      <c r="B337" s="1">
        <f t="shared" si="21"/>
        <v>113.285</v>
      </c>
      <c r="C337" s="1" t="str">
        <f t="shared" si="22"/>
        <v>113.285</v>
      </c>
      <c r="D337" s="1" t="str">
        <f t="shared" si="23"/>
        <v>113.285</v>
      </c>
      <c r="E337" s="1" t="str">
        <f>RIGHT(chitar__3[[#This Row],[Column1.2]],LEN(chitar__3[[#This Row],[Column1.2]])-7)</f>
        <v>" string="0" fret="10" palmMute="1" /&gt;</v>
      </c>
      <c r="F337" s="1" t="s">
        <v>235</v>
      </c>
      <c r="G337" s="1"/>
      <c r="H337" s="1"/>
      <c r="I337" s="1"/>
      <c r="J337" s="1"/>
      <c r="L337" s="5" t="s">
        <v>16</v>
      </c>
      <c r="M337" s="3" t="str">
        <f t="shared" si="20"/>
        <v xml:space="preserve">        &lt;note time="113.285" string="1" fret="5" /&gt;</v>
      </c>
      <c r="N337" s="8" t="str">
        <f>chitar__3[[#This Row],[Column1.14]]</f>
        <v>113.285</v>
      </c>
      <c r="O337" s="6" t="s">
        <v>1452</v>
      </c>
    </row>
    <row r="338" spans="1:15" x14ac:dyDescent="0.45">
      <c r="A338" s="1" t="s">
        <v>16</v>
      </c>
      <c r="B338" s="1">
        <f t="shared" si="21"/>
        <v>113.51300000000001</v>
      </c>
      <c r="C338" s="1" t="str">
        <f t="shared" si="22"/>
        <v>113.513</v>
      </c>
      <c r="D338" s="1" t="str">
        <f t="shared" si="23"/>
        <v>113.513</v>
      </c>
      <c r="E338" s="1" t="str">
        <f>RIGHT(chitar__3[[#This Row],[Column1.2]],LEN(chitar__3[[#This Row],[Column1.2]])-7)</f>
        <v>" string="0" fret="10" palmMute="1" /&gt;</v>
      </c>
      <c r="F338" s="1" t="s">
        <v>236</v>
      </c>
      <c r="G338" s="1"/>
      <c r="H338" s="1"/>
      <c r="I338" s="1"/>
      <c r="J338" s="1"/>
      <c r="L338" s="2" t="s">
        <v>16</v>
      </c>
      <c r="M338" s="3" t="str">
        <f t="shared" si="20"/>
        <v xml:space="preserve">        &lt;note time="113.513" string="1" fret="5" /&gt;</v>
      </c>
      <c r="N338" s="8" t="str">
        <f>chitar__3[[#This Row],[Column1.14]]</f>
        <v>113.513</v>
      </c>
      <c r="O338" s="4" t="s">
        <v>1453</v>
      </c>
    </row>
    <row r="339" spans="1:15" x14ac:dyDescent="0.45">
      <c r="A339" s="1" t="s">
        <v>16</v>
      </c>
      <c r="B339" s="1">
        <f t="shared" si="21"/>
        <v>113.742</v>
      </c>
      <c r="C339" s="1" t="str">
        <f t="shared" si="22"/>
        <v>113.742</v>
      </c>
      <c r="D339" s="1" t="str">
        <f t="shared" si="23"/>
        <v>113.742</v>
      </c>
      <c r="E339" s="1" t="str">
        <f>RIGHT(chitar__3[[#This Row],[Column1.2]],LEN(chitar__3[[#This Row],[Column1.2]])-7)</f>
        <v>" string="0" fret="10" palmMute="1" /&gt;</v>
      </c>
      <c r="F339" s="1" t="s">
        <v>237</v>
      </c>
      <c r="G339" s="1"/>
      <c r="H339" s="1"/>
      <c r="I339" s="1"/>
      <c r="J339" s="1"/>
      <c r="L339" s="5" t="s">
        <v>16</v>
      </c>
      <c r="M339" s="3" t="str">
        <f t="shared" si="20"/>
        <v xml:space="preserve">        &lt;note time="113.742" string="1" fret="5" /&gt;</v>
      </c>
      <c r="N339" s="8" t="str">
        <f>chitar__3[[#This Row],[Column1.14]]</f>
        <v>113.742</v>
      </c>
      <c r="O339" s="6" t="s">
        <v>1454</v>
      </c>
    </row>
    <row r="340" spans="1:15" x14ac:dyDescent="0.45">
      <c r="A340" s="1" t="s">
        <v>16</v>
      </c>
      <c r="B340" s="1">
        <f t="shared" si="21"/>
        <v>113.962</v>
      </c>
      <c r="C340" s="1" t="str">
        <f t="shared" si="22"/>
        <v>113.962</v>
      </c>
      <c r="D340" s="1" t="str">
        <f t="shared" si="23"/>
        <v>113.962</v>
      </c>
      <c r="E340" s="1" t="str">
        <f>RIGHT(chitar__3[[#This Row],[Column1.2]],LEN(chitar__3[[#This Row],[Column1.2]])-7)</f>
        <v>" string="0" fret="10" palmMute="1" /&gt;</v>
      </c>
      <c r="F340" s="1" t="s">
        <v>238</v>
      </c>
      <c r="G340" s="1"/>
      <c r="H340" s="1"/>
      <c r="I340" s="1"/>
      <c r="J340" s="1"/>
      <c r="L340" s="2" t="s">
        <v>16</v>
      </c>
      <c r="M340" s="3" t="str">
        <f t="shared" si="20"/>
        <v xml:space="preserve">        &lt;note time="113.962" string="1" fret="5" /&gt;</v>
      </c>
      <c r="N340" s="8" t="str">
        <f>chitar__3[[#This Row],[Column1.14]]</f>
        <v>113.962</v>
      </c>
      <c r="O340" s="4" t="s">
        <v>1455</v>
      </c>
    </row>
    <row r="341" spans="1:15" x14ac:dyDescent="0.45">
      <c r="A341" s="1" t="s">
        <v>16</v>
      </c>
      <c r="B341" s="1">
        <f t="shared" si="21"/>
        <v>114.18600000000001</v>
      </c>
      <c r="C341" s="1" t="str">
        <f t="shared" si="22"/>
        <v>114.186</v>
      </c>
      <c r="D341" s="1" t="str">
        <f t="shared" si="23"/>
        <v>114.186</v>
      </c>
      <c r="E341" s="1" t="str">
        <f>RIGHT(chitar__3[[#This Row],[Column1.2]],LEN(chitar__3[[#This Row],[Column1.2]])-7)</f>
        <v>" string="0" fret="10" palmMute="1" /&gt;</v>
      </c>
      <c r="F341" s="1" t="s">
        <v>239</v>
      </c>
      <c r="G341" s="1"/>
      <c r="H341" s="1"/>
      <c r="I341" s="1"/>
      <c r="J341" s="1"/>
      <c r="L341" s="5" t="s">
        <v>16</v>
      </c>
      <c r="M341" s="3" t="str">
        <f t="shared" si="20"/>
        <v xml:space="preserve">        &lt;note time="114.186" string="1" fret="5" /&gt;</v>
      </c>
      <c r="N341" s="8" t="str">
        <f>chitar__3[[#This Row],[Column1.14]]</f>
        <v>114.186</v>
      </c>
      <c r="O341" s="6" t="s">
        <v>1456</v>
      </c>
    </row>
    <row r="342" spans="1:15" x14ac:dyDescent="0.45">
      <c r="A342" s="1" t="s">
        <v>388</v>
      </c>
      <c r="B342" s="1">
        <f t="shared" si="21"/>
        <v>114.333</v>
      </c>
      <c r="C342" s="1" t="str">
        <f t="shared" si="22"/>
        <v>114.333</v>
      </c>
      <c r="D342" s="1" t="str">
        <f t="shared" si="23"/>
        <v>114.333</v>
      </c>
      <c r="E342" s="1" t="str">
        <f>RIGHT(chitar__3[[#This Row],[Column1.2]],LEN(chitar__3[[#This Row],[Column1.2]])-7)</f>
        <v xml:space="preserve">" chordId="4" &gt;&lt;chordNote </v>
      </c>
      <c r="F342" s="1" t="s">
        <v>504</v>
      </c>
      <c r="G342" s="1" t="s">
        <v>859</v>
      </c>
      <c r="H342" s="1" t="s">
        <v>860</v>
      </c>
      <c r="I342" s="1"/>
      <c r="J342" s="1"/>
      <c r="L342" s="2" t="s">
        <v>16</v>
      </c>
      <c r="M342" s="3" t="str">
        <f t="shared" si="20"/>
        <v xml:space="preserve">        &lt;note time="114.333" string="2" fret="5" /&gt;</v>
      </c>
      <c r="N342" s="8" t="str">
        <f>chitar__3[[#This Row],[Column1.14]]</f>
        <v>114.333</v>
      </c>
      <c r="O342" s="4" t="s">
        <v>1457</v>
      </c>
    </row>
    <row r="343" spans="1:15" x14ac:dyDescent="0.45">
      <c r="A343" s="1" t="s">
        <v>388</v>
      </c>
      <c r="B343" s="1">
        <f t="shared" si="21"/>
        <v>114.71299999999999</v>
      </c>
      <c r="C343" s="1" t="str">
        <f t="shared" si="22"/>
        <v>114.713</v>
      </c>
      <c r="D343" s="1" t="str">
        <f t="shared" si="23"/>
        <v>114.713</v>
      </c>
      <c r="E343" s="1" t="str">
        <f>RIGHT(chitar__3[[#This Row],[Column1.2]],LEN(chitar__3[[#This Row],[Column1.2]])-7)</f>
        <v xml:space="preserve">" chordId="5" &gt;&lt;chordNote </v>
      </c>
      <c r="F343" s="1" t="s">
        <v>505</v>
      </c>
      <c r="G343" s="1" t="s">
        <v>861</v>
      </c>
      <c r="H343" s="1" t="s">
        <v>862</v>
      </c>
      <c r="I343" s="1"/>
      <c r="J343" s="1"/>
      <c r="L343" s="5" t="s">
        <v>16</v>
      </c>
      <c r="M343" s="3" t="str">
        <f t="shared" si="20"/>
        <v xml:space="preserve">        &lt;note time="114.713" string="2" fret="3" sustain="0.21" /&gt;</v>
      </c>
      <c r="N343" s="8" t="str">
        <f>chitar__3[[#This Row],[Column1.14]]</f>
        <v>114.713</v>
      </c>
      <c r="O343" s="6" t="s">
        <v>1758</v>
      </c>
    </row>
    <row r="344" spans="1:15" x14ac:dyDescent="0.45">
      <c r="A344" s="1" t="s">
        <v>388</v>
      </c>
      <c r="B344" s="1">
        <f t="shared" si="21"/>
        <v>115.154</v>
      </c>
      <c r="C344" s="1" t="str">
        <f t="shared" si="22"/>
        <v>115.154</v>
      </c>
      <c r="D344" s="1" t="str">
        <f t="shared" si="23"/>
        <v>115.154</v>
      </c>
      <c r="E344" s="1" t="str">
        <f>RIGHT(chitar__3[[#This Row],[Column1.2]],LEN(chitar__3[[#This Row],[Column1.2]])-7)</f>
        <v xml:space="preserve">" chordId="7" &gt;&lt;chordNote </v>
      </c>
      <c r="F344" s="1" t="s">
        <v>506</v>
      </c>
      <c r="G344" s="1" t="s">
        <v>863</v>
      </c>
      <c r="H344" s="1" t="s">
        <v>864</v>
      </c>
      <c r="I344" s="1"/>
      <c r="J344" s="1"/>
      <c r="L344" s="2" t="s">
        <v>16</v>
      </c>
      <c r="M344" s="3" t="str">
        <f t="shared" si="20"/>
        <v xml:space="preserve">        &lt;note time="115.154" string="1" fret="5" /&gt;</v>
      </c>
      <c r="N344" s="8" t="str">
        <f>chitar__3[[#This Row],[Column1.14]]</f>
        <v>115.154</v>
      </c>
      <c r="O344" s="4" t="s">
        <v>1459</v>
      </c>
    </row>
    <row r="345" spans="1:15" x14ac:dyDescent="0.45">
      <c r="A345" s="1" t="s">
        <v>16</v>
      </c>
      <c r="B345" s="1">
        <f t="shared" si="21"/>
        <v>115.383</v>
      </c>
      <c r="C345" s="1" t="str">
        <f t="shared" si="22"/>
        <v>115.383</v>
      </c>
      <c r="D345" s="1" t="str">
        <f t="shared" si="23"/>
        <v>115.383</v>
      </c>
      <c r="E345" s="1" t="str">
        <f>RIGHT(chitar__3[[#This Row],[Column1.2]],LEN(chitar__3[[#This Row],[Column1.2]])-7)</f>
        <v>" string="0" fret="10" palmMute="1" /&gt;</v>
      </c>
      <c r="F345" s="1" t="s">
        <v>240</v>
      </c>
      <c r="G345" s="1"/>
      <c r="H345" s="1"/>
      <c r="I345" s="1"/>
      <c r="J345" s="1"/>
      <c r="L345" s="5" t="s">
        <v>16</v>
      </c>
      <c r="M345" s="3" t="str">
        <f t="shared" si="20"/>
        <v xml:space="preserve">        &lt;note time="115.383" string="1" fret="5" /&gt;</v>
      </c>
      <c r="N345" s="8" t="str">
        <f>chitar__3[[#This Row],[Column1.14]]</f>
        <v>115.383</v>
      </c>
      <c r="O345" s="6" t="s">
        <v>1460</v>
      </c>
    </row>
    <row r="346" spans="1:15" x14ac:dyDescent="0.45">
      <c r="A346" s="1" t="s">
        <v>16</v>
      </c>
      <c r="B346" s="1">
        <f t="shared" si="21"/>
        <v>115.60299999999999</v>
      </c>
      <c r="C346" s="1" t="str">
        <f t="shared" si="22"/>
        <v>115.603</v>
      </c>
      <c r="D346" s="1" t="str">
        <f t="shared" si="23"/>
        <v>115.603</v>
      </c>
      <c r="E346" s="1" t="str">
        <f>RIGHT(chitar__3[[#This Row],[Column1.2]],LEN(chitar__3[[#This Row],[Column1.2]])-7)</f>
        <v>" string="0" fret="10" palmMute="1" /&gt;</v>
      </c>
      <c r="F346" s="1" t="s">
        <v>241</v>
      </c>
      <c r="G346" s="1"/>
      <c r="H346" s="1"/>
      <c r="I346" s="1"/>
      <c r="J346" s="1"/>
      <c r="L346" s="2" t="s">
        <v>16</v>
      </c>
      <c r="M346" s="3" t="str">
        <f t="shared" si="20"/>
        <v xml:space="preserve">        &lt;note time="115.603" string="1" fret="5" /&gt;</v>
      </c>
      <c r="N346" s="8" t="str">
        <f>chitar__3[[#This Row],[Column1.14]]</f>
        <v>115.603</v>
      </c>
      <c r="O346" s="4" t="s">
        <v>1461</v>
      </c>
    </row>
    <row r="347" spans="1:15" x14ac:dyDescent="0.45">
      <c r="A347" s="1" t="s">
        <v>16</v>
      </c>
      <c r="B347" s="1">
        <f t="shared" si="21"/>
        <v>115.83499999999999</v>
      </c>
      <c r="C347" s="1" t="str">
        <f t="shared" si="22"/>
        <v>115.835</v>
      </c>
      <c r="D347" s="1" t="str">
        <f t="shared" si="23"/>
        <v>115.835</v>
      </c>
      <c r="E347" s="1" t="str">
        <f>RIGHT(chitar__3[[#This Row],[Column1.2]],LEN(chitar__3[[#This Row],[Column1.2]])-7)</f>
        <v>" string="0" fret="10" palmMute="1" /&gt;</v>
      </c>
      <c r="F347" s="1" t="s">
        <v>242</v>
      </c>
      <c r="G347" s="1"/>
      <c r="H347" s="1"/>
      <c r="I347" s="1"/>
      <c r="J347" s="1"/>
      <c r="L347" s="5" t="s">
        <v>16</v>
      </c>
      <c r="M347" s="3" t="str">
        <f t="shared" si="20"/>
        <v xml:space="preserve">        &lt;note time="115.835" string="1" fret="5" /&gt;</v>
      </c>
      <c r="N347" s="8" t="str">
        <f>chitar__3[[#This Row],[Column1.14]]</f>
        <v>115.835</v>
      </c>
      <c r="O347" s="6" t="s">
        <v>1462</v>
      </c>
    </row>
    <row r="348" spans="1:15" x14ac:dyDescent="0.45">
      <c r="A348" s="1" t="s">
        <v>388</v>
      </c>
      <c r="B348" s="1">
        <f t="shared" si="21"/>
        <v>116.05800000000001</v>
      </c>
      <c r="C348" s="1" t="str">
        <f t="shared" si="22"/>
        <v>116.058</v>
      </c>
      <c r="D348" s="1" t="str">
        <f t="shared" si="23"/>
        <v>116.058</v>
      </c>
      <c r="E348" s="1" t="str">
        <f>RIGHT(chitar__3[[#This Row],[Column1.2]],LEN(chitar__3[[#This Row],[Column1.2]])-7)</f>
        <v xml:space="preserve">" chordId="4" &gt;&lt;chordNote </v>
      </c>
      <c r="F348" s="1" t="s">
        <v>507</v>
      </c>
      <c r="G348" s="1" t="s">
        <v>865</v>
      </c>
      <c r="H348" s="1" t="s">
        <v>866</v>
      </c>
      <c r="I348" s="1"/>
      <c r="J348" s="1"/>
      <c r="L348" s="2" t="s">
        <v>16</v>
      </c>
      <c r="M348" s="3" t="str">
        <f t="shared" si="20"/>
        <v xml:space="preserve">        &lt;note time="116.058" string="2" fret="5" /&gt;</v>
      </c>
      <c r="N348" s="8" t="str">
        <f>chitar__3[[#This Row],[Column1.14]]</f>
        <v>116.058</v>
      </c>
      <c r="O348" s="4" t="s">
        <v>1463</v>
      </c>
    </row>
    <row r="349" spans="1:15" x14ac:dyDescent="0.45">
      <c r="A349" s="1" t="s">
        <v>388</v>
      </c>
      <c r="B349" s="1">
        <f t="shared" si="21"/>
        <v>116.44799999999999</v>
      </c>
      <c r="C349" s="1" t="str">
        <f t="shared" si="22"/>
        <v>116.448</v>
      </c>
      <c r="D349" s="1" t="str">
        <f t="shared" si="23"/>
        <v>116.448</v>
      </c>
      <c r="E349" s="1" t="str">
        <f>RIGHT(chitar__3[[#This Row],[Column1.2]],LEN(chitar__3[[#This Row],[Column1.2]])-7)</f>
        <v xml:space="preserve">" chordId="5" &gt;&lt;chordNote </v>
      </c>
      <c r="F349" s="1" t="s">
        <v>508</v>
      </c>
      <c r="G349" s="1" t="s">
        <v>867</v>
      </c>
      <c r="H349" s="1" t="s">
        <v>868</v>
      </c>
      <c r="I349" s="1"/>
      <c r="J349" s="1"/>
      <c r="L349" s="5" t="s">
        <v>16</v>
      </c>
      <c r="M349" s="3" t="str">
        <f t="shared" si="20"/>
        <v xml:space="preserve">        &lt;note time="116.448" string="2" fret="3" sustain="0.21" /&gt;</v>
      </c>
      <c r="N349" s="8" t="str">
        <f>chitar__3[[#This Row],[Column1.14]]</f>
        <v>116.448</v>
      </c>
      <c r="O349" s="6" t="s">
        <v>1759</v>
      </c>
    </row>
    <row r="350" spans="1:15" x14ac:dyDescent="0.45">
      <c r="A350" s="1" t="s">
        <v>388</v>
      </c>
      <c r="B350" s="1">
        <f t="shared" si="21"/>
        <v>116.889</v>
      </c>
      <c r="C350" s="1" t="str">
        <f t="shared" si="22"/>
        <v>116.889</v>
      </c>
      <c r="D350" s="1" t="str">
        <f t="shared" si="23"/>
        <v>116.889</v>
      </c>
      <c r="E350" s="1" t="str">
        <f>RIGHT(chitar__3[[#This Row],[Column1.2]],LEN(chitar__3[[#This Row],[Column1.2]])-7)</f>
        <v xml:space="preserve">" chordId="7" &gt;&lt;chordNote </v>
      </c>
      <c r="F350" s="1" t="s">
        <v>509</v>
      </c>
      <c r="G350" s="1" t="s">
        <v>869</v>
      </c>
      <c r="H350" s="1" t="s">
        <v>870</v>
      </c>
      <c r="I350" s="1"/>
      <c r="J350" s="1"/>
      <c r="L350" s="2" t="s">
        <v>16</v>
      </c>
      <c r="M350" s="3" t="str">
        <f t="shared" si="20"/>
        <v xml:space="preserve">        &lt;note time="116.889" string="1" fret="5" /&gt;</v>
      </c>
      <c r="N350" s="8" t="str">
        <f>chitar__3[[#This Row],[Column1.14]]</f>
        <v>116.889</v>
      </c>
      <c r="O350" s="4" t="s">
        <v>1465</v>
      </c>
    </row>
    <row r="351" spans="1:15" x14ac:dyDescent="0.45">
      <c r="A351" s="1" t="s">
        <v>16</v>
      </c>
      <c r="B351" s="1">
        <f t="shared" si="21"/>
        <v>117.11799999999999</v>
      </c>
      <c r="C351" s="1" t="str">
        <f t="shared" si="22"/>
        <v>117.118</v>
      </c>
      <c r="D351" s="1" t="str">
        <f t="shared" si="23"/>
        <v>117.118</v>
      </c>
      <c r="E351" s="1" t="str">
        <f>RIGHT(chitar__3[[#This Row],[Column1.2]],LEN(chitar__3[[#This Row],[Column1.2]])-7)</f>
        <v>" string="0" fret="10" palmMute="1" /&gt;</v>
      </c>
      <c r="F351" s="1" t="s">
        <v>243</v>
      </c>
      <c r="G351" s="1"/>
      <c r="H351" s="1"/>
      <c r="I351" s="1"/>
      <c r="J351" s="1"/>
      <c r="L351" s="5" t="s">
        <v>16</v>
      </c>
      <c r="M351" s="3" t="str">
        <f t="shared" si="20"/>
        <v xml:space="preserve">        &lt;note time="117.118" string="1" fret="5" /&gt;</v>
      </c>
      <c r="N351" s="8" t="str">
        <f>chitar__3[[#This Row],[Column1.14]]</f>
        <v>117.118</v>
      </c>
      <c r="O351" s="6" t="s">
        <v>1466</v>
      </c>
    </row>
    <row r="352" spans="1:15" x14ac:dyDescent="0.45">
      <c r="A352" s="1" t="s">
        <v>16</v>
      </c>
      <c r="B352" s="1">
        <f t="shared" si="21"/>
        <v>117.33799999999999</v>
      </c>
      <c r="C352" s="1" t="str">
        <f t="shared" si="22"/>
        <v>117.338</v>
      </c>
      <c r="D352" s="1" t="str">
        <f t="shared" si="23"/>
        <v>117.338</v>
      </c>
      <c r="E352" s="1" t="str">
        <f>RIGHT(chitar__3[[#This Row],[Column1.2]],LEN(chitar__3[[#This Row],[Column1.2]])-7)</f>
        <v>" string="0" fret="10" palmMute="1" /&gt;</v>
      </c>
      <c r="F352" s="1" t="s">
        <v>244</v>
      </c>
      <c r="G352" s="1"/>
      <c r="H352" s="1"/>
      <c r="I352" s="1"/>
      <c r="J352" s="1"/>
      <c r="L352" s="2" t="s">
        <v>16</v>
      </c>
      <c r="M352" s="3" t="str">
        <f t="shared" si="20"/>
        <v xml:space="preserve">        &lt;note time="117.338" string="1" fret="5" /&gt;</v>
      </c>
      <c r="N352" s="8" t="str">
        <f>chitar__3[[#This Row],[Column1.14]]</f>
        <v>117.338</v>
      </c>
      <c r="O352" s="4" t="s">
        <v>1467</v>
      </c>
    </row>
    <row r="353" spans="1:15" x14ac:dyDescent="0.45">
      <c r="A353" s="1" t="s">
        <v>16</v>
      </c>
      <c r="B353" s="1">
        <f t="shared" si="21"/>
        <v>117.57</v>
      </c>
      <c r="C353" s="1" t="str">
        <f t="shared" si="22"/>
        <v>117.570</v>
      </c>
      <c r="D353" s="1" t="str">
        <f t="shared" si="23"/>
        <v>117.570</v>
      </c>
      <c r="E353" s="1" t="str">
        <f>RIGHT(chitar__3[[#This Row],[Column1.2]],LEN(chitar__3[[#This Row],[Column1.2]])-7)</f>
        <v>" string="0" fret="10" palmMute="1" /&gt;</v>
      </c>
      <c r="F353" s="1" t="s">
        <v>245</v>
      </c>
      <c r="G353" s="1"/>
      <c r="H353" s="1"/>
      <c r="I353" s="1"/>
      <c r="J353" s="1"/>
      <c r="L353" s="5" t="s">
        <v>16</v>
      </c>
      <c r="M353" s="3" t="str">
        <f t="shared" si="20"/>
        <v xml:space="preserve">        &lt;note time="117.570" string="1" fret="5" /&gt;</v>
      </c>
      <c r="N353" s="8" t="str">
        <f>chitar__3[[#This Row],[Column1.14]]</f>
        <v>117.570</v>
      </c>
      <c r="O353" s="6" t="s">
        <v>1468</v>
      </c>
    </row>
    <row r="354" spans="1:15" x14ac:dyDescent="0.45">
      <c r="A354" s="1" t="s">
        <v>388</v>
      </c>
      <c r="B354" s="1">
        <f t="shared" si="21"/>
        <v>117.815</v>
      </c>
      <c r="C354" s="1" t="str">
        <f t="shared" si="22"/>
        <v>117.815</v>
      </c>
      <c r="D354" s="1" t="str">
        <f t="shared" si="23"/>
        <v>117.815</v>
      </c>
      <c r="E354" s="1" t="str">
        <f>RIGHT(chitar__3[[#This Row],[Column1.2]],LEN(chitar__3[[#This Row],[Column1.2]])-7)</f>
        <v xml:space="preserve">" chordId="4" &gt;&lt;chordNote </v>
      </c>
      <c r="F354" s="1" t="s">
        <v>510</v>
      </c>
      <c r="G354" s="1" t="s">
        <v>871</v>
      </c>
      <c r="H354" s="1" t="s">
        <v>872</v>
      </c>
      <c r="I354" s="1"/>
      <c r="J354" s="1"/>
      <c r="L354" s="2" t="s">
        <v>16</v>
      </c>
      <c r="M354" s="3" t="str">
        <f t="shared" si="20"/>
        <v xml:space="preserve">        &lt;note time="117.815" string="2" fret="5" /&gt;</v>
      </c>
      <c r="N354" s="8" t="str">
        <f>chitar__3[[#This Row],[Column1.14]]</f>
        <v>117.815</v>
      </c>
      <c r="O354" s="4" t="s">
        <v>1469</v>
      </c>
    </row>
    <row r="355" spans="1:15" x14ac:dyDescent="0.45">
      <c r="A355" s="1" t="s">
        <v>388</v>
      </c>
      <c r="B355" s="1">
        <f t="shared" si="21"/>
        <v>118.215</v>
      </c>
      <c r="C355" s="1" t="str">
        <f t="shared" si="22"/>
        <v>118.215</v>
      </c>
      <c r="D355" s="1" t="str">
        <f t="shared" si="23"/>
        <v>118.215</v>
      </c>
      <c r="E355" s="1" t="str">
        <f>RIGHT(chitar__3[[#This Row],[Column1.2]],LEN(chitar__3[[#This Row],[Column1.2]])-7)</f>
        <v xml:space="preserve">" chordId="5" &gt;&lt;chordNote </v>
      </c>
      <c r="F355" s="1" t="s">
        <v>511</v>
      </c>
      <c r="G355" s="1" t="s">
        <v>873</v>
      </c>
      <c r="H355" s="1" t="s">
        <v>874</v>
      </c>
      <c r="I355" s="1"/>
      <c r="J355" s="1"/>
      <c r="L355" s="5" t="s">
        <v>16</v>
      </c>
      <c r="M355" s="3" t="str">
        <f t="shared" si="20"/>
        <v xml:space="preserve">        &lt;note time="118.215" string="2" fret="3" sustain="0.21" /&gt;</v>
      </c>
      <c r="N355" s="8" t="str">
        <f>chitar__3[[#This Row],[Column1.14]]</f>
        <v>118.215</v>
      </c>
      <c r="O355" s="6" t="s">
        <v>1760</v>
      </c>
    </row>
    <row r="356" spans="1:15" x14ac:dyDescent="0.45">
      <c r="A356" s="1" t="s">
        <v>388</v>
      </c>
      <c r="B356" s="1">
        <f t="shared" si="21"/>
        <v>118.616</v>
      </c>
      <c r="C356" s="1" t="str">
        <f t="shared" si="22"/>
        <v>118.616</v>
      </c>
      <c r="D356" s="1" t="str">
        <f t="shared" si="23"/>
        <v>118.616</v>
      </c>
      <c r="E356" s="1" t="str">
        <f>RIGHT(chitar__3[[#This Row],[Column1.2]],LEN(chitar__3[[#This Row],[Column1.2]])-7)</f>
        <v xml:space="preserve">" chordId="7" &gt;&lt;chordNote </v>
      </c>
      <c r="F356" s="1" t="s">
        <v>512</v>
      </c>
      <c r="G356" s="1" t="s">
        <v>875</v>
      </c>
      <c r="H356" s="1" t="s">
        <v>876</v>
      </c>
      <c r="I356" s="1"/>
      <c r="J356" s="1"/>
      <c r="L356" s="2" t="s">
        <v>16</v>
      </c>
      <c r="M356" s="3" t="str">
        <f t="shared" si="20"/>
        <v xml:space="preserve">        &lt;note time="118.616" string="1" fret="5" /&gt;</v>
      </c>
      <c r="N356" s="8" t="str">
        <f>chitar__3[[#This Row],[Column1.14]]</f>
        <v>118.616</v>
      </c>
      <c r="O356" s="4" t="s">
        <v>1471</v>
      </c>
    </row>
    <row r="357" spans="1:15" x14ac:dyDescent="0.45">
      <c r="A357" s="1" t="s">
        <v>16</v>
      </c>
      <c r="B357" s="1">
        <f t="shared" si="21"/>
        <v>118.845</v>
      </c>
      <c r="C357" s="1" t="str">
        <f t="shared" si="22"/>
        <v>118.845</v>
      </c>
      <c r="D357" s="1" t="str">
        <f t="shared" si="23"/>
        <v>118.845</v>
      </c>
      <c r="E357" s="1" t="str">
        <f>RIGHT(chitar__3[[#This Row],[Column1.2]],LEN(chitar__3[[#This Row],[Column1.2]])-7)</f>
        <v>" string="0" fret="10" palmMute="1" /&gt;</v>
      </c>
      <c r="F357" s="1" t="s">
        <v>246</v>
      </c>
      <c r="G357" s="1"/>
      <c r="H357" s="1"/>
      <c r="I357" s="1"/>
      <c r="J357" s="1"/>
      <c r="L357" s="5" t="s">
        <v>16</v>
      </c>
      <c r="M357" s="3" t="str">
        <f t="shared" si="20"/>
        <v xml:space="preserve">        &lt;note time="118.845" string="1" fret="5" /&gt;</v>
      </c>
      <c r="N357" s="8" t="str">
        <f>chitar__3[[#This Row],[Column1.14]]</f>
        <v>118.845</v>
      </c>
      <c r="O357" s="6" t="s">
        <v>1472</v>
      </c>
    </row>
    <row r="358" spans="1:15" x14ac:dyDescent="0.45">
      <c r="A358" s="1" t="s">
        <v>16</v>
      </c>
      <c r="B358" s="1">
        <f t="shared" si="21"/>
        <v>119.065</v>
      </c>
      <c r="C358" s="1" t="str">
        <f t="shared" si="22"/>
        <v>119.065</v>
      </c>
      <c r="D358" s="1" t="str">
        <f t="shared" si="23"/>
        <v>119.065</v>
      </c>
      <c r="E358" s="1" t="str">
        <f>RIGHT(chitar__3[[#This Row],[Column1.2]],LEN(chitar__3[[#This Row],[Column1.2]])-7)</f>
        <v>" string="0" fret="10" palmMute="1" /&gt;</v>
      </c>
      <c r="F358" s="1" t="s">
        <v>247</v>
      </c>
      <c r="G358" s="1"/>
      <c r="H358" s="1"/>
      <c r="I358" s="1"/>
      <c r="J358" s="1"/>
      <c r="L358" s="2" t="s">
        <v>16</v>
      </c>
      <c r="M358" s="3" t="str">
        <f t="shared" si="20"/>
        <v xml:space="preserve">        &lt;note time="119.065" string="1" fret="5" /&gt;</v>
      </c>
      <c r="N358" s="8" t="str">
        <f>chitar__3[[#This Row],[Column1.14]]</f>
        <v>119.065</v>
      </c>
      <c r="O358" s="4" t="s">
        <v>1473</v>
      </c>
    </row>
    <row r="359" spans="1:15" x14ac:dyDescent="0.45">
      <c r="A359" s="1" t="s">
        <v>16</v>
      </c>
      <c r="B359" s="1">
        <f t="shared" si="21"/>
        <v>119.297</v>
      </c>
      <c r="C359" s="1" t="str">
        <f t="shared" si="22"/>
        <v>119.297</v>
      </c>
      <c r="D359" s="1" t="str">
        <f t="shared" si="23"/>
        <v>119.297</v>
      </c>
      <c r="E359" s="1" t="str">
        <f>RIGHT(chitar__3[[#This Row],[Column1.2]],LEN(chitar__3[[#This Row],[Column1.2]])-7)</f>
        <v>" string="0" fret="10" palmMute="1" /&gt;</v>
      </c>
      <c r="F359" s="1" t="s">
        <v>248</v>
      </c>
      <c r="G359" s="1"/>
      <c r="H359" s="1"/>
      <c r="I359" s="1"/>
      <c r="J359" s="1"/>
      <c r="L359" s="5" t="s">
        <v>16</v>
      </c>
      <c r="M359" s="3" t="str">
        <f t="shared" si="20"/>
        <v xml:space="preserve">        &lt;note time="119.297" string="1" fret="5" /&gt;</v>
      </c>
      <c r="N359" s="8" t="str">
        <f>chitar__3[[#This Row],[Column1.14]]</f>
        <v>119.297</v>
      </c>
      <c r="O359" s="6" t="s">
        <v>1474</v>
      </c>
    </row>
    <row r="360" spans="1:15" x14ac:dyDescent="0.45">
      <c r="A360" s="1" t="s">
        <v>388</v>
      </c>
      <c r="B360" s="1">
        <f t="shared" si="21"/>
        <v>119.565</v>
      </c>
      <c r="C360" s="1" t="str">
        <f t="shared" si="22"/>
        <v>119.565</v>
      </c>
      <c r="D360" s="1" t="str">
        <f t="shared" si="23"/>
        <v>119.565</v>
      </c>
      <c r="E360" s="1" t="str">
        <f>RIGHT(chitar__3[[#This Row],[Column1.2]],LEN(chitar__3[[#This Row],[Column1.2]])-7)</f>
        <v xml:space="preserve">" chordId="4" &gt;&lt;chordNote </v>
      </c>
      <c r="F360" s="1" t="s">
        <v>513</v>
      </c>
      <c r="G360" s="1" t="s">
        <v>877</v>
      </c>
      <c r="H360" s="1" t="s">
        <v>878</v>
      </c>
      <c r="I360" s="1"/>
      <c r="J360" s="1"/>
      <c r="L360" s="2" t="s">
        <v>16</v>
      </c>
      <c r="M360" s="3" t="str">
        <f t="shared" si="20"/>
        <v xml:space="preserve">        &lt;note time="119.565" string="2" fret="5" /&gt;</v>
      </c>
      <c r="N360" s="8" t="str">
        <f>chitar__3[[#This Row],[Column1.14]]</f>
        <v>119.565</v>
      </c>
      <c r="O360" s="4" t="s">
        <v>1475</v>
      </c>
    </row>
    <row r="361" spans="1:15" x14ac:dyDescent="0.45">
      <c r="A361" s="1" t="s">
        <v>388</v>
      </c>
      <c r="B361" s="1">
        <f t="shared" si="21"/>
        <v>119.937</v>
      </c>
      <c r="C361" s="1" t="str">
        <f t="shared" si="22"/>
        <v>119.937</v>
      </c>
      <c r="D361" s="1" t="str">
        <f t="shared" si="23"/>
        <v>119.937</v>
      </c>
      <c r="E361" s="1" t="str">
        <f>RIGHT(chitar__3[[#This Row],[Column1.2]],LEN(chitar__3[[#This Row],[Column1.2]])-7)</f>
        <v xml:space="preserve">" chordId="5" &gt;&lt;chordNote </v>
      </c>
      <c r="F361" s="1" t="s">
        <v>514</v>
      </c>
      <c r="G361" s="1" t="s">
        <v>879</v>
      </c>
      <c r="H361" s="1" t="s">
        <v>880</v>
      </c>
      <c r="I361" s="1"/>
      <c r="J361" s="1"/>
      <c r="L361" s="5" t="s">
        <v>16</v>
      </c>
      <c r="M361" s="3" t="str">
        <f t="shared" si="20"/>
        <v xml:space="preserve">        &lt;note time="119.937" string="2" fret="3" sustain="0.21" /&gt;</v>
      </c>
      <c r="N361" s="8" t="str">
        <f>chitar__3[[#This Row],[Column1.14]]</f>
        <v>119.937</v>
      </c>
      <c r="O361" s="6" t="s">
        <v>1761</v>
      </c>
    </row>
    <row r="362" spans="1:15" x14ac:dyDescent="0.45">
      <c r="A362" s="1" t="s">
        <v>388</v>
      </c>
      <c r="B362" s="1">
        <f t="shared" si="21"/>
        <v>120.36799999999999</v>
      </c>
      <c r="C362" s="1" t="str">
        <f t="shared" si="22"/>
        <v>120.368</v>
      </c>
      <c r="D362" s="1" t="str">
        <f t="shared" si="23"/>
        <v>120.368</v>
      </c>
      <c r="E362" s="1" t="str">
        <f>RIGHT(chitar__3[[#This Row],[Column1.2]],LEN(chitar__3[[#This Row],[Column1.2]])-7)</f>
        <v xml:space="preserve">" chordId="7" &gt;&lt;chordNote </v>
      </c>
      <c r="F362" s="1" t="s">
        <v>515</v>
      </c>
      <c r="G362" s="1" t="s">
        <v>881</v>
      </c>
      <c r="H362" s="1" t="s">
        <v>882</v>
      </c>
      <c r="I362" s="1"/>
      <c r="J362" s="1"/>
      <c r="L362" s="2" t="s">
        <v>16</v>
      </c>
      <c r="M362" s="3" t="str">
        <f t="shared" si="20"/>
        <v xml:space="preserve">        &lt;note time="120.368" string="1" fret="5" /&gt;</v>
      </c>
      <c r="N362" s="8" t="str">
        <f>chitar__3[[#This Row],[Column1.14]]</f>
        <v>120.368</v>
      </c>
      <c r="O362" s="4" t="s">
        <v>1477</v>
      </c>
    </row>
    <row r="363" spans="1:15" x14ac:dyDescent="0.45">
      <c r="A363" s="1" t="s">
        <v>16</v>
      </c>
      <c r="B363" s="1">
        <f t="shared" si="21"/>
        <v>120.59699999999999</v>
      </c>
      <c r="C363" s="1" t="str">
        <f t="shared" si="22"/>
        <v>120.597</v>
      </c>
      <c r="D363" s="1" t="str">
        <f t="shared" si="23"/>
        <v>120.597</v>
      </c>
      <c r="E363" s="1" t="str">
        <f>RIGHT(chitar__3[[#This Row],[Column1.2]],LEN(chitar__3[[#This Row],[Column1.2]])-7)</f>
        <v>" string="0" fret="10" palmMute="1" /&gt;</v>
      </c>
      <c r="F363" s="1" t="s">
        <v>249</v>
      </c>
      <c r="G363" s="1"/>
      <c r="H363" s="1"/>
      <c r="I363" s="1"/>
      <c r="J363" s="1"/>
      <c r="L363" s="5" t="s">
        <v>16</v>
      </c>
      <c r="M363" s="3" t="str">
        <f t="shared" si="20"/>
        <v xml:space="preserve">        &lt;note time="120.597" string="1" fret="5" /&gt;</v>
      </c>
      <c r="N363" s="8" t="str">
        <f>chitar__3[[#This Row],[Column1.14]]</f>
        <v>120.597</v>
      </c>
      <c r="O363" s="6" t="s">
        <v>1478</v>
      </c>
    </row>
    <row r="364" spans="1:15" x14ac:dyDescent="0.45">
      <c r="A364" s="1" t="s">
        <v>16</v>
      </c>
      <c r="B364" s="1">
        <f t="shared" si="21"/>
        <v>120.81699999999999</v>
      </c>
      <c r="C364" s="1" t="str">
        <f t="shared" si="22"/>
        <v>120.817</v>
      </c>
      <c r="D364" s="1" t="str">
        <f t="shared" si="23"/>
        <v>120.817</v>
      </c>
      <c r="E364" s="1" t="str">
        <f>RIGHT(chitar__3[[#This Row],[Column1.2]],LEN(chitar__3[[#This Row],[Column1.2]])-7)</f>
        <v>" string="0" fret="10" palmMute="1" /&gt;</v>
      </c>
      <c r="F364" s="1" t="s">
        <v>250</v>
      </c>
      <c r="G364" s="1"/>
      <c r="H364" s="1"/>
      <c r="I364" s="1"/>
      <c r="J364" s="1"/>
      <c r="L364" s="2" t="s">
        <v>16</v>
      </c>
      <c r="M364" s="3" t="str">
        <f t="shared" si="20"/>
        <v xml:space="preserve">        &lt;note time="120.817" string="1" fret="5" /&gt;</v>
      </c>
      <c r="N364" s="8" t="str">
        <f>chitar__3[[#This Row],[Column1.14]]</f>
        <v>120.817</v>
      </c>
      <c r="O364" s="4" t="s">
        <v>1479</v>
      </c>
    </row>
    <row r="365" spans="1:15" x14ac:dyDescent="0.45">
      <c r="A365" s="1" t="s">
        <v>16</v>
      </c>
      <c r="B365" s="1">
        <f t="shared" si="21"/>
        <v>121.04900000000001</v>
      </c>
      <c r="C365" s="1" t="str">
        <f t="shared" si="22"/>
        <v>121.049</v>
      </c>
      <c r="D365" s="1" t="str">
        <f t="shared" si="23"/>
        <v>121.049</v>
      </c>
      <c r="E365" s="1" t="str">
        <f>RIGHT(chitar__3[[#This Row],[Column1.2]],LEN(chitar__3[[#This Row],[Column1.2]])-7)</f>
        <v>" string="0" fret="10" palmMute="1" /&gt;</v>
      </c>
      <c r="F365" s="1" t="s">
        <v>251</v>
      </c>
      <c r="G365" s="1"/>
      <c r="H365" s="1"/>
      <c r="I365" s="1"/>
      <c r="J365" s="1"/>
      <c r="L365" s="5" t="s">
        <v>16</v>
      </c>
      <c r="M365" s="3" t="str">
        <f t="shared" ref="M365:M420" si="24">L365&amp;"time="""&amp;N365&amp;RIGHT(O365,LEN(O365)-7)</f>
        <v xml:space="preserve">        &lt;note time="121.049" string="1" fret="5" /&gt;</v>
      </c>
      <c r="N365" s="8" t="str">
        <f>chitar__3[[#This Row],[Column1.14]]</f>
        <v>121.049</v>
      </c>
      <c r="O365" s="6" t="s">
        <v>1480</v>
      </c>
    </row>
    <row r="366" spans="1:15" x14ac:dyDescent="0.45">
      <c r="A366" s="1" t="s">
        <v>388</v>
      </c>
      <c r="B366" s="1">
        <f t="shared" si="21"/>
        <v>121.245</v>
      </c>
      <c r="C366" s="1" t="str">
        <f t="shared" si="22"/>
        <v>121.245</v>
      </c>
      <c r="D366" s="1" t="str">
        <f t="shared" si="23"/>
        <v>121.245</v>
      </c>
      <c r="E366" s="1" t="str">
        <f>RIGHT(chitar__3[[#This Row],[Column1.2]],LEN(chitar__3[[#This Row],[Column1.2]])-7)</f>
        <v xml:space="preserve">" chordId="4" &gt;&lt;chordNote </v>
      </c>
      <c r="F366" s="1" t="s">
        <v>516</v>
      </c>
      <c r="G366" s="1" t="s">
        <v>883</v>
      </c>
      <c r="H366" s="1" t="s">
        <v>884</v>
      </c>
      <c r="I366" s="1"/>
      <c r="J366" s="1"/>
      <c r="L366" s="2" t="s">
        <v>16</v>
      </c>
      <c r="M366" s="3" t="str">
        <f t="shared" si="24"/>
        <v xml:space="preserve">        &lt;note time="121.245" string="2" fret="5" /&gt;</v>
      </c>
      <c r="N366" s="8" t="str">
        <f>chitar__3[[#This Row],[Column1.14]]</f>
        <v>121.245</v>
      </c>
      <c r="O366" s="4" t="s">
        <v>1481</v>
      </c>
    </row>
    <row r="367" spans="1:15" x14ac:dyDescent="0.45">
      <c r="A367" s="1" t="s">
        <v>388</v>
      </c>
      <c r="B367" s="1">
        <f t="shared" si="21"/>
        <v>121.63500000000001</v>
      </c>
      <c r="C367" s="1" t="str">
        <f t="shared" si="22"/>
        <v>121.635</v>
      </c>
      <c r="D367" s="1" t="str">
        <f t="shared" si="23"/>
        <v>121.635</v>
      </c>
      <c r="E367" s="1" t="str">
        <f>RIGHT(chitar__3[[#This Row],[Column1.2]],LEN(chitar__3[[#This Row],[Column1.2]])-7)</f>
        <v xml:space="preserve">" chordId="5" &gt;&lt;chordNote </v>
      </c>
      <c r="F367" s="1" t="s">
        <v>517</v>
      </c>
      <c r="G367" s="1" t="s">
        <v>885</v>
      </c>
      <c r="H367" s="1" t="s">
        <v>886</v>
      </c>
      <c r="I367" s="1"/>
      <c r="J367" s="1"/>
      <c r="L367" s="5" t="s">
        <v>16</v>
      </c>
      <c r="M367" s="3" t="str">
        <f t="shared" si="24"/>
        <v xml:space="preserve">        &lt;note time="121.635" string="2" fret="3" sustain="0.21" /&gt;</v>
      </c>
      <c r="N367" s="8" t="str">
        <f>chitar__3[[#This Row],[Column1.14]]</f>
        <v>121.635</v>
      </c>
      <c r="O367" s="6" t="s">
        <v>1762</v>
      </c>
    </row>
    <row r="368" spans="1:15" x14ac:dyDescent="0.45">
      <c r="A368" s="1" t="s">
        <v>388</v>
      </c>
      <c r="B368" s="1">
        <f t="shared" si="21"/>
        <v>122.07599999999999</v>
      </c>
      <c r="C368" s="1" t="str">
        <f t="shared" si="22"/>
        <v>122.076</v>
      </c>
      <c r="D368" s="1" t="str">
        <f t="shared" si="23"/>
        <v>122.076</v>
      </c>
      <c r="E368" s="1" t="str">
        <f>RIGHT(chitar__3[[#This Row],[Column1.2]],LEN(chitar__3[[#This Row],[Column1.2]])-7)</f>
        <v xml:space="preserve">" chordId="7" &gt;&lt;chordNote </v>
      </c>
      <c r="F368" s="1" t="s">
        <v>518</v>
      </c>
      <c r="G368" s="1" t="s">
        <v>887</v>
      </c>
      <c r="H368" s="1" t="s">
        <v>888</v>
      </c>
      <c r="I368" s="1"/>
      <c r="J368" s="1"/>
      <c r="L368" s="2" t="s">
        <v>16</v>
      </c>
      <c r="M368" s="3" t="str">
        <f t="shared" si="24"/>
        <v xml:space="preserve">        &lt;note time="122.076" string="1" fret="5" /&gt;</v>
      </c>
      <c r="N368" s="8" t="str">
        <f>chitar__3[[#This Row],[Column1.14]]</f>
        <v>122.076</v>
      </c>
      <c r="O368" s="4" t="s">
        <v>1483</v>
      </c>
    </row>
    <row r="369" spans="1:15" x14ac:dyDescent="0.45">
      <c r="A369" s="1" t="s">
        <v>16</v>
      </c>
      <c r="B369" s="1">
        <f t="shared" si="21"/>
        <v>122.30500000000001</v>
      </c>
      <c r="C369" s="1" t="str">
        <f t="shared" si="22"/>
        <v>122.305</v>
      </c>
      <c r="D369" s="1" t="str">
        <f t="shared" si="23"/>
        <v>122.305</v>
      </c>
      <c r="E369" s="1" t="str">
        <f>RIGHT(chitar__3[[#This Row],[Column1.2]],LEN(chitar__3[[#This Row],[Column1.2]])-7)</f>
        <v>" string="0" fret="10" palmMute="1" /&gt;</v>
      </c>
      <c r="F369" s="1" t="s">
        <v>252</v>
      </c>
      <c r="G369" s="1"/>
      <c r="H369" s="1"/>
      <c r="I369" s="1"/>
      <c r="J369" s="1"/>
      <c r="L369" s="5" t="s">
        <v>16</v>
      </c>
      <c r="M369" s="3" t="str">
        <f t="shared" si="24"/>
        <v xml:space="preserve">        &lt;note time="122.305" string="1" fret="5" /&gt;</v>
      </c>
      <c r="N369" s="8" t="str">
        <f>chitar__3[[#This Row],[Column1.14]]</f>
        <v>122.305</v>
      </c>
      <c r="O369" s="6" t="s">
        <v>1484</v>
      </c>
    </row>
    <row r="370" spans="1:15" x14ac:dyDescent="0.45">
      <c r="A370" s="1" t="s">
        <v>16</v>
      </c>
      <c r="B370" s="1">
        <f t="shared" si="21"/>
        <v>122.52500000000001</v>
      </c>
      <c r="C370" s="1" t="str">
        <f t="shared" si="22"/>
        <v>122.525</v>
      </c>
      <c r="D370" s="1" t="str">
        <f t="shared" si="23"/>
        <v>122.525</v>
      </c>
      <c r="E370" s="1" t="str">
        <f>RIGHT(chitar__3[[#This Row],[Column1.2]],LEN(chitar__3[[#This Row],[Column1.2]])-7)</f>
        <v>" string="0" fret="10" palmMute="1" /&gt;</v>
      </c>
      <c r="F370" s="1" t="s">
        <v>253</v>
      </c>
      <c r="G370" s="1"/>
      <c r="H370" s="1"/>
      <c r="I370" s="1"/>
      <c r="J370" s="1"/>
      <c r="L370" s="2" t="s">
        <v>16</v>
      </c>
      <c r="M370" s="3" t="str">
        <f t="shared" si="24"/>
        <v xml:space="preserve">        &lt;note time="122.525" string="1" fret="5" /&gt;</v>
      </c>
      <c r="N370" s="8" t="str">
        <f>chitar__3[[#This Row],[Column1.14]]</f>
        <v>122.525</v>
      </c>
      <c r="O370" s="4" t="s">
        <v>1485</v>
      </c>
    </row>
    <row r="371" spans="1:15" x14ac:dyDescent="0.45">
      <c r="A371" s="1" t="s">
        <v>16</v>
      </c>
      <c r="B371" s="1">
        <f t="shared" si="21"/>
        <v>122.75700000000001</v>
      </c>
      <c r="C371" s="1" t="str">
        <f t="shared" si="22"/>
        <v>122.757</v>
      </c>
      <c r="D371" s="1" t="str">
        <f t="shared" si="23"/>
        <v>122.757</v>
      </c>
      <c r="E371" s="1" t="str">
        <f>RIGHT(chitar__3[[#This Row],[Column1.2]],LEN(chitar__3[[#This Row],[Column1.2]])-7)</f>
        <v>" string="0" fret="10" palmMute="1" /&gt;</v>
      </c>
      <c r="F371" s="1" t="s">
        <v>254</v>
      </c>
      <c r="G371" s="1"/>
      <c r="H371" s="1"/>
      <c r="I371" s="1"/>
      <c r="J371" s="1"/>
      <c r="L371" s="5" t="s">
        <v>16</v>
      </c>
      <c r="M371" s="3" t="str">
        <f t="shared" si="24"/>
        <v xml:space="preserve">        &lt;note time="122.757" string="1" fret="5" /&gt;</v>
      </c>
      <c r="N371" s="8" t="str">
        <f>chitar__3[[#This Row],[Column1.14]]</f>
        <v>122.757</v>
      </c>
      <c r="O371" s="6" t="s">
        <v>1486</v>
      </c>
    </row>
    <row r="372" spans="1:15" x14ac:dyDescent="0.45">
      <c r="A372" s="1" t="s">
        <v>388</v>
      </c>
      <c r="B372" s="1">
        <f t="shared" si="21"/>
        <v>123.075</v>
      </c>
      <c r="C372" s="1" t="str">
        <f t="shared" si="22"/>
        <v>123.075</v>
      </c>
      <c r="D372" s="1" t="str">
        <f t="shared" si="23"/>
        <v>123.075</v>
      </c>
      <c r="E372" s="1" t="str">
        <f>RIGHT(chitar__3[[#This Row],[Column1.2]],LEN(chitar__3[[#This Row],[Column1.2]])-7)</f>
        <v xml:space="preserve">" chordId="4" &gt;&lt;chordNote </v>
      </c>
      <c r="F372" s="1" t="s">
        <v>519</v>
      </c>
      <c r="G372" s="1" t="s">
        <v>889</v>
      </c>
      <c r="H372" s="1" t="s">
        <v>890</v>
      </c>
      <c r="I372" s="1"/>
      <c r="J372" s="1"/>
      <c r="L372" s="2" t="s">
        <v>16</v>
      </c>
      <c r="M372" s="3" t="str">
        <f t="shared" si="24"/>
        <v xml:space="preserve">        &lt;note time="123.075" string="2" fret="5" /&gt;</v>
      </c>
      <c r="N372" s="8" t="str">
        <f>chitar__3[[#This Row],[Column1.14]]</f>
        <v>123.075</v>
      </c>
      <c r="O372" s="4" t="s">
        <v>1487</v>
      </c>
    </row>
    <row r="373" spans="1:15" x14ac:dyDescent="0.45">
      <c r="A373" s="1" t="s">
        <v>388</v>
      </c>
      <c r="B373" s="1">
        <f t="shared" si="21"/>
        <v>123.465</v>
      </c>
      <c r="C373" s="1" t="str">
        <f t="shared" si="22"/>
        <v>123.465</v>
      </c>
      <c r="D373" s="1" t="str">
        <f t="shared" si="23"/>
        <v>123.465</v>
      </c>
      <c r="E373" s="1" t="str">
        <f>RIGHT(chitar__3[[#This Row],[Column1.2]],LEN(chitar__3[[#This Row],[Column1.2]])-7)</f>
        <v xml:space="preserve">" chordId="5" &gt;&lt;chordNote </v>
      </c>
      <c r="F373" s="1" t="s">
        <v>520</v>
      </c>
      <c r="G373" s="1" t="s">
        <v>891</v>
      </c>
      <c r="H373" s="1" t="s">
        <v>892</v>
      </c>
      <c r="I373" s="1"/>
      <c r="J373" s="1"/>
      <c r="L373" s="5" t="s">
        <v>16</v>
      </c>
      <c r="M373" s="3" t="str">
        <f t="shared" si="24"/>
        <v xml:space="preserve">        &lt;note time="123.465" string="2" fret="3" sustain="0.21" /&gt;</v>
      </c>
      <c r="N373" s="8" t="str">
        <f>chitar__3[[#This Row],[Column1.14]]</f>
        <v>123.465</v>
      </c>
      <c r="O373" s="6" t="s">
        <v>1763</v>
      </c>
    </row>
    <row r="374" spans="1:15" x14ac:dyDescent="0.45">
      <c r="A374" s="1" t="s">
        <v>388</v>
      </c>
      <c r="B374" s="1">
        <f t="shared" si="21"/>
        <v>123.90600000000001</v>
      </c>
      <c r="C374" s="1" t="str">
        <f t="shared" si="22"/>
        <v>123.906</v>
      </c>
      <c r="D374" s="1" t="str">
        <f t="shared" si="23"/>
        <v>123.906</v>
      </c>
      <c r="E374" s="1" t="str">
        <f>RIGHT(chitar__3[[#This Row],[Column1.2]],LEN(chitar__3[[#This Row],[Column1.2]])-7)</f>
        <v xml:space="preserve">" chordId="7" &gt;&lt;chordNote </v>
      </c>
      <c r="F374" s="1" t="s">
        <v>521</v>
      </c>
      <c r="G374" s="1" t="s">
        <v>893</v>
      </c>
      <c r="H374" s="1" t="s">
        <v>894</v>
      </c>
      <c r="I374" s="1"/>
      <c r="J374" s="1"/>
      <c r="L374" s="2" t="s">
        <v>16</v>
      </c>
      <c r="M374" s="3" t="str">
        <f t="shared" si="24"/>
        <v xml:space="preserve">        &lt;note time="123.906" string="1" fret="5" /&gt;</v>
      </c>
      <c r="N374" s="8" t="str">
        <f>chitar__3[[#This Row],[Column1.14]]</f>
        <v>123.906</v>
      </c>
      <c r="O374" s="4" t="s">
        <v>1489</v>
      </c>
    </row>
    <row r="375" spans="1:15" x14ac:dyDescent="0.45">
      <c r="A375" s="1" t="s">
        <v>16</v>
      </c>
      <c r="B375" s="1">
        <f t="shared" si="21"/>
        <v>124.13500000000001</v>
      </c>
      <c r="C375" s="1" t="str">
        <f t="shared" si="22"/>
        <v>124.135</v>
      </c>
      <c r="D375" s="1" t="str">
        <f t="shared" si="23"/>
        <v>124.135</v>
      </c>
      <c r="E375" s="1" t="str">
        <f>RIGHT(chitar__3[[#This Row],[Column1.2]],LEN(chitar__3[[#This Row],[Column1.2]])-7)</f>
        <v>" string="0" fret="10" palmMute="1" /&gt;</v>
      </c>
      <c r="F375" s="1" t="s">
        <v>255</v>
      </c>
      <c r="G375" s="1"/>
      <c r="H375" s="1"/>
      <c r="I375" s="1"/>
      <c r="J375" s="1"/>
      <c r="L375" s="5" t="s">
        <v>16</v>
      </c>
      <c r="M375" s="3" t="str">
        <f t="shared" si="24"/>
        <v xml:space="preserve">        &lt;note time="124.135" string="1" fret="5" /&gt;</v>
      </c>
      <c r="N375" s="8" t="str">
        <f>chitar__3[[#This Row],[Column1.14]]</f>
        <v>124.135</v>
      </c>
      <c r="O375" s="6" t="s">
        <v>1490</v>
      </c>
    </row>
    <row r="376" spans="1:15" x14ac:dyDescent="0.45">
      <c r="A376" s="1" t="s">
        <v>16</v>
      </c>
      <c r="B376" s="1">
        <f t="shared" si="21"/>
        <v>124.355</v>
      </c>
      <c r="C376" s="1" t="str">
        <f t="shared" si="22"/>
        <v>124.355</v>
      </c>
      <c r="D376" s="1" t="str">
        <f t="shared" si="23"/>
        <v>124.355</v>
      </c>
      <c r="E376" s="1" t="str">
        <f>RIGHT(chitar__3[[#This Row],[Column1.2]],LEN(chitar__3[[#This Row],[Column1.2]])-7)</f>
        <v>" string="0" fret="10" palmMute="1" /&gt;</v>
      </c>
      <c r="F376" s="1" t="s">
        <v>256</v>
      </c>
      <c r="G376" s="1"/>
      <c r="H376" s="1"/>
      <c r="I376" s="1"/>
      <c r="J376" s="1"/>
      <c r="L376" s="2" t="s">
        <v>16</v>
      </c>
      <c r="M376" s="3" t="str">
        <f t="shared" si="24"/>
        <v xml:space="preserve">        &lt;note time="124.355" string="1" fret="5" /&gt;</v>
      </c>
      <c r="N376" s="8" t="str">
        <f>chitar__3[[#This Row],[Column1.14]]</f>
        <v>124.355</v>
      </c>
      <c r="O376" s="4" t="s">
        <v>1491</v>
      </c>
    </row>
    <row r="377" spans="1:15" x14ac:dyDescent="0.45">
      <c r="A377" s="1" t="s">
        <v>16</v>
      </c>
      <c r="B377" s="1">
        <f t="shared" si="21"/>
        <v>124.587</v>
      </c>
      <c r="C377" s="1" t="str">
        <f t="shared" si="22"/>
        <v>124.587</v>
      </c>
      <c r="D377" s="1" t="str">
        <f t="shared" si="23"/>
        <v>124.587</v>
      </c>
      <c r="E377" s="1" t="str">
        <f>RIGHT(chitar__3[[#This Row],[Column1.2]],LEN(chitar__3[[#This Row],[Column1.2]])-7)</f>
        <v>" string="0" fret="10" palmMute="1" /&gt;</v>
      </c>
      <c r="F377" s="1" t="s">
        <v>257</v>
      </c>
      <c r="G377" s="1"/>
      <c r="H377" s="1"/>
      <c r="I377" s="1"/>
      <c r="J377" s="1"/>
      <c r="L377" s="5" t="s">
        <v>16</v>
      </c>
      <c r="M377" s="3" t="str">
        <f t="shared" si="24"/>
        <v xml:space="preserve">        &lt;note time="124.587" string="1" fret="5" /&gt;</v>
      </c>
      <c r="N377" s="8" t="str">
        <f>chitar__3[[#This Row],[Column1.14]]</f>
        <v>124.587</v>
      </c>
      <c r="O377" s="6" t="s">
        <v>1492</v>
      </c>
    </row>
    <row r="378" spans="1:15" x14ac:dyDescent="0.45">
      <c r="A378" s="1" t="s">
        <v>388</v>
      </c>
      <c r="B378" s="1">
        <f t="shared" si="21"/>
        <v>124.797</v>
      </c>
      <c r="C378" s="1" t="str">
        <f t="shared" si="22"/>
        <v>124.797</v>
      </c>
      <c r="D378" s="1" t="str">
        <f t="shared" si="23"/>
        <v>124.797</v>
      </c>
      <c r="E378" s="1" t="str">
        <f>RIGHT(chitar__3[[#This Row],[Column1.2]],LEN(chitar__3[[#This Row],[Column1.2]])-7)</f>
        <v xml:space="preserve">" chordId="4" &gt;&lt;chordNote </v>
      </c>
      <c r="F378" s="1" t="s">
        <v>522</v>
      </c>
      <c r="G378" s="1" t="s">
        <v>895</v>
      </c>
      <c r="H378" s="1" t="s">
        <v>896</v>
      </c>
      <c r="I378" s="1"/>
      <c r="J378" s="1"/>
      <c r="L378" s="2" t="s">
        <v>16</v>
      </c>
      <c r="M378" s="3" t="str">
        <f t="shared" si="24"/>
        <v xml:space="preserve">        &lt;note time="124.797" string="2" fret="5" /&gt;</v>
      </c>
      <c r="N378" s="8" t="str">
        <f>chitar__3[[#This Row],[Column1.14]]</f>
        <v>124.797</v>
      </c>
      <c r="O378" s="4" t="s">
        <v>1493</v>
      </c>
    </row>
    <row r="379" spans="1:15" x14ac:dyDescent="0.45">
      <c r="A379" s="1" t="s">
        <v>388</v>
      </c>
      <c r="B379" s="1">
        <f t="shared" si="21"/>
        <v>125.187</v>
      </c>
      <c r="C379" s="1" t="str">
        <f t="shared" si="22"/>
        <v>125.187</v>
      </c>
      <c r="D379" s="1" t="str">
        <f t="shared" si="23"/>
        <v>125.187</v>
      </c>
      <c r="E379" s="1" t="str">
        <f>RIGHT(chitar__3[[#This Row],[Column1.2]],LEN(chitar__3[[#This Row],[Column1.2]])-7)</f>
        <v xml:space="preserve">" chordId="5" &gt;&lt;chordNote </v>
      </c>
      <c r="F379" s="1" t="s">
        <v>523</v>
      </c>
      <c r="G379" s="1" t="s">
        <v>897</v>
      </c>
      <c r="H379" s="1" t="s">
        <v>898</v>
      </c>
      <c r="I379" s="1"/>
      <c r="J379" s="1"/>
      <c r="L379" s="5" t="s">
        <v>16</v>
      </c>
      <c r="M379" s="3" t="str">
        <f t="shared" si="24"/>
        <v xml:space="preserve">        &lt;note time="125.187" string="2" fret="3" sustain="0.21" /&gt;</v>
      </c>
      <c r="N379" s="8" t="str">
        <f>chitar__3[[#This Row],[Column1.14]]</f>
        <v>125.187</v>
      </c>
      <c r="O379" s="6" t="s">
        <v>1764</v>
      </c>
    </row>
    <row r="380" spans="1:15" x14ac:dyDescent="0.45">
      <c r="A380" s="1" t="s">
        <v>388</v>
      </c>
      <c r="B380" s="1">
        <f t="shared" si="21"/>
        <v>125.628</v>
      </c>
      <c r="C380" s="1" t="str">
        <f t="shared" si="22"/>
        <v>125.628</v>
      </c>
      <c r="D380" s="1" t="str">
        <f t="shared" si="23"/>
        <v>125.628</v>
      </c>
      <c r="E380" s="1" t="str">
        <f>RIGHT(chitar__3[[#This Row],[Column1.2]],LEN(chitar__3[[#This Row],[Column1.2]])-7)</f>
        <v xml:space="preserve">" chordId="7" &gt;&lt;chordNote </v>
      </c>
      <c r="F380" s="1" t="s">
        <v>524</v>
      </c>
      <c r="G380" s="1" t="s">
        <v>899</v>
      </c>
      <c r="H380" s="1" t="s">
        <v>900</v>
      </c>
      <c r="I380" s="1"/>
      <c r="J380" s="1"/>
      <c r="L380" s="2" t="s">
        <v>16</v>
      </c>
      <c r="M380" s="3" t="str">
        <f t="shared" si="24"/>
        <v xml:space="preserve">        &lt;note time="125.628" string="1" fret="5" /&gt;</v>
      </c>
      <c r="N380" s="8" t="str">
        <f>chitar__3[[#This Row],[Column1.14]]</f>
        <v>125.628</v>
      </c>
      <c r="O380" s="4" t="s">
        <v>1495</v>
      </c>
    </row>
    <row r="381" spans="1:15" x14ac:dyDescent="0.45">
      <c r="A381" s="1" t="s">
        <v>16</v>
      </c>
      <c r="B381" s="1">
        <f t="shared" si="21"/>
        <v>125.857</v>
      </c>
      <c r="C381" s="1" t="str">
        <f t="shared" si="22"/>
        <v>125.857</v>
      </c>
      <c r="D381" s="1" t="str">
        <f t="shared" si="23"/>
        <v>125.857</v>
      </c>
      <c r="E381" s="1" t="str">
        <f>RIGHT(chitar__3[[#This Row],[Column1.2]],LEN(chitar__3[[#This Row],[Column1.2]])-7)</f>
        <v>" string="0" fret="10" palmMute="1" /&gt;</v>
      </c>
      <c r="F381" s="1" t="s">
        <v>258</v>
      </c>
      <c r="G381" s="1"/>
      <c r="H381" s="1"/>
      <c r="I381" s="1"/>
      <c r="J381" s="1"/>
      <c r="L381" s="5" t="s">
        <v>16</v>
      </c>
      <c r="M381" s="3" t="str">
        <f t="shared" si="24"/>
        <v xml:space="preserve">        &lt;note time="125.857" string="1" fret="5" /&gt;</v>
      </c>
      <c r="N381" s="8" t="str">
        <f>chitar__3[[#This Row],[Column1.14]]</f>
        <v>125.857</v>
      </c>
      <c r="O381" s="6" t="s">
        <v>1496</v>
      </c>
    </row>
    <row r="382" spans="1:15" x14ac:dyDescent="0.45">
      <c r="A382" s="1" t="s">
        <v>16</v>
      </c>
      <c r="B382" s="1">
        <f t="shared" si="21"/>
        <v>126.077</v>
      </c>
      <c r="C382" s="1" t="str">
        <f t="shared" si="22"/>
        <v>126.077</v>
      </c>
      <c r="D382" s="1" t="str">
        <f t="shared" si="23"/>
        <v>126.077</v>
      </c>
      <c r="E382" s="1" t="str">
        <f>RIGHT(chitar__3[[#This Row],[Column1.2]],LEN(chitar__3[[#This Row],[Column1.2]])-7)</f>
        <v>" string="0" fret="10" palmMute="1" /&gt;</v>
      </c>
      <c r="F382" s="1" t="s">
        <v>259</v>
      </c>
      <c r="G382" s="1"/>
      <c r="H382" s="1"/>
      <c r="I382" s="1"/>
      <c r="J382" s="1"/>
      <c r="L382" s="2" t="s">
        <v>16</v>
      </c>
      <c r="M382" s="3" t="str">
        <f t="shared" si="24"/>
        <v xml:space="preserve">        &lt;note time="126.077" string="1" fret="5" /&gt;</v>
      </c>
      <c r="N382" s="8" t="str">
        <f>chitar__3[[#This Row],[Column1.14]]</f>
        <v>126.077</v>
      </c>
      <c r="O382" s="4" t="s">
        <v>1497</v>
      </c>
    </row>
    <row r="383" spans="1:15" x14ac:dyDescent="0.45">
      <c r="A383" s="1" t="s">
        <v>16</v>
      </c>
      <c r="B383" s="1">
        <f t="shared" si="21"/>
        <v>126.309</v>
      </c>
      <c r="C383" s="1" t="str">
        <f t="shared" si="22"/>
        <v>126.309</v>
      </c>
      <c r="D383" s="1" t="str">
        <f t="shared" si="23"/>
        <v>126.309</v>
      </c>
      <c r="E383" s="1" t="str">
        <f>RIGHT(chitar__3[[#This Row],[Column1.2]],LEN(chitar__3[[#This Row],[Column1.2]])-7)</f>
        <v>" string="0" fret="10" palmMute="1" /&gt;</v>
      </c>
      <c r="F383" s="1" t="s">
        <v>260</v>
      </c>
      <c r="G383" s="1"/>
      <c r="H383" s="1"/>
      <c r="I383" s="1"/>
      <c r="J383" s="1"/>
      <c r="L383" s="5" t="s">
        <v>16</v>
      </c>
      <c r="M383" s="3" t="str">
        <f t="shared" si="24"/>
        <v xml:space="preserve">        &lt;note time="126.309" string="1" fret="5" /&gt;</v>
      </c>
      <c r="N383" s="8" t="str">
        <f>chitar__3[[#This Row],[Column1.14]]</f>
        <v>126.309</v>
      </c>
      <c r="O383" s="6" t="s">
        <v>1498</v>
      </c>
    </row>
    <row r="384" spans="1:15" x14ac:dyDescent="0.45">
      <c r="A384" s="1" t="s">
        <v>388</v>
      </c>
      <c r="B384" s="1">
        <f t="shared" si="21"/>
        <v>126.50700000000001</v>
      </c>
      <c r="C384" s="1" t="str">
        <f t="shared" si="22"/>
        <v>126.507</v>
      </c>
      <c r="D384" s="1" t="str">
        <f t="shared" si="23"/>
        <v>126.507</v>
      </c>
      <c r="E384" s="1" t="str">
        <f>RIGHT(chitar__3[[#This Row],[Column1.2]],LEN(chitar__3[[#This Row],[Column1.2]])-7)</f>
        <v xml:space="preserve">" chordId="4" &gt;&lt;chordNote </v>
      </c>
      <c r="F384" s="1" t="s">
        <v>525</v>
      </c>
      <c r="G384" s="1" t="s">
        <v>901</v>
      </c>
      <c r="H384" s="1" t="s">
        <v>902</v>
      </c>
      <c r="I384" s="1"/>
      <c r="J384" s="1"/>
      <c r="L384" s="2" t="s">
        <v>16</v>
      </c>
      <c r="M384" s="3" t="str">
        <f t="shared" si="24"/>
        <v xml:space="preserve">        &lt;note time="126.507" string="2" fret="5" /&gt;</v>
      </c>
      <c r="N384" s="8" t="str">
        <f>chitar__3[[#This Row],[Column1.14]]</f>
        <v>126.507</v>
      </c>
      <c r="O384" s="4" t="s">
        <v>1499</v>
      </c>
    </row>
    <row r="385" spans="1:15" x14ac:dyDescent="0.45">
      <c r="A385" s="1" t="s">
        <v>388</v>
      </c>
      <c r="B385" s="1">
        <f t="shared" si="21"/>
        <v>126.89700000000001</v>
      </c>
      <c r="C385" s="1" t="str">
        <f t="shared" si="22"/>
        <v>126.897</v>
      </c>
      <c r="D385" s="1" t="str">
        <f t="shared" si="23"/>
        <v>126.897</v>
      </c>
      <c r="E385" s="1" t="str">
        <f>RIGHT(chitar__3[[#This Row],[Column1.2]],LEN(chitar__3[[#This Row],[Column1.2]])-7)</f>
        <v xml:space="preserve">" chordId="5" &gt;&lt;chordNote </v>
      </c>
      <c r="F385" s="1" t="s">
        <v>526</v>
      </c>
      <c r="G385" s="1" t="s">
        <v>903</v>
      </c>
      <c r="H385" s="1" t="s">
        <v>904</v>
      </c>
      <c r="I385" s="1"/>
      <c r="J385" s="1"/>
      <c r="L385" s="5" t="s">
        <v>16</v>
      </c>
      <c r="M385" s="3" t="str">
        <f t="shared" si="24"/>
        <v xml:space="preserve">        &lt;note time="126.897" string="2" fret="3" sustain="0.21" /&gt;</v>
      </c>
      <c r="N385" s="8" t="str">
        <f>chitar__3[[#This Row],[Column1.14]]</f>
        <v>126.897</v>
      </c>
      <c r="O385" s="6" t="s">
        <v>1765</v>
      </c>
    </row>
    <row r="386" spans="1:15" x14ac:dyDescent="0.45">
      <c r="A386" s="1" t="s">
        <v>388</v>
      </c>
      <c r="B386" s="1">
        <f t="shared" si="21"/>
        <v>127.33799999999999</v>
      </c>
      <c r="C386" s="1" t="str">
        <f t="shared" si="22"/>
        <v>127.338</v>
      </c>
      <c r="D386" s="1" t="str">
        <f t="shared" si="23"/>
        <v>127.338</v>
      </c>
      <c r="E386" s="1" t="str">
        <f>RIGHT(chitar__3[[#This Row],[Column1.2]],LEN(chitar__3[[#This Row],[Column1.2]])-7)</f>
        <v xml:space="preserve">" chordId="7" &gt;&lt;chordNote </v>
      </c>
      <c r="F386" s="1" t="s">
        <v>527</v>
      </c>
      <c r="G386" s="1" t="s">
        <v>905</v>
      </c>
      <c r="H386" s="1" t="s">
        <v>906</v>
      </c>
      <c r="I386" s="1"/>
      <c r="J386" s="1"/>
      <c r="L386" s="2" t="s">
        <v>16</v>
      </c>
      <c r="M386" s="3" t="str">
        <f t="shared" si="24"/>
        <v xml:space="preserve">        &lt;note time="127.338" string="1" fret="5" /&gt;</v>
      </c>
      <c r="N386" s="8" t="str">
        <f>chitar__3[[#This Row],[Column1.14]]</f>
        <v>127.338</v>
      </c>
      <c r="O386" s="4" t="s">
        <v>1501</v>
      </c>
    </row>
    <row r="387" spans="1:15" x14ac:dyDescent="0.45">
      <c r="A387" s="1" t="s">
        <v>16</v>
      </c>
      <c r="B387" s="1">
        <f t="shared" ref="B387:B450" si="25">VALUE(C387)</f>
        <v>127.56699999999999</v>
      </c>
      <c r="C387" s="1" t="str">
        <f t="shared" ref="C387:C450" si="26">SUBSTITUTE(D387,"""","")</f>
        <v>127.567</v>
      </c>
      <c r="D387" s="1" t="str">
        <f t="shared" ref="D387:D450" si="27">LEFT(F387,7)</f>
        <v>127.567</v>
      </c>
      <c r="E387" s="1" t="str">
        <f>RIGHT(chitar__3[[#This Row],[Column1.2]],LEN(chitar__3[[#This Row],[Column1.2]])-7)</f>
        <v>" string="0" fret="10" palmMute="1" /&gt;</v>
      </c>
      <c r="F387" s="1" t="s">
        <v>261</v>
      </c>
      <c r="G387" s="1"/>
      <c r="H387" s="1"/>
      <c r="I387" s="1"/>
      <c r="J387" s="1"/>
      <c r="L387" s="5" t="s">
        <v>16</v>
      </c>
      <c r="M387" s="3" t="str">
        <f t="shared" si="24"/>
        <v xml:space="preserve">        &lt;note time="127.567" string="1" fret="5" /&gt;</v>
      </c>
      <c r="N387" s="8" t="str">
        <f>chitar__3[[#This Row],[Column1.14]]</f>
        <v>127.567</v>
      </c>
      <c r="O387" s="6" t="s">
        <v>1502</v>
      </c>
    </row>
    <row r="388" spans="1:15" x14ac:dyDescent="0.45">
      <c r="A388" s="1" t="s">
        <v>16</v>
      </c>
      <c r="B388" s="1">
        <f t="shared" si="25"/>
        <v>127.78700000000001</v>
      </c>
      <c r="C388" s="1" t="str">
        <f t="shared" si="26"/>
        <v>127.787</v>
      </c>
      <c r="D388" s="1" t="str">
        <f t="shared" si="27"/>
        <v>127.787</v>
      </c>
      <c r="E388" s="1" t="str">
        <f>RIGHT(chitar__3[[#This Row],[Column1.2]],LEN(chitar__3[[#This Row],[Column1.2]])-7)</f>
        <v>" string="0" fret="10" palmMute="1" /&gt;</v>
      </c>
      <c r="F388" s="1" t="s">
        <v>262</v>
      </c>
      <c r="G388" s="1"/>
      <c r="H388" s="1"/>
      <c r="I388" s="1"/>
      <c r="J388" s="1"/>
      <c r="L388" s="2" t="s">
        <v>16</v>
      </c>
      <c r="M388" s="3" t="str">
        <f t="shared" si="24"/>
        <v xml:space="preserve">        &lt;note time="127.787" string="1" fret="5" /&gt;</v>
      </c>
      <c r="N388" s="8" t="str">
        <f>chitar__3[[#This Row],[Column1.14]]</f>
        <v>127.787</v>
      </c>
      <c r="O388" s="4" t="s">
        <v>1503</v>
      </c>
    </row>
    <row r="389" spans="1:15" x14ac:dyDescent="0.45">
      <c r="A389" s="1" t="s">
        <v>16</v>
      </c>
      <c r="B389" s="1">
        <f t="shared" si="25"/>
        <v>128.01900000000001</v>
      </c>
      <c r="C389" s="1" t="str">
        <f t="shared" si="26"/>
        <v>128.019</v>
      </c>
      <c r="D389" s="1" t="str">
        <f t="shared" si="27"/>
        <v>128.019</v>
      </c>
      <c r="E389" s="1" t="str">
        <f>RIGHT(chitar__3[[#This Row],[Column1.2]],LEN(chitar__3[[#This Row],[Column1.2]])-7)</f>
        <v>" string="0" fret="10" palmMute="1" /&gt;</v>
      </c>
      <c r="F389" s="1" t="s">
        <v>263</v>
      </c>
      <c r="G389" s="1"/>
      <c r="H389" s="1"/>
      <c r="I389" s="1"/>
      <c r="J389" s="1"/>
      <c r="L389" s="5" t="s">
        <v>16</v>
      </c>
      <c r="M389" s="3" t="str">
        <f t="shared" si="24"/>
        <v xml:space="preserve">        &lt;note time="128.019" string="1" fret="5" /&gt;</v>
      </c>
      <c r="N389" s="8" t="str">
        <f>chitar__3[[#This Row],[Column1.14]]</f>
        <v>128.019</v>
      </c>
      <c r="O389" s="6" t="s">
        <v>1504</v>
      </c>
    </row>
    <row r="390" spans="1:15" x14ac:dyDescent="0.45">
      <c r="A390" s="1" t="s">
        <v>388</v>
      </c>
      <c r="B390" s="1">
        <f t="shared" si="25"/>
        <v>128.24</v>
      </c>
      <c r="C390" s="1" t="str">
        <f t="shared" si="26"/>
        <v>128.240</v>
      </c>
      <c r="D390" s="1" t="str">
        <f t="shared" si="27"/>
        <v>128.240</v>
      </c>
      <c r="E390" s="1" t="str">
        <f>RIGHT(chitar__3[[#This Row],[Column1.2]],LEN(chitar__3[[#This Row],[Column1.2]])-7)</f>
        <v xml:space="preserve">" chordId="2" &gt;&lt;chordNote </v>
      </c>
      <c r="F390" s="1" t="s">
        <v>528</v>
      </c>
      <c r="G390" s="1" t="s">
        <v>907</v>
      </c>
      <c r="H390" s="1" t="s">
        <v>908</v>
      </c>
      <c r="I390" s="1"/>
      <c r="J390" s="1"/>
      <c r="L390" s="2" t="s">
        <v>16</v>
      </c>
      <c r="M390" s="3" t="str">
        <f t="shared" si="24"/>
        <v xml:space="preserve">        &lt;note time="128.240" string="0" fret="3" /&gt;</v>
      </c>
      <c r="N390" s="8" t="str">
        <f>chitar__3[[#This Row],[Column1.14]]</f>
        <v>128.240</v>
      </c>
      <c r="O390" s="4" t="s">
        <v>1505</v>
      </c>
    </row>
    <row r="391" spans="1:15" x14ac:dyDescent="0.45">
      <c r="A391" s="1" t="s">
        <v>388</v>
      </c>
      <c r="B391" s="1">
        <f t="shared" si="25"/>
        <v>128.49</v>
      </c>
      <c r="C391" s="1" t="str">
        <f t="shared" si="26"/>
        <v>128.490</v>
      </c>
      <c r="D391" s="1" t="str">
        <f t="shared" si="27"/>
        <v>128.490</v>
      </c>
      <c r="E391" s="1" t="str">
        <f>RIGHT(chitar__3[[#This Row],[Column1.2]],LEN(chitar__3[[#This Row],[Column1.2]])-7)</f>
        <v xml:space="preserve">" chordId="2" highDensity="1" &gt;&lt;chordNote </v>
      </c>
      <c r="F391" s="1" t="s">
        <v>529</v>
      </c>
      <c r="G391" s="1" t="s">
        <v>909</v>
      </c>
      <c r="H391" s="1" t="s">
        <v>910</v>
      </c>
      <c r="I391" s="1"/>
      <c r="J391" s="1"/>
      <c r="L391" s="5" t="s">
        <v>16</v>
      </c>
      <c r="M391" s="3" t="str">
        <f t="shared" si="24"/>
        <v xml:space="preserve">        &lt;note time="128.490" string="0" fret="3" /&gt;</v>
      </c>
      <c r="N391" s="8" t="str">
        <f>chitar__3[[#This Row],[Column1.14]]</f>
        <v>128.490</v>
      </c>
      <c r="O391" s="6" t="s">
        <v>1506</v>
      </c>
    </row>
    <row r="392" spans="1:15" x14ac:dyDescent="0.45">
      <c r="A392" s="1" t="s">
        <v>388</v>
      </c>
      <c r="B392" s="1">
        <f t="shared" si="25"/>
        <v>128.72999999999999</v>
      </c>
      <c r="C392" s="1" t="str">
        <f t="shared" si="26"/>
        <v>128.730</v>
      </c>
      <c r="D392" s="1" t="str">
        <f t="shared" si="27"/>
        <v>128.730</v>
      </c>
      <c r="E392" s="1" t="str">
        <f>RIGHT(chitar__3[[#This Row],[Column1.2]],LEN(chitar__3[[#This Row],[Column1.2]])-7)</f>
        <v xml:space="preserve">" chordId="3" &gt;&lt;chordNote </v>
      </c>
      <c r="F392" s="1" t="s">
        <v>530</v>
      </c>
      <c r="G392" s="1" t="s">
        <v>911</v>
      </c>
      <c r="H392" s="1" t="s">
        <v>912</v>
      </c>
      <c r="I392" s="1"/>
      <c r="J392" s="1"/>
      <c r="L392" s="2" t="s">
        <v>16</v>
      </c>
      <c r="M392" s="3" t="str">
        <f t="shared" si="24"/>
        <v xml:space="preserve">        &lt;note time="128.730" string="0" fret="5" sustain="0.21" /&gt;</v>
      </c>
      <c r="N392" s="8" t="str">
        <f>chitar__3[[#This Row],[Column1.14]]</f>
        <v>128.730</v>
      </c>
      <c r="O392" s="4" t="s">
        <v>1766</v>
      </c>
    </row>
    <row r="393" spans="1:15" x14ac:dyDescent="0.45">
      <c r="A393" s="1" t="s">
        <v>388</v>
      </c>
      <c r="B393" s="1">
        <f t="shared" si="25"/>
        <v>129.16999999999999</v>
      </c>
      <c r="C393" s="1" t="str">
        <f t="shared" si="26"/>
        <v>129.170</v>
      </c>
      <c r="D393" s="1" t="str">
        <f t="shared" si="27"/>
        <v>129.170</v>
      </c>
      <c r="E393" s="1" t="str">
        <f>RIGHT(chitar__3[[#This Row],[Column1.2]],LEN(chitar__3[[#This Row],[Column1.2]])-7)</f>
        <v xml:space="preserve">" chordId="3" highDensity="1" &gt;&lt;chordNote </v>
      </c>
      <c r="F393" s="1" t="s">
        <v>531</v>
      </c>
      <c r="G393" s="1" t="s">
        <v>913</v>
      </c>
      <c r="H393" s="1" t="s">
        <v>914</v>
      </c>
      <c r="I393" s="1"/>
      <c r="J393" s="1"/>
      <c r="L393" s="5" t="s">
        <v>16</v>
      </c>
      <c r="M393" s="3" t="str">
        <f t="shared" si="24"/>
        <v xml:space="preserve">        &lt;note time="129.170" string="0" fret="5" /&gt;</v>
      </c>
      <c r="N393" s="8" t="str">
        <f>chitar__3[[#This Row],[Column1.14]]</f>
        <v>129.170</v>
      </c>
      <c r="O393" s="6" t="s">
        <v>1508</v>
      </c>
    </row>
    <row r="394" spans="1:15" x14ac:dyDescent="0.45">
      <c r="A394" s="1" t="s">
        <v>388</v>
      </c>
      <c r="B394" s="1">
        <f t="shared" si="25"/>
        <v>129.37</v>
      </c>
      <c r="C394" s="1" t="str">
        <f t="shared" si="26"/>
        <v>129.370</v>
      </c>
      <c r="D394" s="1" t="str">
        <f t="shared" si="27"/>
        <v>129.370</v>
      </c>
      <c r="E394" s="1" t="str">
        <f>RIGHT(chitar__3[[#This Row],[Column1.2]],LEN(chitar__3[[#This Row],[Column1.2]])-7)</f>
        <v xml:space="preserve">" chordId="3" highDensity="1" &gt;&lt;chordNote </v>
      </c>
      <c r="F394" s="1" t="s">
        <v>532</v>
      </c>
      <c r="G394" s="1" t="s">
        <v>915</v>
      </c>
      <c r="H394" s="1" t="s">
        <v>916</v>
      </c>
      <c r="I394" s="1"/>
      <c r="J394" s="1"/>
      <c r="L394" s="2" t="s">
        <v>16</v>
      </c>
      <c r="M394" s="3" t="str">
        <f t="shared" si="24"/>
        <v xml:space="preserve">        &lt;note time="129.370" string="0" fret="5" /&gt;</v>
      </c>
      <c r="N394" s="8" t="str">
        <f>chitar__3[[#This Row],[Column1.14]]</f>
        <v>129.370</v>
      </c>
      <c r="O394" s="4" t="s">
        <v>1509</v>
      </c>
    </row>
    <row r="395" spans="1:15" x14ac:dyDescent="0.45">
      <c r="A395" s="1" t="s">
        <v>388</v>
      </c>
      <c r="B395" s="1">
        <f t="shared" si="25"/>
        <v>129.57</v>
      </c>
      <c r="C395" s="1" t="str">
        <f t="shared" si="26"/>
        <v>129.570</v>
      </c>
      <c r="D395" s="1" t="str">
        <f t="shared" si="27"/>
        <v>129.570</v>
      </c>
      <c r="E395" s="1" t="str">
        <f>RIGHT(chitar__3[[#This Row],[Column1.2]],LEN(chitar__3[[#This Row],[Column1.2]])-7)</f>
        <v xml:space="preserve">" chordId="3" highDensity="1" &gt;&lt;chordNote </v>
      </c>
      <c r="F395" s="1" t="s">
        <v>533</v>
      </c>
      <c r="G395" s="1" t="s">
        <v>917</v>
      </c>
      <c r="H395" s="1" t="s">
        <v>918</v>
      </c>
      <c r="I395" s="1"/>
      <c r="J395" s="1"/>
      <c r="L395" s="5" t="s">
        <v>16</v>
      </c>
      <c r="M395" s="3" t="str">
        <f t="shared" si="24"/>
        <v xml:space="preserve">        &lt;note time="129.570" string="0" fret="5" /&gt;</v>
      </c>
      <c r="N395" s="8" t="str">
        <f>chitar__3[[#This Row],[Column1.14]]</f>
        <v>129.570</v>
      </c>
      <c r="O395" s="6" t="s">
        <v>1510</v>
      </c>
    </row>
    <row r="396" spans="1:15" x14ac:dyDescent="0.45">
      <c r="A396" s="1" t="s">
        <v>388</v>
      </c>
      <c r="B396" s="1">
        <f t="shared" si="25"/>
        <v>129.78</v>
      </c>
      <c r="C396" s="1" t="str">
        <f t="shared" si="26"/>
        <v>129.780</v>
      </c>
      <c r="D396" s="1" t="str">
        <f t="shared" si="27"/>
        <v>129.780</v>
      </c>
      <c r="E396" s="1" t="str">
        <f>RIGHT(chitar__3[[#This Row],[Column1.2]],LEN(chitar__3[[#This Row],[Column1.2]])-7)</f>
        <v xml:space="preserve">" chordId="3" highDensity="1" &gt;&lt;chordNote </v>
      </c>
      <c r="F396" s="1" t="s">
        <v>534</v>
      </c>
      <c r="G396" s="1" t="s">
        <v>919</v>
      </c>
      <c r="H396" s="1" t="s">
        <v>920</v>
      </c>
      <c r="I396" s="1"/>
      <c r="J396" s="1"/>
      <c r="L396" s="2" t="s">
        <v>16</v>
      </c>
      <c r="M396" s="3" t="str">
        <f t="shared" si="24"/>
        <v xml:space="preserve">        &lt;note time="129.780" string="0" fret="5" /&gt;</v>
      </c>
      <c r="N396" s="8" t="str">
        <f>chitar__3[[#This Row],[Column1.14]]</f>
        <v>129.780</v>
      </c>
      <c r="O396" s="4" t="s">
        <v>1511</v>
      </c>
    </row>
    <row r="397" spans="1:15" x14ac:dyDescent="0.45">
      <c r="A397" s="1" t="s">
        <v>388</v>
      </c>
      <c r="B397" s="1">
        <f t="shared" si="25"/>
        <v>130</v>
      </c>
      <c r="C397" s="1" t="str">
        <f t="shared" si="26"/>
        <v>130.000</v>
      </c>
      <c r="D397" s="1" t="str">
        <f t="shared" si="27"/>
        <v>130.000</v>
      </c>
      <c r="E397" s="1" t="str">
        <f>RIGHT(chitar__3[[#This Row],[Column1.2]],LEN(chitar__3[[#This Row],[Column1.2]])-7)</f>
        <v xml:space="preserve">" chordId="2" &gt;&lt;chordNote </v>
      </c>
      <c r="F397" s="1" t="s">
        <v>535</v>
      </c>
      <c r="G397" s="1" t="s">
        <v>921</v>
      </c>
      <c r="H397" s="1" t="s">
        <v>922</v>
      </c>
      <c r="I397" s="1"/>
      <c r="J397" s="1"/>
      <c r="L397" s="5" t="s">
        <v>16</v>
      </c>
      <c r="M397" s="3" t="str">
        <f t="shared" si="24"/>
        <v xml:space="preserve">        &lt;note time="130.000" string="0" fret="3" /&gt;</v>
      </c>
      <c r="N397" s="8" t="str">
        <f>chitar__3[[#This Row],[Column1.14]]</f>
        <v>130.000</v>
      </c>
      <c r="O397" s="6" t="s">
        <v>1512</v>
      </c>
    </row>
    <row r="398" spans="1:15" x14ac:dyDescent="0.45">
      <c r="A398" s="1" t="s">
        <v>388</v>
      </c>
      <c r="B398" s="1">
        <f t="shared" si="25"/>
        <v>130.22</v>
      </c>
      <c r="C398" s="1" t="str">
        <f t="shared" si="26"/>
        <v>130.220</v>
      </c>
      <c r="D398" s="1" t="str">
        <f t="shared" si="27"/>
        <v>130.220</v>
      </c>
      <c r="E398" s="1" t="str">
        <f>RIGHT(chitar__3[[#This Row],[Column1.2]],LEN(chitar__3[[#This Row],[Column1.2]])-7)</f>
        <v xml:space="preserve">" chordId="2" highDensity="1" &gt;&lt;chordNote </v>
      </c>
      <c r="F398" s="1" t="s">
        <v>536</v>
      </c>
      <c r="G398" s="1" t="s">
        <v>923</v>
      </c>
      <c r="H398" s="1" t="s">
        <v>924</v>
      </c>
      <c r="I398" s="1"/>
      <c r="J398" s="1"/>
      <c r="L398" s="2" t="s">
        <v>16</v>
      </c>
      <c r="M398" s="3" t="str">
        <f t="shared" si="24"/>
        <v xml:space="preserve">        &lt;note time="130.220" string="0" fret="3" /&gt;</v>
      </c>
      <c r="N398" s="8" t="str">
        <f>chitar__3[[#This Row],[Column1.14]]</f>
        <v>130.220</v>
      </c>
      <c r="O398" s="4" t="s">
        <v>1513</v>
      </c>
    </row>
    <row r="399" spans="1:15" x14ac:dyDescent="0.45">
      <c r="A399" s="1" t="s">
        <v>388</v>
      </c>
      <c r="B399" s="1">
        <f t="shared" si="25"/>
        <v>130.44999999999999</v>
      </c>
      <c r="C399" s="1" t="str">
        <f t="shared" si="26"/>
        <v>130.450</v>
      </c>
      <c r="D399" s="1" t="str">
        <f t="shared" si="27"/>
        <v>130.450</v>
      </c>
      <c r="E399" s="1" t="str">
        <f>RIGHT(chitar__3[[#This Row],[Column1.2]],LEN(chitar__3[[#This Row],[Column1.2]])-7)</f>
        <v xml:space="preserve">" chordId="3" &gt;&lt;chordNote </v>
      </c>
      <c r="F399" s="1" t="s">
        <v>537</v>
      </c>
      <c r="G399" s="1" t="s">
        <v>925</v>
      </c>
      <c r="H399" s="1" t="s">
        <v>926</v>
      </c>
      <c r="I399" s="1"/>
      <c r="J399" s="1"/>
      <c r="L399" s="5" t="s">
        <v>16</v>
      </c>
      <c r="M399" s="3" t="str">
        <f t="shared" si="24"/>
        <v xml:space="preserve">        &lt;note time="130.450" string="0" fret="5" sustain="0.21" /&gt;</v>
      </c>
      <c r="N399" s="8" t="str">
        <f>chitar__3[[#This Row],[Column1.14]]</f>
        <v>130.450</v>
      </c>
      <c r="O399" s="6" t="s">
        <v>1767</v>
      </c>
    </row>
    <row r="400" spans="1:15" x14ac:dyDescent="0.45">
      <c r="A400" s="1" t="s">
        <v>388</v>
      </c>
      <c r="B400" s="1">
        <f t="shared" si="25"/>
        <v>130.928</v>
      </c>
      <c r="C400" s="1" t="str">
        <f t="shared" si="26"/>
        <v>130.928</v>
      </c>
      <c r="D400" s="1" t="str">
        <f t="shared" si="27"/>
        <v>130.928</v>
      </c>
      <c r="E400" s="1" t="str">
        <f>RIGHT(chitar__3[[#This Row],[Column1.2]],LEN(chitar__3[[#This Row],[Column1.2]])-7)</f>
        <v xml:space="preserve">" chordId="3" highDensity="1" &gt;&lt;chordNote </v>
      </c>
      <c r="F400" s="1" t="s">
        <v>538</v>
      </c>
      <c r="G400" s="1" t="s">
        <v>927</v>
      </c>
      <c r="H400" s="1" t="s">
        <v>928</v>
      </c>
      <c r="I400" s="1"/>
      <c r="J400" s="1"/>
      <c r="L400" s="2" t="s">
        <v>16</v>
      </c>
      <c r="M400" s="3" t="str">
        <f t="shared" si="24"/>
        <v xml:space="preserve">        &lt;note time="130.928" string="0" fret="5" /&gt;</v>
      </c>
      <c r="N400" s="8" t="str">
        <f>chitar__3[[#This Row],[Column1.14]]</f>
        <v>130.928</v>
      </c>
      <c r="O400" s="4" t="s">
        <v>1515</v>
      </c>
    </row>
    <row r="401" spans="1:15" x14ac:dyDescent="0.45">
      <c r="A401" s="1" t="s">
        <v>388</v>
      </c>
      <c r="B401" s="1">
        <f t="shared" si="25"/>
        <v>131.13800000000001</v>
      </c>
      <c r="C401" s="1" t="str">
        <f t="shared" si="26"/>
        <v>131.138</v>
      </c>
      <c r="D401" s="1" t="str">
        <f t="shared" si="27"/>
        <v>131.138</v>
      </c>
      <c r="E401" s="1" t="str">
        <f>RIGHT(chitar__3[[#This Row],[Column1.2]],LEN(chitar__3[[#This Row],[Column1.2]])-7)</f>
        <v xml:space="preserve">" chordId="3" highDensity="1" &gt;&lt;chordNote </v>
      </c>
      <c r="F401" s="1" t="s">
        <v>539</v>
      </c>
      <c r="G401" s="1" t="s">
        <v>929</v>
      </c>
      <c r="H401" s="1" t="s">
        <v>930</v>
      </c>
      <c r="I401" s="1"/>
      <c r="J401" s="1"/>
      <c r="L401" s="5" t="s">
        <v>16</v>
      </c>
      <c r="M401" s="3" t="str">
        <f t="shared" si="24"/>
        <v xml:space="preserve">        &lt;note time="131.138" string="0" fret="5" /&gt;</v>
      </c>
      <c r="N401" s="8" t="str">
        <f>chitar__3[[#This Row],[Column1.14]]</f>
        <v>131.138</v>
      </c>
      <c r="O401" s="6" t="s">
        <v>1516</v>
      </c>
    </row>
    <row r="402" spans="1:15" x14ac:dyDescent="0.45">
      <c r="A402" s="1" t="s">
        <v>388</v>
      </c>
      <c r="B402" s="1">
        <f t="shared" si="25"/>
        <v>131.33799999999999</v>
      </c>
      <c r="C402" s="1" t="str">
        <f t="shared" si="26"/>
        <v>131.338</v>
      </c>
      <c r="D402" s="1" t="str">
        <f t="shared" si="27"/>
        <v>131.338</v>
      </c>
      <c r="E402" s="1" t="str">
        <f>RIGHT(chitar__3[[#This Row],[Column1.2]],LEN(chitar__3[[#This Row],[Column1.2]])-7)</f>
        <v xml:space="preserve">" chordId="3" highDensity="1" &gt;&lt;chordNote </v>
      </c>
      <c r="F402" s="1" t="s">
        <v>540</v>
      </c>
      <c r="G402" s="1" t="s">
        <v>931</v>
      </c>
      <c r="H402" s="1" t="s">
        <v>932</v>
      </c>
      <c r="I402" s="1"/>
      <c r="J402" s="1"/>
      <c r="L402" s="2" t="s">
        <v>16</v>
      </c>
      <c r="M402" s="3" t="str">
        <f t="shared" si="24"/>
        <v xml:space="preserve">        &lt;note time="131.338" string="0" fret="5" /&gt;</v>
      </c>
      <c r="N402" s="8" t="str">
        <f>chitar__3[[#This Row],[Column1.14]]</f>
        <v>131.338</v>
      </c>
      <c r="O402" s="4" t="s">
        <v>1517</v>
      </c>
    </row>
    <row r="403" spans="1:15" x14ac:dyDescent="0.45">
      <c r="A403" s="1" t="s">
        <v>388</v>
      </c>
      <c r="B403" s="1">
        <f t="shared" si="25"/>
        <v>131.55799999999999</v>
      </c>
      <c r="C403" s="1" t="str">
        <f t="shared" si="26"/>
        <v>131.558</v>
      </c>
      <c r="D403" s="1" t="str">
        <f t="shared" si="27"/>
        <v>131.558</v>
      </c>
      <c r="E403" s="1" t="str">
        <f>RIGHT(chitar__3[[#This Row],[Column1.2]],LEN(chitar__3[[#This Row],[Column1.2]])-7)</f>
        <v xml:space="preserve">" chordId="3" highDensity="1" &gt;&lt;chordNote </v>
      </c>
      <c r="F403" s="1" t="s">
        <v>541</v>
      </c>
      <c r="G403" s="1" t="s">
        <v>933</v>
      </c>
      <c r="H403" s="1" t="s">
        <v>934</v>
      </c>
      <c r="I403" s="1"/>
      <c r="J403" s="1"/>
      <c r="L403" s="5" t="s">
        <v>16</v>
      </c>
      <c r="M403" s="3" t="str">
        <f t="shared" si="24"/>
        <v xml:space="preserve">        &lt;note time="131.558" string="0" fret="5" /&gt;</v>
      </c>
      <c r="N403" s="8" t="str">
        <f>chitar__3[[#This Row],[Column1.14]]</f>
        <v>131.558</v>
      </c>
      <c r="O403" s="6" t="s">
        <v>1518</v>
      </c>
    </row>
    <row r="404" spans="1:15" x14ac:dyDescent="0.45">
      <c r="A404" s="1" t="s">
        <v>388</v>
      </c>
      <c r="B404" s="1">
        <f t="shared" si="25"/>
        <v>131.77799999999999</v>
      </c>
      <c r="C404" s="1" t="str">
        <f t="shared" si="26"/>
        <v>131.778</v>
      </c>
      <c r="D404" s="1" t="str">
        <f t="shared" si="27"/>
        <v>131.778</v>
      </c>
      <c r="E404" s="1" t="str">
        <f>RIGHT(chitar__3[[#This Row],[Column1.2]],LEN(chitar__3[[#This Row],[Column1.2]])-7)</f>
        <v xml:space="preserve">" chordId="2" &gt;&lt;chordNote </v>
      </c>
      <c r="F404" s="1" t="s">
        <v>542</v>
      </c>
      <c r="G404" s="1" t="s">
        <v>935</v>
      </c>
      <c r="H404" s="1" t="s">
        <v>936</v>
      </c>
      <c r="I404" s="1"/>
      <c r="J404" s="1"/>
      <c r="L404" s="2" t="s">
        <v>16</v>
      </c>
      <c r="M404" s="3" t="str">
        <f t="shared" si="24"/>
        <v xml:space="preserve">        &lt;note time="131.778" string="0" fret="3" /&gt;</v>
      </c>
      <c r="N404" s="8" t="str">
        <f>chitar__3[[#This Row],[Column1.14]]</f>
        <v>131.778</v>
      </c>
      <c r="O404" s="4" t="s">
        <v>1519</v>
      </c>
    </row>
    <row r="405" spans="1:15" x14ac:dyDescent="0.45">
      <c r="A405" s="1" t="s">
        <v>388</v>
      </c>
      <c r="B405" s="1">
        <f t="shared" si="25"/>
        <v>131.99799999999999</v>
      </c>
      <c r="C405" s="1" t="str">
        <f t="shared" si="26"/>
        <v>131.998</v>
      </c>
      <c r="D405" s="1" t="str">
        <f t="shared" si="27"/>
        <v>131.998</v>
      </c>
      <c r="E405" s="1" t="str">
        <f>RIGHT(chitar__3[[#This Row],[Column1.2]],LEN(chitar__3[[#This Row],[Column1.2]])-7)</f>
        <v xml:space="preserve">" chordId="2" highDensity="1" &gt;&lt;chordNote </v>
      </c>
      <c r="F405" s="1" t="s">
        <v>543</v>
      </c>
      <c r="G405" s="1" t="s">
        <v>937</v>
      </c>
      <c r="H405" s="1" t="s">
        <v>938</v>
      </c>
      <c r="I405" s="1"/>
      <c r="J405" s="1"/>
      <c r="L405" s="5" t="s">
        <v>16</v>
      </c>
      <c r="M405" s="3" t="str">
        <f t="shared" si="24"/>
        <v xml:space="preserve">        &lt;note time="131.998" string="0" fret="3" /&gt;</v>
      </c>
      <c r="N405" s="8" t="str">
        <f>chitar__3[[#This Row],[Column1.14]]</f>
        <v>131.998</v>
      </c>
      <c r="O405" s="6" t="s">
        <v>1520</v>
      </c>
    </row>
    <row r="406" spans="1:15" x14ac:dyDescent="0.45">
      <c r="A406" s="1" t="s">
        <v>388</v>
      </c>
      <c r="B406" s="1">
        <f t="shared" si="25"/>
        <v>132.21799999999999</v>
      </c>
      <c r="C406" s="1" t="str">
        <f t="shared" si="26"/>
        <v>132.218</v>
      </c>
      <c r="D406" s="1" t="str">
        <f t="shared" si="27"/>
        <v>132.218</v>
      </c>
      <c r="E406" s="1" t="str">
        <f>RIGHT(chitar__3[[#This Row],[Column1.2]],LEN(chitar__3[[#This Row],[Column1.2]])-7)</f>
        <v xml:space="preserve">" chordId="3" &gt;&lt;chordNote </v>
      </c>
      <c r="F406" s="1" t="s">
        <v>544</v>
      </c>
      <c r="G406" s="1" t="s">
        <v>939</v>
      </c>
      <c r="H406" s="1" t="s">
        <v>940</v>
      </c>
      <c r="I406" s="1"/>
      <c r="J406" s="1"/>
      <c r="L406" s="2" t="s">
        <v>16</v>
      </c>
      <c r="M406" s="3" t="str">
        <f t="shared" si="24"/>
        <v xml:space="preserve">        &lt;note time="132.218" string="0" fret="5" sustain="0.21" /&gt;</v>
      </c>
      <c r="N406" s="8" t="str">
        <f>chitar__3[[#This Row],[Column1.14]]</f>
        <v>132.218</v>
      </c>
      <c r="O406" s="4" t="s">
        <v>1768</v>
      </c>
    </row>
    <row r="407" spans="1:15" x14ac:dyDescent="0.45">
      <c r="A407" s="1" t="s">
        <v>388</v>
      </c>
      <c r="B407" s="1">
        <f t="shared" si="25"/>
        <v>132.68799999999999</v>
      </c>
      <c r="C407" s="1" t="str">
        <f t="shared" si="26"/>
        <v>132.688</v>
      </c>
      <c r="D407" s="1" t="str">
        <f t="shared" si="27"/>
        <v>132.688</v>
      </c>
      <c r="E407" s="1" t="str">
        <f>RIGHT(chitar__3[[#This Row],[Column1.2]],LEN(chitar__3[[#This Row],[Column1.2]])-7)</f>
        <v xml:space="preserve">" chordId="3" highDensity="1" &gt;&lt;chordNote </v>
      </c>
      <c r="F407" s="1" t="s">
        <v>545</v>
      </c>
      <c r="G407" s="1" t="s">
        <v>941</v>
      </c>
      <c r="H407" s="1" t="s">
        <v>942</v>
      </c>
      <c r="I407" s="1"/>
      <c r="J407" s="1"/>
      <c r="L407" s="5" t="s">
        <v>16</v>
      </c>
      <c r="M407" s="3" t="str">
        <f t="shared" si="24"/>
        <v xml:space="preserve">        &lt;note time="132.688" string="0" fret="5" /&gt;</v>
      </c>
      <c r="N407" s="8" t="str">
        <f>chitar__3[[#This Row],[Column1.14]]</f>
        <v>132.688</v>
      </c>
      <c r="O407" s="6" t="s">
        <v>1522</v>
      </c>
    </row>
    <row r="408" spans="1:15" x14ac:dyDescent="0.45">
      <c r="A408" s="1" t="s">
        <v>388</v>
      </c>
      <c r="B408" s="1">
        <f t="shared" si="25"/>
        <v>132.90799999999999</v>
      </c>
      <c r="C408" s="1" t="str">
        <f t="shared" si="26"/>
        <v>132.908</v>
      </c>
      <c r="D408" s="1" t="str">
        <f t="shared" si="27"/>
        <v>132.908</v>
      </c>
      <c r="E408" s="1" t="str">
        <f>RIGHT(chitar__3[[#This Row],[Column1.2]],LEN(chitar__3[[#This Row],[Column1.2]])-7)</f>
        <v xml:space="preserve">" chordId="3" highDensity="1" &gt;&lt;chordNote </v>
      </c>
      <c r="F408" s="1" t="s">
        <v>546</v>
      </c>
      <c r="G408" s="1" t="s">
        <v>943</v>
      </c>
      <c r="H408" s="1" t="s">
        <v>944</v>
      </c>
      <c r="I408" s="1"/>
      <c r="J408" s="1"/>
      <c r="L408" s="2" t="s">
        <v>16</v>
      </c>
      <c r="M408" s="3" t="str">
        <f t="shared" si="24"/>
        <v xml:space="preserve">        &lt;note time="132.908" string="0" fret="5" /&gt;</v>
      </c>
      <c r="N408" s="8" t="str">
        <f>chitar__3[[#This Row],[Column1.14]]</f>
        <v>132.908</v>
      </c>
      <c r="O408" s="4" t="s">
        <v>1523</v>
      </c>
    </row>
    <row r="409" spans="1:15" x14ac:dyDescent="0.45">
      <c r="A409" s="1" t="s">
        <v>388</v>
      </c>
      <c r="B409" s="1">
        <f t="shared" si="25"/>
        <v>133.108</v>
      </c>
      <c r="C409" s="1" t="str">
        <f t="shared" si="26"/>
        <v>133.108</v>
      </c>
      <c r="D409" s="1" t="str">
        <f t="shared" si="27"/>
        <v>133.108</v>
      </c>
      <c r="E409" s="1" t="str">
        <f>RIGHT(chitar__3[[#This Row],[Column1.2]],LEN(chitar__3[[#This Row],[Column1.2]])-7)</f>
        <v xml:space="preserve">" chordId="3" highDensity="1" &gt;&lt;chordNote </v>
      </c>
      <c r="F409" s="1" t="s">
        <v>547</v>
      </c>
      <c r="G409" s="1" t="s">
        <v>945</v>
      </c>
      <c r="H409" s="1" t="s">
        <v>946</v>
      </c>
      <c r="I409" s="1"/>
      <c r="J409" s="1"/>
      <c r="L409" s="5" t="s">
        <v>16</v>
      </c>
      <c r="M409" s="3" t="str">
        <f t="shared" si="24"/>
        <v xml:space="preserve">        &lt;note time="133.108" string="0" fret="5" /&gt;</v>
      </c>
      <c r="N409" s="8" t="str">
        <f>chitar__3[[#This Row],[Column1.14]]</f>
        <v>133.108</v>
      </c>
      <c r="O409" s="6" t="s">
        <v>1524</v>
      </c>
    </row>
    <row r="410" spans="1:15" x14ac:dyDescent="0.45">
      <c r="A410" s="1" t="s">
        <v>388</v>
      </c>
      <c r="B410" s="1">
        <f t="shared" si="25"/>
        <v>133.328</v>
      </c>
      <c r="C410" s="1" t="str">
        <f t="shared" si="26"/>
        <v>133.328</v>
      </c>
      <c r="D410" s="1" t="str">
        <f t="shared" si="27"/>
        <v>133.328</v>
      </c>
      <c r="E410" s="1" t="str">
        <f>RIGHT(chitar__3[[#This Row],[Column1.2]],LEN(chitar__3[[#This Row],[Column1.2]])-7)</f>
        <v xml:space="preserve">" chordId="3" highDensity="1" &gt;&lt;chordNote </v>
      </c>
      <c r="F410" s="1" t="s">
        <v>548</v>
      </c>
      <c r="G410" s="1" t="s">
        <v>947</v>
      </c>
      <c r="H410" s="1" t="s">
        <v>948</v>
      </c>
      <c r="I410" s="1"/>
      <c r="J410" s="1"/>
      <c r="L410" s="2" t="s">
        <v>16</v>
      </c>
      <c r="M410" s="3" t="str">
        <f t="shared" si="24"/>
        <v xml:space="preserve">        &lt;note time="133.328" string="0" fret="5" /&gt;</v>
      </c>
      <c r="N410" s="8" t="str">
        <f>chitar__3[[#This Row],[Column1.14]]</f>
        <v>133.328</v>
      </c>
      <c r="O410" s="4" t="s">
        <v>1525</v>
      </c>
    </row>
    <row r="411" spans="1:15" x14ac:dyDescent="0.45">
      <c r="A411" s="1" t="s">
        <v>388</v>
      </c>
      <c r="B411" s="1">
        <f t="shared" si="25"/>
        <v>133.53800000000001</v>
      </c>
      <c r="C411" s="1" t="str">
        <f t="shared" si="26"/>
        <v>133.538</v>
      </c>
      <c r="D411" s="1" t="str">
        <f t="shared" si="27"/>
        <v>133.538</v>
      </c>
      <c r="E411" s="1" t="str">
        <f>RIGHT(chitar__3[[#This Row],[Column1.2]],LEN(chitar__3[[#This Row],[Column1.2]])-7)</f>
        <v xml:space="preserve">" chordId="2" &gt;&lt;chordNote </v>
      </c>
      <c r="F411" s="1" t="s">
        <v>549</v>
      </c>
      <c r="G411" s="1" t="s">
        <v>949</v>
      </c>
      <c r="H411" s="1" t="s">
        <v>950</v>
      </c>
      <c r="I411" s="1"/>
      <c r="J411" s="1"/>
      <c r="L411" s="5" t="s">
        <v>16</v>
      </c>
      <c r="M411" s="3" t="str">
        <f t="shared" si="24"/>
        <v xml:space="preserve">        &lt;note time="133.538" string="0" fret="3" /&gt;</v>
      </c>
      <c r="N411" s="8" t="str">
        <f>chitar__3[[#This Row],[Column1.14]]</f>
        <v>133.538</v>
      </c>
      <c r="O411" s="6" t="s">
        <v>1526</v>
      </c>
    </row>
    <row r="412" spans="1:15" x14ac:dyDescent="0.45">
      <c r="A412" s="1" t="s">
        <v>388</v>
      </c>
      <c r="B412" s="1">
        <f t="shared" si="25"/>
        <v>133.74799999999999</v>
      </c>
      <c r="C412" s="1" t="str">
        <f t="shared" si="26"/>
        <v>133.748</v>
      </c>
      <c r="D412" s="1" t="str">
        <f t="shared" si="27"/>
        <v>133.748</v>
      </c>
      <c r="E412" s="1" t="str">
        <f>RIGHT(chitar__3[[#This Row],[Column1.2]],LEN(chitar__3[[#This Row],[Column1.2]])-7)</f>
        <v xml:space="preserve">" chordId="2" highDensity="1" &gt;&lt;chordNote </v>
      </c>
      <c r="F412" s="1" t="s">
        <v>550</v>
      </c>
      <c r="G412" s="1" t="s">
        <v>951</v>
      </c>
      <c r="H412" s="1" t="s">
        <v>952</v>
      </c>
      <c r="I412" s="1"/>
      <c r="J412" s="1"/>
      <c r="L412" s="2" t="s">
        <v>16</v>
      </c>
      <c r="M412" s="3" t="str">
        <f t="shared" si="24"/>
        <v xml:space="preserve">        &lt;note time="133.748" string="0" fret="3" /&gt;</v>
      </c>
      <c r="N412" s="8" t="str">
        <f>chitar__3[[#This Row],[Column1.14]]</f>
        <v>133.748</v>
      </c>
      <c r="O412" s="4" t="s">
        <v>1527</v>
      </c>
    </row>
    <row r="413" spans="1:15" x14ac:dyDescent="0.45">
      <c r="A413" s="1" t="s">
        <v>388</v>
      </c>
      <c r="B413" s="1">
        <f t="shared" si="25"/>
        <v>133.958</v>
      </c>
      <c r="C413" s="1" t="str">
        <f t="shared" si="26"/>
        <v>133.958</v>
      </c>
      <c r="D413" s="1" t="str">
        <f t="shared" si="27"/>
        <v>133.958</v>
      </c>
      <c r="E413" s="1" t="str">
        <f>RIGHT(chitar__3[[#This Row],[Column1.2]],LEN(chitar__3[[#This Row],[Column1.2]])-7)</f>
        <v xml:space="preserve">" chordId="3" &gt;&lt;chordNote </v>
      </c>
      <c r="F413" s="1" t="s">
        <v>551</v>
      </c>
      <c r="G413" s="1" t="s">
        <v>953</v>
      </c>
      <c r="H413" s="1" t="s">
        <v>954</v>
      </c>
      <c r="I413" s="1"/>
      <c r="J413" s="1"/>
      <c r="L413" s="5" t="s">
        <v>16</v>
      </c>
      <c r="M413" s="3" t="str">
        <f t="shared" si="24"/>
        <v xml:space="preserve">        &lt;note time="133.958" string="0" fret="5" sustain="0.21" /&gt;</v>
      </c>
      <c r="N413" s="8" t="str">
        <f>chitar__3[[#This Row],[Column1.14]]</f>
        <v>133.958</v>
      </c>
      <c r="O413" s="6" t="s">
        <v>1769</v>
      </c>
    </row>
    <row r="414" spans="1:15" x14ac:dyDescent="0.45">
      <c r="A414" s="1" t="s">
        <v>388</v>
      </c>
      <c r="B414" s="1">
        <f t="shared" si="25"/>
        <v>134.4</v>
      </c>
      <c r="C414" s="1" t="str">
        <f t="shared" si="26"/>
        <v>134.400</v>
      </c>
      <c r="D414" s="1" t="str">
        <f t="shared" si="27"/>
        <v>134.400</v>
      </c>
      <c r="E414" s="1" t="str">
        <f>RIGHT(chitar__3[[#This Row],[Column1.2]],LEN(chitar__3[[#This Row],[Column1.2]])-7)</f>
        <v xml:space="preserve">" chordId="3" highDensity="1" &gt;&lt;chordNote </v>
      </c>
      <c r="F414" s="1" t="s">
        <v>552</v>
      </c>
      <c r="G414" s="1" t="s">
        <v>955</v>
      </c>
      <c r="H414" s="1" t="s">
        <v>956</v>
      </c>
      <c r="I414" s="1"/>
      <c r="J414" s="1"/>
      <c r="L414" s="2" t="s">
        <v>16</v>
      </c>
      <c r="M414" s="3" t="str">
        <f t="shared" si="24"/>
        <v xml:space="preserve">        &lt;note time="134.400" string="0" fret="5" /&gt;</v>
      </c>
      <c r="N414" s="8" t="str">
        <f>chitar__3[[#This Row],[Column1.14]]</f>
        <v>134.400</v>
      </c>
      <c r="O414" s="4" t="s">
        <v>1529</v>
      </c>
    </row>
    <row r="415" spans="1:15" x14ac:dyDescent="0.45">
      <c r="A415" s="1" t="s">
        <v>388</v>
      </c>
      <c r="B415" s="1">
        <f t="shared" si="25"/>
        <v>134.61000000000001</v>
      </c>
      <c r="C415" s="1" t="str">
        <f t="shared" si="26"/>
        <v>134.610</v>
      </c>
      <c r="D415" s="1" t="str">
        <f t="shared" si="27"/>
        <v>134.610</v>
      </c>
      <c r="E415" s="1" t="str">
        <f>RIGHT(chitar__3[[#This Row],[Column1.2]],LEN(chitar__3[[#This Row],[Column1.2]])-7)</f>
        <v xml:space="preserve">" chordId="3" highDensity="1" &gt;&lt;chordNote </v>
      </c>
      <c r="F415" s="1" t="s">
        <v>553</v>
      </c>
      <c r="G415" s="1" t="s">
        <v>957</v>
      </c>
      <c r="H415" s="1" t="s">
        <v>958</v>
      </c>
      <c r="I415" s="1"/>
      <c r="J415" s="1"/>
      <c r="L415" s="5" t="s">
        <v>16</v>
      </c>
      <c r="M415" s="3" t="str">
        <f t="shared" si="24"/>
        <v xml:space="preserve">        &lt;note time="134.610" string="0" fret="5" /&gt;</v>
      </c>
      <c r="N415" s="8" t="str">
        <f>chitar__3[[#This Row],[Column1.14]]</f>
        <v>134.610</v>
      </c>
      <c r="O415" s="6" t="s">
        <v>1530</v>
      </c>
    </row>
    <row r="416" spans="1:15" x14ac:dyDescent="0.45">
      <c r="A416" s="1" t="s">
        <v>388</v>
      </c>
      <c r="B416" s="1">
        <f t="shared" si="25"/>
        <v>134.82</v>
      </c>
      <c r="C416" s="1" t="str">
        <f t="shared" si="26"/>
        <v>134.820</v>
      </c>
      <c r="D416" s="1" t="str">
        <f t="shared" si="27"/>
        <v>134.820</v>
      </c>
      <c r="E416" s="1" t="str">
        <f>RIGHT(chitar__3[[#This Row],[Column1.2]],LEN(chitar__3[[#This Row],[Column1.2]])-7)</f>
        <v xml:space="preserve">" chordId="3" highDensity="1" &gt;&lt;chordNote </v>
      </c>
      <c r="F416" s="1" t="s">
        <v>554</v>
      </c>
      <c r="G416" s="1" t="s">
        <v>959</v>
      </c>
      <c r="H416" s="1" t="s">
        <v>960</v>
      </c>
      <c r="I416" s="1"/>
      <c r="J416" s="1"/>
      <c r="L416" s="2" t="s">
        <v>16</v>
      </c>
      <c r="M416" s="3" t="str">
        <f t="shared" si="24"/>
        <v xml:space="preserve">        &lt;note time="134.820" string="0" fret="5" /&gt;</v>
      </c>
      <c r="N416" s="8" t="str">
        <f>chitar__3[[#This Row],[Column1.14]]</f>
        <v>134.820</v>
      </c>
      <c r="O416" s="4" t="s">
        <v>1531</v>
      </c>
    </row>
    <row r="417" spans="1:15" x14ac:dyDescent="0.45">
      <c r="A417" s="1" t="s">
        <v>388</v>
      </c>
      <c r="B417" s="1">
        <f t="shared" si="25"/>
        <v>135.048</v>
      </c>
      <c r="C417" s="1" t="str">
        <f t="shared" si="26"/>
        <v>135.048</v>
      </c>
      <c r="D417" s="1" t="str">
        <f t="shared" si="27"/>
        <v>135.048</v>
      </c>
      <c r="E417" s="1" t="str">
        <f>RIGHT(chitar__3[[#This Row],[Column1.2]],LEN(chitar__3[[#This Row],[Column1.2]])-7)</f>
        <v xml:space="preserve">" chordId="3" highDensity="1" &gt;&lt;chordNote </v>
      </c>
      <c r="F417" s="1" t="s">
        <v>555</v>
      </c>
      <c r="G417" s="1" t="s">
        <v>961</v>
      </c>
      <c r="H417" s="1" t="s">
        <v>962</v>
      </c>
      <c r="I417" s="1"/>
      <c r="J417" s="1"/>
      <c r="L417" s="5" t="s">
        <v>16</v>
      </c>
      <c r="M417" s="3" t="str">
        <f t="shared" si="24"/>
        <v xml:space="preserve">        &lt;note time="135.048" string="0" fret="5" /&gt;</v>
      </c>
      <c r="N417" s="8" t="str">
        <f>chitar__3[[#This Row],[Column1.14]]</f>
        <v>135.048</v>
      </c>
      <c r="O417" s="6" t="s">
        <v>1532</v>
      </c>
    </row>
    <row r="418" spans="1:15" x14ac:dyDescent="0.45">
      <c r="A418" s="1" t="s">
        <v>388</v>
      </c>
      <c r="B418" s="1">
        <f t="shared" si="25"/>
        <v>135.268</v>
      </c>
      <c r="C418" s="1" t="str">
        <f t="shared" si="26"/>
        <v>135.268</v>
      </c>
      <c r="D418" s="1" t="str">
        <f t="shared" si="27"/>
        <v>135.268</v>
      </c>
      <c r="E418" s="1" t="str">
        <f>RIGHT(chitar__3[[#This Row],[Column1.2]],LEN(chitar__3[[#This Row],[Column1.2]])-7)</f>
        <v xml:space="preserve">" chordId="3" highDensity="1" &gt;&lt;chordNote </v>
      </c>
      <c r="F418" s="1" t="s">
        <v>556</v>
      </c>
      <c r="G418" s="1" t="s">
        <v>963</v>
      </c>
      <c r="H418" s="1" t="s">
        <v>964</v>
      </c>
      <c r="I418" s="1"/>
      <c r="J418" s="1"/>
      <c r="L418" s="2" t="s">
        <v>16</v>
      </c>
      <c r="M418" s="3" t="str">
        <f t="shared" si="24"/>
        <v xml:space="preserve">        &lt;note time="135.268" string="0" fret="5" /&gt;</v>
      </c>
      <c r="N418" s="8" t="str">
        <f>chitar__3[[#This Row],[Column1.14]]</f>
        <v>135.268</v>
      </c>
      <c r="O418" s="4" t="s">
        <v>1533</v>
      </c>
    </row>
    <row r="419" spans="1:15" x14ac:dyDescent="0.45">
      <c r="A419" s="1" t="s">
        <v>388</v>
      </c>
      <c r="B419" s="1">
        <f t="shared" si="25"/>
        <v>135.488</v>
      </c>
      <c r="C419" s="1" t="str">
        <f t="shared" si="26"/>
        <v>135.488</v>
      </c>
      <c r="D419" s="1" t="str">
        <f t="shared" si="27"/>
        <v>135.488</v>
      </c>
      <c r="E419" s="1" t="str">
        <f>RIGHT(chitar__3[[#This Row],[Column1.2]],LEN(chitar__3[[#This Row],[Column1.2]])-7)</f>
        <v xml:space="preserve">" chordId="3" highDensity="1" &gt;&lt;chordNote </v>
      </c>
      <c r="F419" s="1" t="s">
        <v>557</v>
      </c>
      <c r="G419" s="1" t="s">
        <v>965</v>
      </c>
      <c r="H419" s="1" t="s">
        <v>966</v>
      </c>
      <c r="I419" s="1"/>
      <c r="J419" s="1"/>
      <c r="L419" s="5" t="s">
        <v>16</v>
      </c>
      <c r="M419" s="3" t="str">
        <f t="shared" si="24"/>
        <v xml:space="preserve">        &lt;note time="135.488" string="0" fret="5" /&gt;</v>
      </c>
      <c r="N419" s="8" t="str">
        <f>chitar__3[[#This Row],[Column1.14]]</f>
        <v>135.488</v>
      </c>
      <c r="O419" s="6" t="s">
        <v>1534</v>
      </c>
    </row>
    <row r="420" spans="1:15" x14ac:dyDescent="0.45">
      <c r="A420" s="1" t="s">
        <v>388</v>
      </c>
      <c r="B420" s="1">
        <f t="shared" si="25"/>
        <v>135.69800000000001</v>
      </c>
      <c r="C420" s="1" t="str">
        <f t="shared" si="26"/>
        <v>135.698</v>
      </c>
      <c r="D420" s="1" t="str">
        <f t="shared" si="27"/>
        <v>135.698</v>
      </c>
      <c r="E420" s="1" t="str">
        <f>RIGHT(chitar__3[[#This Row],[Column1.2]],LEN(chitar__3[[#This Row],[Column1.2]])-7)</f>
        <v xml:space="preserve">" chordId="3" highDensity="1" &gt;&lt;chordNote </v>
      </c>
      <c r="F420" s="1" t="s">
        <v>558</v>
      </c>
      <c r="G420" s="1" t="s">
        <v>967</v>
      </c>
      <c r="H420" s="1" t="s">
        <v>968</v>
      </c>
      <c r="I420" s="1"/>
      <c r="J420" s="1"/>
      <c r="L420" s="2" t="s">
        <v>16</v>
      </c>
      <c r="M420" s="3" t="str">
        <f t="shared" si="24"/>
        <v xml:space="preserve">        &lt;note time="135.698" string="0" fret="5" /&gt;</v>
      </c>
      <c r="N420" s="8" t="str">
        <f>chitar__3[[#This Row],[Column1.14]]</f>
        <v>135.698</v>
      </c>
      <c r="O420" s="4" t="s">
        <v>1535</v>
      </c>
    </row>
    <row r="421" spans="1:15" x14ac:dyDescent="0.45">
      <c r="A421" s="1" t="s">
        <v>388</v>
      </c>
      <c r="B421" s="1">
        <f t="shared" si="25"/>
        <v>135.916</v>
      </c>
      <c r="C421" s="1" t="str">
        <f t="shared" si="26"/>
        <v>135.916</v>
      </c>
      <c r="D421" s="1" t="str">
        <f t="shared" si="27"/>
        <v>135.916</v>
      </c>
      <c r="E421" s="1" t="str">
        <f>RIGHT(chitar__3[[#This Row],[Column1.2]],LEN(chitar__3[[#This Row],[Column1.2]])-7)</f>
        <v xml:space="preserve">" chordId="3" highDensity="1" &gt;&lt;chordNote </v>
      </c>
      <c r="F421" s="1" t="s">
        <v>559</v>
      </c>
      <c r="G421" s="1" t="s">
        <v>969</v>
      </c>
      <c r="H421" s="1" t="s">
        <v>970</v>
      </c>
      <c r="I421" s="1"/>
      <c r="J421" s="1"/>
      <c r="L421" s="2" t="s">
        <v>16</v>
      </c>
      <c r="M421" s="3" t="str">
        <f t="shared" ref="M421" si="28">L421&amp;"time="""&amp;N421&amp;RIGHT(O421,LEN(O421)-7)</f>
        <v xml:space="preserve">        &lt;note time="135.916" string="0" fret="5" /&gt;</v>
      </c>
      <c r="N421" s="8" t="str">
        <f>chitar__3[[#This Row],[Column1.14]]</f>
        <v>135.916</v>
      </c>
      <c r="O421" s="4" t="s">
        <v>1535</v>
      </c>
    </row>
    <row r="422" spans="1:15" x14ac:dyDescent="0.45">
      <c r="A422" s="1" t="s">
        <v>16</v>
      </c>
      <c r="B422" s="1">
        <f t="shared" si="25"/>
        <v>136.12</v>
      </c>
      <c r="C422" s="1" t="str">
        <f t="shared" si="26"/>
        <v>136.120</v>
      </c>
      <c r="D422" s="1" t="str">
        <f t="shared" si="27"/>
        <v>136.120</v>
      </c>
      <c r="E422" s="1" t="str">
        <f>RIGHT(chitar__3[[#This Row],[Column1.2]],LEN(chitar__3[[#This Row],[Column1.2]])-7)</f>
        <v>" string="0" fret="8" /&gt;</v>
      </c>
      <c r="F422" s="1" t="s">
        <v>264</v>
      </c>
      <c r="G422" s="1"/>
      <c r="H422" s="1"/>
      <c r="I422" s="1"/>
      <c r="J422" s="1"/>
      <c r="L422" s="5" t="s">
        <v>16</v>
      </c>
      <c r="M422" s="3" t="str">
        <f t="shared" ref="M422:M429" si="29">L422&amp;"time="""&amp;N422&amp;RIGHT(O422,LEN(O422)-7)</f>
        <v xml:space="preserve">        &lt;note time="136.120" string="1" fret="3" /&gt;</v>
      </c>
      <c r="N422" s="8" t="str">
        <f>chitar__3[[#This Row],[Column1.14]]</f>
        <v>136.120</v>
      </c>
      <c r="O422" s="6" t="s">
        <v>1536</v>
      </c>
    </row>
    <row r="423" spans="1:15" x14ac:dyDescent="0.45">
      <c r="A423" s="1" t="s">
        <v>16</v>
      </c>
      <c r="B423" s="1">
        <f t="shared" si="25"/>
        <v>136.34</v>
      </c>
      <c r="C423" s="1" t="str">
        <f t="shared" si="26"/>
        <v>136.340</v>
      </c>
      <c r="D423" s="1" t="str">
        <f t="shared" si="27"/>
        <v>136.340</v>
      </c>
      <c r="E423" s="1" t="str">
        <f>RIGHT(chitar__3[[#This Row],[Column1.2]],LEN(chitar__3[[#This Row],[Column1.2]])-7)</f>
        <v>" string="0" fret="10" /&gt;</v>
      </c>
      <c r="F423" s="1" t="s">
        <v>265</v>
      </c>
      <c r="G423" s="1"/>
      <c r="H423" s="1"/>
      <c r="I423" s="1"/>
      <c r="J423" s="1"/>
      <c r="L423" s="2" t="s">
        <v>16</v>
      </c>
      <c r="M423" s="3" t="str">
        <f t="shared" si="29"/>
        <v xml:space="preserve">        &lt;note time="136.340" string="1" fret="5" /&gt;</v>
      </c>
      <c r="N423" s="8" t="str">
        <f>chitar__3[[#This Row],[Column1.14]]</f>
        <v>136.340</v>
      </c>
      <c r="O423" s="4" t="s">
        <v>1537</v>
      </c>
    </row>
    <row r="424" spans="1:15" x14ac:dyDescent="0.45">
      <c r="A424" s="1" t="s">
        <v>16</v>
      </c>
      <c r="B424" s="1">
        <f t="shared" si="25"/>
        <v>136.54</v>
      </c>
      <c r="C424" s="1" t="str">
        <f t="shared" si="26"/>
        <v>136.540</v>
      </c>
      <c r="D424" s="1" t="str">
        <f t="shared" si="27"/>
        <v>136.540</v>
      </c>
      <c r="E424" s="1" t="str">
        <f>RIGHT(chitar__3[[#This Row],[Column1.2]],LEN(chitar__3[[#This Row],[Column1.2]])-7)</f>
        <v>" string="1" fret="8" /&gt;</v>
      </c>
      <c r="F424" s="1" t="s">
        <v>266</v>
      </c>
      <c r="G424" s="1"/>
      <c r="H424" s="1"/>
      <c r="I424" s="1"/>
      <c r="J424" s="1"/>
      <c r="L424" s="5" t="s">
        <v>16</v>
      </c>
      <c r="M424" s="3" t="str">
        <f t="shared" si="29"/>
        <v xml:space="preserve">        &lt;note time="136.540" string="2" fret="3" /&gt;</v>
      </c>
      <c r="N424" s="8" t="str">
        <f>chitar__3[[#This Row],[Column1.14]]</f>
        <v>136.540</v>
      </c>
      <c r="O424" s="6" t="s">
        <v>1538</v>
      </c>
    </row>
    <row r="425" spans="1:15" x14ac:dyDescent="0.45">
      <c r="A425" s="1" t="s">
        <v>16</v>
      </c>
      <c r="B425" s="1">
        <f t="shared" si="25"/>
        <v>136.75</v>
      </c>
      <c r="C425" s="1" t="str">
        <f t="shared" si="26"/>
        <v>136.750</v>
      </c>
      <c r="D425" s="1" t="str">
        <f t="shared" si="27"/>
        <v>136.750</v>
      </c>
      <c r="E425" s="1" t="str">
        <f>RIGHT(chitar__3[[#This Row],[Column1.2]],LEN(chitar__3[[#This Row],[Column1.2]])-7)</f>
        <v>" string="1" fret="10" sustain="0.248" /&gt;</v>
      </c>
      <c r="F425" s="1" t="s">
        <v>267</v>
      </c>
      <c r="G425" s="1"/>
      <c r="H425" s="1"/>
      <c r="I425" s="1"/>
      <c r="J425" s="1"/>
      <c r="L425" s="2" t="s">
        <v>16</v>
      </c>
      <c r="M425" s="3" t="str">
        <f t="shared" si="29"/>
        <v xml:space="preserve">        &lt;note time="136.750" string="2" fret="5" /&gt;</v>
      </c>
      <c r="N425" s="8" t="str">
        <f>chitar__3[[#This Row],[Column1.14]]</f>
        <v>136.750</v>
      </c>
      <c r="O425" s="4" t="s">
        <v>1539</v>
      </c>
    </row>
    <row r="426" spans="1:15" x14ac:dyDescent="0.45">
      <c r="A426" s="1" t="s">
        <v>16</v>
      </c>
      <c r="B426" s="1">
        <f t="shared" si="25"/>
        <v>137.42099999999999</v>
      </c>
      <c r="C426" s="1" t="str">
        <f t="shared" si="26"/>
        <v>137.421</v>
      </c>
      <c r="D426" s="1" t="str">
        <f t="shared" si="27"/>
        <v>137.421</v>
      </c>
      <c r="E426" s="1" t="str">
        <f>RIGHT(chitar__3[[#This Row],[Column1.2]],LEN(chitar__3[[#This Row],[Column1.2]])-7)</f>
        <v>" string="0" fret="8" /&gt;</v>
      </c>
      <c r="F426" s="1" t="s">
        <v>268</v>
      </c>
      <c r="G426" s="1"/>
      <c r="H426" s="1"/>
      <c r="I426" s="1"/>
      <c r="J426" s="1"/>
      <c r="L426" s="5" t="s">
        <v>16</v>
      </c>
      <c r="M426" s="3" t="str">
        <f t="shared" si="29"/>
        <v xml:space="preserve">        &lt;note time="137.421" string="1" fret="3" /&gt;</v>
      </c>
      <c r="N426" s="8" t="str">
        <f>chitar__3[[#This Row],[Column1.14]]</f>
        <v>137.421</v>
      </c>
      <c r="O426" s="6" t="s">
        <v>1540</v>
      </c>
    </row>
    <row r="427" spans="1:15" x14ac:dyDescent="0.45">
      <c r="A427" s="1" t="s">
        <v>16</v>
      </c>
      <c r="B427" s="1">
        <f t="shared" si="25"/>
        <v>137.64099999999999</v>
      </c>
      <c r="C427" s="1" t="str">
        <f t="shared" si="26"/>
        <v>137.641</v>
      </c>
      <c r="D427" s="1" t="str">
        <f t="shared" si="27"/>
        <v>137.641</v>
      </c>
      <c r="E427" s="1" t="str">
        <f>RIGHT(chitar__3[[#This Row],[Column1.2]],LEN(chitar__3[[#This Row],[Column1.2]])-7)</f>
        <v>" string="0" fret="10" /&gt;</v>
      </c>
      <c r="F427" s="1" t="s">
        <v>269</v>
      </c>
      <c r="G427" s="1"/>
      <c r="H427" s="1"/>
      <c r="I427" s="1"/>
      <c r="J427" s="1"/>
      <c r="L427" s="2" t="s">
        <v>16</v>
      </c>
      <c r="M427" s="3" t="str">
        <f t="shared" si="29"/>
        <v xml:space="preserve">        &lt;note time="137.641" string="1" fret="5" /&gt;</v>
      </c>
      <c r="N427" s="8" t="str">
        <f>chitar__3[[#This Row],[Column1.14]]</f>
        <v>137.641</v>
      </c>
      <c r="O427" s="4" t="s">
        <v>1541</v>
      </c>
    </row>
    <row r="428" spans="1:15" x14ac:dyDescent="0.45">
      <c r="A428" s="1" t="s">
        <v>16</v>
      </c>
      <c r="B428" s="1">
        <f t="shared" si="25"/>
        <v>137.84100000000001</v>
      </c>
      <c r="C428" s="1" t="str">
        <f t="shared" si="26"/>
        <v>137.841</v>
      </c>
      <c r="D428" s="1" t="str">
        <f t="shared" si="27"/>
        <v>137.841</v>
      </c>
      <c r="E428" s="1" t="str">
        <f>RIGHT(chitar__3[[#This Row],[Column1.2]],LEN(chitar__3[[#This Row],[Column1.2]])-7)</f>
        <v>" string="1" fret="8" /&gt;</v>
      </c>
      <c r="F428" s="1" t="s">
        <v>270</v>
      </c>
      <c r="G428" s="1"/>
      <c r="H428" s="1"/>
      <c r="I428" s="1"/>
      <c r="J428" s="1"/>
      <c r="L428" s="5" t="s">
        <v>16</v>
      </c>
      <c r="M428" s="3" t="str">
        <f t="shared" si="29"/>
        <v xml:space="preserve">        &lt;note time="137.841" string="2" fret="3" /&gt;</v>
      </c>
      <c r="N428" s="8" t="str">
        <f>chitar__3[[#This Row],[Column1.14]]</f>
        <v>137.841</v>
      </c>
      <c r="O428" s="6" t="s">
        <v>1542</v>
      </c>
    </row>
    <row r="429" spans="1:15" x14ac:dyDescent="0.45">
      <c r="A429" s="1" t="s">
        <v>16</v>
      </c>
      <c r="B429" s="1">
        <f t="shared" si="25"/>
        <v>138.05099999999999</v>
      </c>
      <c r="C429" s="1" t="str">
        <f t="shared" si="26"/>
        <v>138.051</v>
      </c>
      <c r="D429" s="1" t="str">
        <f t="shared" si="27"/>
        <v>138.051</v>
      </c>
      <c r="E429" s="1" t="str">
        <f>RIGHT(chitar__3[[#This Row],[Column1.2]],LEN(chitar__3[[#This Row],[Column1.2]])-7)</f>
        <v>" string="1" fret="10" sustain="0.236" /&gt;</v>
      </c>
      <c r="F429" s="1" t="s">
        <v>271</v>
      </c>
      <c r="G429" s="1"/>
      <c r="H429" s="1"/>
      <c r="I429" s="1"/>
      <c r="J429" s="1"/>
      <c r="L429" s="2" t="s">
        <v>16</v>
      </c>
      <c r="M429" s="3" t="str">
        <f t="shared" si="29"/>
        <v xml:space="preserve">        &lt;note time="138.051" string="2" fret="5" /&gt;</v>
      </c>
      <c r="N429" s="8" t="str">
        <f>chitar__3[[#This Row],[Column1.14]]</f>
        <v>138.051</v>
      </c>
      <c r="O429" s="4" t="s">
        <v>1543</v>
      </c>
    </row>
    <row r="430" spans="1:15" x14ac:dyDescent="0.45">
      <c r="A430" s="1" t="s">
        <v>388</v>
      </c>
      <c r="B430" s="1">
        <f t="shared" si="25"/>
        <v>138.63999999999999</v>
      </c>
      <c r="C430" s="1" t="str">
        <f t="shared" si="26"/>
        <v>138.640</v>
      </c>
      <c r="D430" s="1" t="str">
        <f t="shared" si="27"/>
        <v>138.640</v>
      </c>
      <c r="E430" s="1" t="str">
        <f>RIGHT(chitar__3[[#This Row],[Column1.2]],LEN(chitar__3[[#This Row],[Column1.2]])-7)</f>
        <v xml:space="preserve">" chordId="4" &gt;&lt;chordNote </v>
      </c>
      <c r="F430" s="1" t="s">
        <v>560</v>
      </c>
      <c r="G430" s="1" t="s">
        <v>971</v>
      </c>
      <c r="H430" s="1" t="s">
        <v>972</v>
      </c>
      <c r="I430" s="1"/>
      <c r="J430" s="1"/>
      <c r="L430" s="5" t="s">
        <v>16</v>
      </c>
      <c r="M430" s="3" t="str">
        <f t="shared" ref="M430:M477" si="30">L430&amp;"time="""&amp;N430&amp;RIGHT(O430,LEN(O430)-7)</f>
        <v xml:space="preserve">        &lt;note time="138.640" string="2" fret="5" /&gt;</v>
      </c>
      <c r="N430" s="8" t="str">
        <f>chitar__3[[#This Row],[Column1.14]]</f>
        <v>138.640</v>
      </c>
      <c r="O430" s="6" t="s">
        <v>1544</v>
      </c>
    </row>
    <row r="431" spans="1:15" x14ac:dyDescent="0.45">
      <c r="A431" s="1" t="s">
        <v>388</v>
      </c>
      <c r="B431" s="1">
        <f t="shared" si="25"/>
        <v>139.12</v>
      </c>
      <c r="C431" s="1" t="str">
        <f t="shared" si="26"/>
        <v>139.120</v>
      </c>
      <c r="D431" s="1" t="str">
        <f t="shared" si="27"/>
        <v>139.120</v>
      </c>
      <c r="E431" s="1" t="str">
        <f>RIGHT(chitar__3[[#This Row],[Column1.2]],LEN(chitar__3[[#This Row],[Column1.2]])-7)</f>
        <v xml:space="preserve">" chordId="5" &gt;&lt;chordNote </v>
      </c>
      <c r="F431" s="1" t="s">
        <v>561</v>
      </c>
      <c r="G431" s="1" t="s">
        <v>973</v>
      </c>
      <c r="H431" s="1" t="s">
        <v>974</v>
      </c>
      <c r="I431" s="1"/>
      <c r="J431" s="1"/>
      <c r="L431" s="2" t="s">
        <v>16</v>
      </c>
      <c r="M431" s="3" t="str">
        <f t="shared" si="30"/>
        <v xml:space="preserve">        &lt;note time="139.120" string="2" fret="3" sustain="0.21" /&gt;</v>
      </c>
      <c r="N431" s="8" t="str">
        <f>chitar__3[[#This Row],[Column1.14]]</f>
        <v>139.120</v>
      </c>
      <c r="O431" s="4" t="s">
        <v>1770</v>
      </c>
    </row>
    <row r="432" spans="1:15" x14ac:dyDescent="0.45">
      <c r="A432" s="1" t="s">
        <v>16</v>
      </c>
      <c r="B432" s="1">
        <f t="shared" si="25"/>
        <v>139.56800000000001</v>
      </c>
      <c r="C432" s="1" t="str">
        <f t="shared" si="26"/>
        <v>139.568</v>
      </c>
      <c r="D432" s="1" t="str">
        <f t="shared" si="27"/>
        <v>139.568</v>
      </c>
      <c r="E432" s="1" t="str">
        <f>RIGHT(chitar__3[[#This Row],[Column1.2]],LEN(chitar__3[[#This Row],[Column1.2]])-7)</f>
        <v>" string="0" fret="8" /&gt;</v>
      </c>
      <c r="F432" s="1" t="s">
        <v>272</v>
      </c>
      <c r="G432" s="1"/>
      <c r="H432" s="1"/>
      <c r="I432" s="1"/>
      <c r="J432" s="1"/>
      <c r="L432" s="5" t="s">
        <v>16</v>
      </c>
      <c r="M432" s="3" t="str">
        <f t="shared" si="30"/>
        <v xml:space="preserve">        &lt;note time="139.568" string="1" fret="3" /&gt;</v>
      </c>
      <c r="N432" s="8" t="str">
        <f>chitar__3[[#This Row],[Column1.14]]</f>
        <v>139.568</v>
      </c>
      <c r="O432" s="6" t="s">
        <v>1546</v>
      </c>
    </row>
    <row r="433" spans="1:15" x14ac:dyDescent="0.45">
      <c r="A433" s="1" t="s">
        <v>16</v>
      </c>
      <c r="B433" s="1">
        <f t="shared" si="25"/>
        <v>139.78800000000001</v>
      </c>
      <c r="C433" s="1" t="str">
        <f t="shared" si="26"/>
        <v>139.788</v>
      </c>
      <c r="D433" s="1" t="str">
        <f t="shared" si="27"/>
        <v>139.788</v>
      </c>
      <c r="E433" s="1" t="str">
        <f>RIGHT(chitar__3[[#This Row],[Column1.2]],LEN(chitar__3[[#This Row],[Column1.2]])-7)</f>
        <v>" string="0" fret="10" /&gt;</v>
      </c>
      <c r="F433" s="1" t="s">
        <v>273</v>
      </c>
      <c r="G433" s="1"/>
      <c r="H433" s="1"/>
      <c r="I433" s="1"/>
      <c r="J433" s="1"/>
      <c r="L433" s="2" t="s">
        <v>16</v>
      </c>
      <c r="M433" s="3" t="str">
        <f t="shared" si="30"/>
        <v xml:space="preserve">        &lt;note time="139.788" string="1" fret="5" /&gt;</v>
      </c>
      <c r="N433" s="8" t="str">
        <f>chitar__3[[#This Row],[Column1.14]]</f>
        <v>139.788</v>
      </c>
      <c r="O433" s="4" t="s">
        <v>1547</v>
      </c>
    </row>
    <row r="434" spans="1:15" x14ac:dyDescent="0.45">
      <c r="A434" s="1" t="s">
        <v>16</v>
      </c>
      <c r="B434" s="1">
        <f t="shared" si="25"/>
        <v>139.988</v>
      </c>
      <c r="C434" s="1" t="str">
        <f t="shared" si="26"/>
        <v>139.988</v>
      </c>
      <c r="D434" s="1" t="str">
        <f t="shared" si="27"/>
        <v>139.988</v>
      </c>
      <c r="E434" s="1" t="str">
        <f>RIGHT(chitar__3[[#This Row],[Column1.2]],LEN(chitar__3[[#This Row],[Column1.2]])-7)</f>
        <v>" string="1" fret="8" /&gt;</v>
      </c>
      <c r="F434" s="1" t="s">
        <v>274</v>
      </c>
      <c r="G434" s="1"/>
      <c r="H434" s="1"/>
      <c r="I434" s="1"/>
      <c r="J434" s="1"/>
      <c r="L434" s="5" t="s">
        <v>16</v>
      </c>
      <c r="M434" s="3" t="str">
        <f t="shared" si="30"/>
        <v xml:space="preserve">        &lt;note time="139.988" string="2" fret="3" /&gt;</v>
      </c>
      <c r="N434" s="8" t="str">
        <f>chitar__3[[#This Row],[Column1.14]]</f>
        <v>139.988</v>
      </c>
      <c r="O434" s="6" t="s">
        <v>1548</v>
      </c>
    </row>
    <row r="435" spans="1:15" x14ac:dyDescent="0.45">
      <c r="A435" s="1" t="s">
        <v>16</v>
      </c>
      <c r="B435" s="1">
        <f t="shared" si="25"/>
        <v>140.197</v>
      </c>
      <c r="C435" s="1" t="str">
        <f t="shared" si="26"/>
        <v>140.197</v>
      </c>
      <c r="D435" s="1" t="str">
        <f t="shared" si="27"/>
        <v>140.197</v>
      </c>
      <c r="E435" s="1" t="str">
        <f>RIGHT(chitar__3[[#This Row],[Column1.2]],LEN(chitar__3[[#This Row],[Column1.2]])-7)</f>
        <v>" string="1" fret="10" sustain="0.249" /&gt;</v>
      </c>
      <c r="F435" s="1" t="s">
        <v>275</v>
      </c>
      <c r="G435" s="1"/>
      <c r="H435" s="1"/>
      <c r="I435" s="1"/>
      <c r="J435" s="1"/>
      <c r="L435" s="2" t="s">
        <v>16</v>
      </c>
      <c r="M435" s="3" t="str">
        <f t="shared" si="30"/>
        <v xml:space="preserve">        &lt;note time="140.197" string="2" fret="5" /&gt;</v>
      </c>
      <c r="N435" s="8" t="str">
        <f>chitar__3[[#This Row],[Column1.14]]</f>
        <v>140.197</v>
      </c>
      <c r="O435" s="4" t="s">
        <v>1549</v>
      </c>
    </row>
    <row r="436" spans="1:15" x14ac:dyDescent="0.45">
      <c r="A436" s="1" t="s">
        <v>16</v>
      </c>
      <c r="B436" s="1">
        <f t="shared" si="25"/>
        <v>140.869</v>
      </c>
      <c r="C436" s="1" t="str">
        <f t="shared" si="26"/>
        <v>140.869</v>
      </c>
      <c r="D436" s="1" t="str">
        <f t="shared" si="27"/>
        <v>140.869</v>
      </c>
      <c r="E436" s="1" t="str">
        <f>RIGHT(chitar__3[[#This Row],[Column1.2]],LEN(chitar__3[[#This Row],[Column1.2]])-7)</f>
        <v>" string="0" fret="8" /&gt;</v>
      </c>
      <c r="F436" s="1" t="s">
        <v>276</v>
      </c>
      <c r="G436" s="1"/>
      <c r="H436" s="1"/>
      <c r="I436" s="1"/>
      <c r="J436" s="1"/>
      <c r="L436" s="5" t="s">
        <v>16</v>
      </c>
      <c r="M436" s="3" t="str">
        <f t="shared" si="30"/>
        <v xml:space="preserve">        &lt;note time="140.869" string="1" fret="3" /&gt;</v>
      </c>
      <c r="N436" s="8" t="str">
        <f>chitar__3[[#This Row],[Column1.14]]</f>
        <v>140.869</v>
      </c>
      <c r="O436" s="6" t="s">
        <v>1550</v>
      </c>
    </row>
    <row r="437" spans="1:15" x14ac:dyDescent="0.45">
      <c r="A437" s="1" t="s">
        <v>16</v>
      </c>
      <c r="B437" s="1">
        <f t="shared" si="25"/>
        <v>141.089</v>
      </c>
      <c r="C437" s="1" t="str">
        <f t="shared" si="26"/>
        <v>141.089</v>
      </c>
      <c r="D437" s="1" t="str">
        <f t="shared" si="27"/>
        <v>141.089</v>
      </c>
      <c r="E437" s="1" t="str">
        <f>RIGHT(chitar__3[[#This Row],[Column1.2]],LEN(chitar__3[[#This Row],[Column1.2]])-7)</f>
        <v>" string="0" fret="10" /&gt;</v>
      </c>
      <c r="F437" s="1" t="s">
        <v>277</v>
      </c>
      <c r="G437" s="1"/>
      <c r="H437" s="1"/>
      <c r="I437" s="1"/>
      <c r="J437" s="1"/>
      <c r="L437" s="2" t="s">
        <v>16</v>
      </c>
      <c r="M437" s="3" t="str">
        <f t="shared" si="30"/>
        <v xml:space="preserve">        &lt;note time="141.089" string="1" fret="5" /&gt;</v>
      </c>
      <c r="N437" s="8" t="str">
        <f>chitar__3[[#This Row],[Column1.14]]</f>
        <v>141.089</v>
      </c>
      <c r="O437" s="4" t="s">
        <v>1551</v>
      </c>
    </row>
    <row r="438" spans="1:15" x14ac:dyDescent="0.45">
      <c r="A438" s="1" t="s">
        <v>16</v>
      </c>
      <c r="B438" s="1">
        <f t="shared" si="25"/>
        <v>141.28899999999999</v>
      </c>
      <c r="C438" s="1" t="str">
        <f t="shared" si="26"/>
        <v>141.289</v>
      </c>
      <c r="D438" s="1" t="str">
        <f t="shared" si="27"/>
        <v>141.289</v>
      </c>
      <c r="E438" s="1" t="str">
        <f>RIGHT(chitar__3[[#This Row],[Column1.2]],LEN(chitar__3[[#This Row],[Column1.2]])-7)</f>
        <v>" string="1" fret="8" /&gt;</v>
      </c>
      <c r="F438" s="1" t="s">
        <v>278</v>
      </c>
      <c r="G438" s="1"/>
      <c r="H438" s="1"/>
      <c r="I438" s="1"/>
      <c r="J438" s="1"/>
      <c r="L438" s="5" t="s">
        <v>16</v>
      </c>
      <c r="M438" s="3" t="str">
        <f t="shared" si="30"/>
        <v xml:space="preserve">        &lt;note time="141.289" string="2" fret="3" /&gt;</v>
      </c>
      <c r="N438" s="8" t="str">
        <f>chitar__3[[#This Row],[Column1.14]]</f>
        <v>141.289</v>
      </c>
      <c r="O438" s="6" t="s">
        <v>1552</v>
      </c>
    </row>
    <row r="439" spans="1:15" x14ac:dyDescent="0.45">
      <c r="A439" s="1" t="s">
        <v>16</v>
      </c>
      <c r="B439" s="1">
        <f t="shared" si="25"/>
        <v>141.499</v>
      </c>
      <c r="C439" s="1" t="str">
        <f t="shared" si="26"/>
        <v>141.499</v>
      </c>
      <c r="D439" s="1" t="str">
        <f t="shared" si="27"/>
        <v>141.499</v>
      </c>
      <c r="E439" s="1" t="str">
        <f>RIGHT(chitar__3[[#This Row],[Column1.2]],LEN(chitar__3[[#This Row],[Column1.2]])-7)</f>
        <v>" string="1" fret="10" sustain="0.236" /&gt;</v>
      </c>
      <c r="F439" s="1" t="s">
        <v>279</v>
      </c>
      <c r="G439" s="1"/>
      <c r="H439" s="1"/>
      <c r="I439" s="1"/>
      <c r="J439" s="1"/>
      <c r="L439" s="2" t="s">
        <v>16</v>
      </c>
      <c r="M439" s="3" t="str">
        <f t="shared" si="30"/>
        <v xml:space="preserve">        &lt;note time="141.499" string="2" fret="5" /&gt;</v>
      </c>
      <c r="N439" s="8" t="str">
        <f>chitar__3[[#This Row],[Column1.14]]</f>
        <v>141.499</v>
      </c>
      <c r="O439" s="4" t="s">
        <v>1553</v>
      </c>
    </row>
    <row r="440" spans="1:15" x14ac:dyDescent="0.45">
      <c r="A440" s="1" t="s">
        <v>388</v>
      </c>
      <c r="B440" s="1">
        <f t="shared" si="25"/>
        <v>142.08799999999999</v>
      </c>
      <c r="C440" s="1" t="str">
        <f t="shared" si="26"/>
        <v>142.088</v>
      </c>
      <c r="D440" s="1" t="str">
        <f t="shared" si="27"/>
        <v>142.088</v>
      </c>
      <c r="E440" s="1" t="str">
        <f>RIGHT(chitar__3[[#This Row],[Column1.2]],LEN(chitar__3[[#This Row],[Column1.2]])-7)</f>
        <v xml:space="preserve">" chordId="4" &gt;&lt;chordNote </v>
      </c>
      <c r="F440" s="1" t="s">
        <v>562</v>
      </c>
      <c r="G440" s="1" t="s">
        <v>975</v>
      </c>
      <c r="H440" s="1" t="s">
        <v>976</v>
      </c>
      <c r="I440" s="1"/>
      <c r="J440" s="1"/>
      <c r="L440" s="5" t="s">
        <v>16</v>
      </c>
      <c r="M440" s="3" t="str">
        <f t="shared" si="30"/>
        <v xml:space="preserve">        &lt;note time="142.088" string="2" fret="5" /&gt;</v>
      </c>
      <c r="N440" s="8" t="str">
        <f>chitar__3[[#This Row],[Column1.14]]</f>
        <v>142.088</v>
      </c>
      <c r="O440" s="6" t="s">
        <v>1554</v>
      </c>
    </row>
    <row r="441" spans="1:15" x14ac:dyDescent="0.45">
      <c r="A441" s="1" t="s">
        <v>388</v>
      </c>
      <c r="B441" s="1">
        <f t="shared" si="25"/>
        <v>142.56800000000001</v>
      </c>
      <c r="C441" s="1" t="str">
        <f t="shared" si="26"/>
        <v>142.568</v>
      </c>
      <c r="D441" s="1" t="str">
        <f t="shared" si="27"/>
        <v>142.568</v>
      </c>
      <c r="E441" s="1" t="str">
        <f>RIGHT(chitar__3[[#This Row],[Column1.2]],LEN(chitar__3[[#This Row],[Column1.2]])-7)</f>
        <v xml:space="preserve">" chordId="5" &gt;&lt;chordNote </v>
      </c>
      <c r="F441" s="1" t="s">
        <v>563</v>
      </c>
      <c r="G441" s="1" t="s">
        <v>977</v>
      </c>
      <c r="H441" s="1" t="s">
        <v>978</v>
      </c>
      <c r="I441" s="1"/>
      <c r="J441" s="1"/>
      <c r="L441" s="2" t="s">
        <v>16</v>
      </c>
      <c r="M441" s="3" t="str">
        <f t="shared" si="30"/>
        <v xml:space="preserve">        &lt;note time="142.568" string="2" fret="3" sustain="0.21" /&gt;</v>
      </c>
      <c r="N441" s="8" t="str">
        <f>chitar__3[[#This Row],[Column1.14]]</f>
        <v>142.568</v>
      </c>
      <c r="O441" s="4" t="s">
        <v>1771</v>
      </c>
    </row>
    <row r="442" spans="1:15" x14ac:dyDescent="0.45">
      <c r="A442" s="1" t="s">
        <v>16</v>
      </c>
      <c r="B442" s="1">
        <f t="shared" si="25"/>
        <v>143.06299999999999</v>
      </c>
      <c r="C442" s="1" t="str">
        <f t="shared" si="26"/>
        <v>143.063</v>
      </c>
      <c r="D442" s="1" t="str">
        <f t="shared" si="27"/>
        <v>143.063</v>
      </c>
      <c r="E442" s="1" t="str">
        <f>RIGHT(chitar__3[[#This Row],[Column1.2]],LEN(chitar__3[[#This Row],[Column1.2]])-7)</f>
        <v>" string="0" fret="8" /&gt;</v>
      </c>
      <c r="F442" s="1" t="s">
        <v>280</v>
      </c>
      <c r="G442" s="1"/>
      <c r="H442" s="1"/>
      <c r="I442" s="1"/>
      <c r="J442" s="1"/>
      <c r="L442" s="5" t="s">
        <v>16</v>
      </c>
      <c r="M442" s="3" t="str">
        <f t="shared" si="30"/>
        <v xml:space="preserve">        &lt;note time="143.063" string="1" fret="3" /&gt;</v>
      </c>
      <c r="N442" s="8" t="str">
        <f>chitar__3[[#This Row],[Column1.14]]</f>
        <v>143.063</v>
      </c>
      <c r="O442" s="6" t="s">
        <v>1556</v>
      </c>
    </row>
    <row r="443" spans="1:15" x14ac:dyDescent="0.45">
      <c r="A443" s="1" t="s">
        <v>16</v>
      </c>
      <c r="B443" s="1">
        <f t="shared" si="25"/>
        <v>143.28299999999999</v>
      </c>
      <c r="C443" s="1" t="str">
        <f t="shared" si="26"/>
        <v>143.283</v>
      </c>
      <c r="D443" s="1" t="str">
        <f t="shared" si="27"/>
        <v>143.283</v>
      </c>
      <c r="E443" s="1" t="str">
        <f>RIGHT(chitar__3[[#This Row],[Column1.2]],LEN(chitar__3[[#This Row],[Column1.2]])-7)</f>
        <v>" string="0" fret="10" /&gt;</v>
      </c>
      <c r="F443" s="1" t="s">
        <v>281</v>
      </c>
      <c r="G443" s="1"/>
      <c r="H443" s="1"/>
      <c r="I443" s="1"/>
      <c r="J443" s="1"/>
      <c r="L443" s="2" t="s">
        <v>16</v>
      </c>
      <c r="M443" s="3" t="str">
        <f t="shared" si="30"/>
        <v xml:space="preserve">        &lt;note time="143.283" string="1" fret="5" /&gt;</v>
      </c>
      <c r="N443" s="8" t="str">
        <f>chitar__3[[#This Row],[Column1.14]]</f>
        <v>143.283</v>
      </c>
      <c r="O443" s="4" t="s">
        <v>1557</v>
      </c>
    </row>
    <row r="444" spans="1:15" x14ac:dyDescent="0.45">
      <c r="A444" s="1" t="s">
        <v>16</v>
      </c>
      <c r="B444" s="1">
        <f t="shared" si="25"/>
        <v>143.483</v>
      </c>
      <c r="C444" s="1" t="str">
        <f t="shared" si="26"/>
        <v>143.483</v>
      </c>
      <c r="D444" s="1" t="str">
        <f t="shared" si="27"/>
        <v>143.483</v>
      </c>
      <c r="E444" s="1" t="str">
        <f>RIGHT(chitar__3[[#This Row],[Column1.2]],LEN(chitar__3[[#This Row],[Column1.2]])-7)</f>
        <v>" string="1" fret="8" /&gt;</v>
      </c>
      <c r="F444" s="1" t="s">
        <v>282</v>
      </c>
      <c r="G444" s="1"/>
      <c r="H444" s="1"/>
      <c r="I444" s="1"/>
      <c r="J444" s="1"/>
      <c r="L444" s="5" t="s">
        <v>16</v>
      </c>
      <c r="M444" s="3" t="str">
        <f t="shared" si="30"/>
        <v xml:space="preserve">        &lt;note time="143.483" string="2" fret="3" /&gt;</v>
      </c>
      <c r="N444" s="8" t="str">
        <f>chitar__3[[#This Row],[Column1.14]]</f>
        <v>143.483</v>
      </c>
      <c r="O444" s="6" t="s">
        <v>1558</v>
      </c>
    </row>
    <row r="445" spans="1:15" x14ac:dyDescent="0.45">
      <c r="A445" s="1" t="s">
        <v>16</v>
      </c>
      <c r="B445" s="1">
        <f t="shared" si="25"/>
        <v>143.69300000000001</v>
      </c>
      <c r="C445" s="1" t="str">
        <f t="shared" si="26"/>
        <v>143.693</v>
      </c>
      <c r="D445" s="1" t="str">
        <f t="shared" si="27"/>
        <v>143.693</v>
      </c>
      <c r="E445" s="1" t="str">
        <f>RIGHT(chitar__3[[#This Row],[Column1.2]],LEN(chitar__3[[#This Row],[Column1.2]])-7)</f>
        <v>" string="1" fret="10" sustain="0.248" /&gt;</v>
      </c>
      <c r="F445" s="1" t="s">
        <v>283</v>
      </c>
      <c r="G445" s="1"/>
      <c r="H445" s="1"/>
      <c r="I445" s="1"/>
      <c r="J445" s="1"/>
      <c r="L445" s="2" t="s">
        <v>16</v>
      </c>
      <c r="M445" s="3" t="str">
        <f t="shared" si="30"/>
        <v xml:space="preserve">        &lt;note time="143.693" string="2" fret="5" /&gt;</v>
      </c>
      <c r="N445" s="8" t="str">
        <f>chitar__3[[#This Row],[Column1.14]]</f>
        <v>143.693</v>
      </c>
      <c r="O445" s="4" t="s">
        <v>1559</v>
      </c>
    </row>
    <row r="446" spans="1:15" x14ac:dyDescent="0.45">
      <c r="A446" s="1" t="s">
        <v>16</v>
      </c>
      <c r="B446" s="1">
        <f t="shared" si="25"/>
        <v>144.364</v>
      </c>
      <c r="C446" s="1" t="str">
        <f t="shared" si="26"/>
        <v>144.364</v>
      </c>
      <c r="D446" s="1" t="str">
        <f t="shared" si="27"/>
        <v>144.364</v>
      </c>
      <c r="E446" s="1" t="str">
        <f>RIGHT(chitar__3[[#This Row],[Column1.2]],LEN(chitar__3[[#This Row],[Column1.2]])-7)</f>
        <v>" string="0" fret="8" /&gt;</v>
      </c>
      <c r="F446" s="1" t="s">
        <v>284</v>
      </c>
      <c r="G446" s="1"/>
      <c r="H446" s="1"/>
      <c r="I446" s="1"/>
      <c r="J446" s="1"/>
      <c r="L446" s="5" t="s">
        <v>16</v>
      </c>
      <c r="M446" s="3" t="str">
        <f t="shared" si="30"/>
        <v xml:space="preserve">        &lt;note time="144.364" string="1" fret="3" /&gt;</v>
      </c>
      <c r="N446" s="8" t="str">
        <f>chitar__3[[#This Row],[Column1.14]]</f>
        <v>144.364</v>
      </c>
      <c r="O446" s="6" t="s">
        <v>1560</v>
      </c>
    </row>
    <row r="447" spans="1:15" x14ac:dyDescent="0.45">
      <c r="A447" s="1" t="s">
        <v>16</v>
      </c>
      <c r="B447" s="1">
        <f t="shared" si="25"/>
        <v>144.584</v>
      </c>
      <c r="C447" s="1" t="str">
        <f t="shared" si="26"/>
        <v>144.584</v>
      </c>
      <c r="D447" s="1" t="str">
        <f t="shared" si="27"/>
        <v>144.584</v>
      </c>
      <c r="E447" s="1" t="str">
        <f>RIGHT(chitar__3[[#This Row],[Column1.2]],LEN(chitar__3[[#This Row],[Column1.2]])-7)</f>
        <v>" string="0" fret="10" /&gt;</v>
      </c>
      <c r="F447" s="1" t="s">
        <v>285</v>
      </c>
      <c r="G447" s="1"/>
      <c r="H447" s="1"/>
      <c r="I447" s="1"/>
      <c r="J447" s="1"/>
      <c r="L447" s="2" t="s">
        <v>16</v>
      </c>
      <c r="M447" s="3" t="str">
        <f t="shared" si="30"/>
        <v xml:space="preserve">        &lt;note time="144.584" string="1" fret="5" /&gt;</v>
      </c>
      <c r="N447" s="8" t="str">
        <f>chitar__3[[#This Row],[Column1.14]]</f>
        <v>144.584</v>
      </c>
      <c r="O447" s="4" t="s">
        <v>1561</v>
      </c>
    </row>
    <row r="448" spans="1:15" x14ac:dyDescent="0.45">
      <c r="A448" s="1" t="s">
        <v>16</v>
      </c>
      <c r="B448" s="1">
        <f t="shared" si="25"/>
        <v>144.78399999999999</v>
      </c>
      <c r="C448" s="1" t="str">
        <f t="shared" si="26"/>
        <v>144.784</v>
      </c>
      <c r="D448" s="1" t="str">
        <f t="shared" si="27"/>
        <v>144.784</v>
      </c>
      <c r="E448" s="1" t="str">
        <f>RIGHT(chitar__3[[#This Row],[Column1.2]],LEN(chitar__3[[#This Row],[Column1.2]])-7)</f>
        <v>" string="1" fret="8" /&gt;</v>
      </c>
      <c r="F448" s="1" t="s">
        <v>286</v>
      </c>
      <c r="G448" s="1"/>
      <c r="H448" s="1"/>
      <c r="I448" s="1"/>
      <c r="J448" s="1"/>
      <c r="L448" s="5" t="s">
        <v>16</v>
      </c>
      <c r="M448" s="3" t="str">
        <f t="shared" si="30"/>
        <v xml:space="preserve">        &lt;note time="144.784" string="2" fret="3" /&gt;</v>
      </c>
      <c r="N448" s="8" t="str">
        <f>chitar__3[[#This Row],[Column1.14]]</f>
        <v>144.784</v>
      </c>
      <c r="O448" s="6" t="s">
        <v>1562</v>
      </c>
    </row>
    <row r="449" spans="1:15" x14ac:dyDescent="0.45">
      <c r="A449" s="1" t="s">
        <v>16</v>
      </c>
      <c r="B449" s="1">
        <f t="shared" si="25"/>
        <v>144.994</v>
      </c>
      <c r="C449" s="1" t="str">
        <f t="shared" si="26"/>
        <v>144.994</v>
      </c>
      <c r="D449" s="1" t="str">
        <f t="shared" si="27"/>
        <v>144.994</v>
      </c>
      <c r="E449" s="1" t="str">
        <f>RIGHT(chitar__3[[#This Row],[Column1.2]],LEN(chitar__3[[#This Row],[Column1.2]])-7)</f>
        <v>" string="1" fret="10" sustain="0.236" /&gt;</v>
      </c>
      <c r="F449" s="1" t="s">
        <v>287</v>
      </c>
      <c r="G449" s="1"/>
      <c r="H449" s="1"/>
      <c r="I449" s="1"/>
      <c r="J449" s="1"/>
      <c r="L449" s="2" t="s">
        <v>16</v>
      </c>
      <c r="M449" s="3" t="str">
        <f t="shared" si="30"/>
        <v xml:space="preserve">        &lt;note time="144.994" string="2" fret="5" /&gt;</v>
      </c>
      <c r="N449" s="8" t="str">
        <f>chitar__3[[#This Row],[Column1.14]]</f>
        <v>144.994</v>
      </c>
      <c r="O449" s="4" t="s">
        <v>1563</v>
      </c>
    </row>
    <row r="450" spans="1:15" x14ac:dyDescent="0.45">
      <c r="A450" s="1" t="s">
        <v>388</v>
      </c>
      <c r="B450" s="1">
        <f t="shared" si="25"/>
        <v>145.583</v>
      </c>
      <c r="C450" s="1" t="str">
        <f t="shared" si="26"/>
        <v>145.583</v>
      </c>
      <c r="D450" s="1" t="str">
        <f t="shared" si="27"/>
        <v>145.583</v>
      </c>
      <c r="E450" s="1" t="str">
        <f>RIGHT(chitar__3[[#This Row],[Column1.2]],LEN(chitar__3[[#This Row],[Column1.2]])-7)</f>
        <v xml:space="preserve">" chordId="4" &gt;&lt;chordNote </v>
      </c>
      <c r="F450" s="1" t="s">
        <v>564</v>
      </c>
      <c r="G450" s="1" t="s">
        <v>979</v>
      </c>
      <c r="H450" s="1" t="s">
        <v>980</v>
      </c>
      <c r="I450" s="1"/>
      <c r="J450" s="1"/>
      <c r="L450" s="5" t="s">
        <v>16</v>
      </c>
      <c r="M450" s="3" t="str">
        <f t="shared" si="30"/>
        <v xml:space="preserve">        &lt;note time="145.583" string="2" fret="5" /&gt;</v>
      </c>
      <c r="N450" s="8" t="str">
        <f>chitar__3[[#This Row],[Column1.14]]</f>
        <v>145.583</v>
      </c>
      <c r="O450" s="6" t="s">
        <v>1564</v>
      </c>
    </row>
    <row r="451" spans="1:15" x14ac:dyDescent="0.45">
      <c r="A451" s="1" t="s">
        <v>388</v>
      </c>
      <c r="B451" s="1">
        <f t="shared" ref="B451:B514" si="31">VALUE(C451)</f>
        <v>146.06299999999999</v>
      </c>
      <c r="C451" s="1" t="str">
        <f t="shared" ref="C451:C514" si="32">SUBSTITUTE(D451,"""","")</f>
        <v>146.063</v>
      </c>
      <c r="D451" s="1" t="str">
        <f t="shared" ref="D451:D514" si="33">LEFT(F451,7)</f>
        <v>146.063</v>
      </c>
      <c r="E451" s="1" t="str">
        <f>RIGHT(chitar__3[[#This Row],[Column1.2]],LEN(chitar__3[[#This Row],[Column1.2]])-7)</f>
        <v xml:space="preserve">" chordId="5" &gt;&lt;chordNote </v>
      </c>
      <c r="F451" s="1" t="s">
        <v>565</v>
      </c>
      <c r="G451" s="1" t="s">
        <v>981</v>
      </c>
      <c r="H451" s="1" t="s">
        <v>982</v>
      </c>
      <c r="I451" s="1"/>
      <c r="J451" s="1"/>
      <c r="L451" s="2" t="s">
        <v>16</v>
      </c>
      <c r="M451" s="3" t="str">
        <f t="shared" si="30"/>
        <v xml:space="preserve">        &lt;note time="146.063" string="2" fret="3" sustain="0.21" /&gt;</v>
      </c>
      <c r="N451" s="8" t="str">
        <f>chitar__3[[#This Row],[Column1.14]]</f>
        <v>146.063</v>
      </c>
      <c r="O451" s="4" t="s">
        <v>1772</v>
      </c>
    </row>
    <row r="452" spans="1:15" x14ac:dyDescent="0.45">
      <c r="A452" s="1" t="s">
        <v>16</v>
      </c>
      <c r="B452" s="1">
        <f t="shared" si="31"/>
        <v>146.511</v>
      </c>
      <c r="C452" s="1" t="str">
        <f t="shared" si="32"/>
        <v>146.511</v>
      </c>
      <c r="D452" s="1" t="str">
        <f t="shared" si="33"/>
        <v>146.511</v>
      </c>
      <c r="E452" s="1" t="str">
        <f>RIGHT(chitar__3[[#This Row],[Column1.2]],LEN(chitar__3[[#This Row],[Column1.2]])-7)</f>
        <v>" string="0" fret="8" /&gt;</v>
      </c>
      <c r="F452" s="1" t="s">
        <v>288</v>
      </c>
      <c r="G452" s="1"/>
      <c r="H452" s="1"/>
      <c r="I452" s="1"/>
      <c r="J452" s="1"/>
      <c r="L452" s="5" t="s">
        <v>16</v>
      </c>
      <c r="M452" s="3" t="str">
        <f t="shared" si="30"/>
        <v xml:space="preserve">        &lt;note time="146.511" string="1" fret="3" /&gt;</v>
      </c>
      <c r="N452" s="8" t="str">
        <f>chitar__3[[#This Row],[Column1.14]]</f>
        <v>146.511</v>
      </c>
      <c r="O452" s="6" t="s">
        <v>1566</v>
      </c>
    </row>
    <row r="453" spans="1:15" x14ac:dyDescent="0.45">
      <c r="A453" s="1" t="s">
        <v>16</v>
      </c>
      <c r="B453" s="1">
        <f t="shared" si="31"/>
        <v>146.73099999999999</v>
      </c>
      <c r="C453" s="1" t="str">
        <f t="shared" si="32"/>
        <v>146.731</v>
      </c>
      <c r="D453" s="1" t="str">
        <f t="shared" si="33"/>
        <v>146.731</v>
      </c>
      <c r="E453" s="1" t="str">
        <f>RIGHT(chitar__3[[#This Row],[Column1.2]],LEN(chitar__3[[#This Row],[Column1.2]])-7)</f>
        <v>" string="0" fret="10" /&gt;</v>
      </c>
      <c r="F453" s="1" t="s">
        <v>289</v>
      </c>
      <c r="G453" s="1"/>
      <c r="H453" s="1"/>
      <c r="I453" s="1"/>
      <c r="J453" s="1"/>
      <c r="L453" s="2" t="s">
        <v>16</v>
      </c>
      <c r="M453" s="3" t="str">
        <f t="shared" si="30"/>
        <v xml:space="preserve">        &lt;note time="146.731" string="1" fret="5" /&gt;</v>
      </c>
      <c r="N453" s="8" t="str">
        <f>chitar__3[[#This Row],[Column1.14]]</f>
        <v>146.731</v>
      </c>
      <c r="O453" s="4" t="s">
        <v>1567</v>
      </c>
    </row>
    <row r="454" spans="1:15" x14ac:dyDescent="0.45">
      <c r="A454" s="1" t="s">
        <v>16</v>
      </c>
      <c r="B454" s="1">
        <f t="shared" si="31"/>
        <v>146.93100000000001</v>
      </c>
      <c r="C454" s="1" t="str">
        <f t="shared" si="32"/>
        <v>146.931</v>
      </c>
      <c r="D454" s="1" t="str">
        <f t="shared" si="33"/>
        <v>146.931</v>
      </c>
      <c r="E454" s="1" t="str">
        <f>RIGHT(chitar__3[[#This Row],[Column1.2]],LEN(chitar__3[[#This Row],[Column1.2]])-7)</f>
        <v>" string="1" fret="8" /&gt;</v>
      </c>
      <c r="F454" s="1" t="s">
        <v>290</v>
      </c>
      <c r="G454" s="1"/>
      <c r="H454" s="1"/>
      <c r="I454" s="1"/>
      <c r="J454" s="1"/>
      <c r="L454" s="5" t="s">
        <v>16</v>
      </c>
      <c r="M454" s="3" t="str">
        <f t="shared" si="30"/>
        <v xml:space="preserve">        &lt;note time="146.931" string="2" fret="3" /&gt;</v>
      </c>
      <c r="N454" s="8" t="str">
        <f>chitar__3[[#This Row],[Column1.14]]</f>
        <v>146.931</v>
      </c>
      <c r="O454" s="6" t="s">
        <v>1568</v>
      </c>
    </row>
    <row r="455" spans="1:15" x14ac:dyDescent="0.45">
      <c r="A455" s="1" t="s">
        <v>16</v>
      </c>
      <c r="B455" s="1">
        <f t="shared" si="31"/>
        <v>147.14099999999999</v>
      </c>
      <c r="C455" s="1" t="str">
        <f t="shared" si="32"/>
        <v>147.141</v>
      </c>
      <c r="D455" s="1" t="str">
        <f t="shared" si="33"/>
        <v>147.141</v>
      </c>
      <c r="E455" s="1" t="str">
        <f>RIGHT(chitar__3[[#This Row],[Column1.2]],LEN(chitar__3[[#This Row],[Column1.2]])-7)</f>
        <v>" string="1" fret="10" sustain="0.248" /&gt;</v>
      </c>
      <c r="F455" s="1" t="s">
        <v>291</v>
      </c>
      <c r="G455" s="1"/>
      <c r="H455" s="1"/>
      <c r="I455" s="1"/>
      <c r="J455" s="1"/>
      <c r="L455" s="2" t="s">
        <v>16</v>
      </c>
      <c r="M455" s="3" t="str">
        <f t="shared" si="30"/>
        <v xml:space="preserve">        &lt;note time="147.141" string="2" fret="5" /&gt;</v>
      </c>
      <c r="N455" s="8" t="str">
        <f>chitar__3[[#This Row],[Column1.14]]</f>
        <v>147.141</v>
      </c>
      <c r="O455" s="4" t="s">
        <v>1569</v>
      </c>
    </row>
    <row r="456" spans="1:15" x14ac:dyDescent="0.45">
      <c r="A456" s="1" t="s">
        <v>16</v>
      </c>
      <c r="B456" s="1">
        <f t="shared" si="31"/>
        <v>147.81200000000001</v>
      </c>
      <c r="C456" s="1" t="str">
        <f t="shared" si="32"/>
        <v>147.812</v>
      </c>
      <c r="D456" s="1" t="str">
        <f t="shared" si="33"/>
        <v>147.812</v>
      </c>
      <c r="E456" s="1" t="str">
        <f>RIGHT(chitar__3[[#This Row],[Column1.2]],LEN(chitar__3[[#This Row],[Column1.2]])-7)</f>
        <v>" string="0" fret="8" /&gt;</v>
      </c>
      <c r="F456" s="1" t="s">
        <v>292</v>
      </c>
      <c r="G456" s="1"/>
      <c r="H456" s="1"/>
      <c r="I456" s="1"/>
      <c r="J456" s="1"/>
      <c r="L456" s="5" t="s">
        <v>16</v>
      </c>
      <c r="M456" s="3" t="str">
        <f t="shared" si="30"/>
        <v xml:space="preserve">        &lt;note time="147.812" string="1" fret="3" /&gt;</v>
      </c>
      <c r="N456" s="8" t="str">
        <f>chitar__3[[#This Row],[Column1.14]]</f>
        <v>147.812</v>
      </c>
      <c r="O456" s="6" t="s">
        <v>1570</v>
      </c>
    </row>
    <row r="457" spans="1:15" x14ac:dyDescent="0.45">
      <c r="A457" s="1" t="s">
        <v>16</v>
      </c>
      <c r="B457" s="1">
        <f t="shared" si="31"/>
        <v>148.03200000000001</v>
      </c>
      <c r="C457" s="1" t="str">
        <f t="shared" si="32"/>
        <v>148.032</v>
      </c>
      <c r="D457" s="1" t="str">
        <f t="shared" si="33"/>
        <v>148.032</v>
      </c>
      <c r="E457" s="1" t="str">
        <f>RIGHT(chitar__3[[#This Row],[Column1.2]],LEN(chitar__3[[#This Row],[Column1.2]])-7)</f>
        <v>" string="0" fret="10" /&gt;</v>
      </c>
      <c r="F457" s="1" t="s">
        <v>293</v>
      </c>
      <c r="G457" s="1"/>
      <c r="H457" s="1"/>
      <c r="I457" s="1"/>
      <c r="J457" s="1"/>
      <c r="L457" s="2" t="s">
        <v>16</v>
      </c>
      <c r="M457" s="3" t="str">
        <f t="shared" si="30"/>
        <v xml:space="preserve">        &lt;note time="148.032" string="1" fret="5" /&gt;</v>
      </c>
      <c r="N457" s="8" t="str">
        <f>chitar__3[[#This Row],[Column1.14]]</f>
        <v>148.032</v>
      </c>
      <c r="O457" s="4" t="s">
        <v>1571</v>
      </c>
    </row>
    <row r="458" spans="1:15" x14ac:dyDescent="0.45">
      <c r="A458" s="1" t="s">
        <v>16</v>
      </c>
      <c r="B458" s="1">
        <f t="shared" si="31"/>
        <v>148.232</v>
      </c>
      <c r="C458" s="1" t="str">
        <f t="shared" si="32"/>
        <v>148.232</v>
      </c>
      <c r="D458" s="1" t="str">
        <f t="shared" si="33"/>
        <v>148.232</v>
      </c>
      <c r="E458" s="1" t="str">
        <f>RIGHT(chitar__3[[#This Row],[Column1.2]],LEN(chitar__3[[#This Row],[Column1.2]])-7)</f>
        <v>" string="1" fret="8" /&gt;</v>
      </c>
      <c r="F458" s="1" t="s">
        <v>294</v>
      </c>
      <c r="G458" s="1"/>
      <c r="H458" s="1"/>
      <c r="I458" s="1"/>
      <c r="J458" s="1"/>
      <c r="L458" s="5" t="s">
        <v>16</v>
      </c>
      <c r="M458" s="3" t="str">
        <f t="shared" si="30"/>
        <v xml:space="preserve">        &lt;note time="148.232" string="2" fret="3" /&gt;</v>
      </c>
      <c r="N458" s="8" t="str">
        <f>chitar__3[[#This Row],[Column1.14]]</f>
        <v>148.232</v>
      </c>
      <c r="O458" s="6" t="s">
        <v>1572</v>
      </c>
    </row>
    <row r="459" spans="1:15" x14ac:dyDescent="0.45">
      <c r="A459" s="1" t="s">
        <v>16</v>
      </c>
      <c r="B459" s="1">
        <f t="shared" si="31"/>
        <v>148.44</v>
      </c>
      <c r="C459" s="1" t="str">
        <f t="shared" si="32"/>
        <v>148.440</v>
      </c>
      <c r="D459" s="1" t="str">
        <f t="shared" si="33"/>
        <v>148.440</v>
      </c>
      <c r="E459" s="1" t="str">
        <f>RIGHT(chitar__3[[#This Row],[Column1.2]],LEN(chitar__3[[#This Row],[Column1.2]])-7)</f>
        <v>" string="1" fret="10" sustain="0.238" /&gt;</v>
      </c>
      <c r="F459" s="1" t="s">
        <v>295</v>
      </c>
      <c r="G459" s="1"/>
      <c r="H459" s="1"/>
      <c r="I459" s="1"/>
      <c r="J459" s="1"/>
      <c r="L459" s="2" t="s">
        <v>16</v>
      </c>
      <c r="M459" s="3" t="str">
        <f t="shared" si="30"/>
        <v xml:space="preserve">        &lt;note time="148.440" string="2" fret="5" /&gt;</v>
      </c>
      <c r="N459" s="8" t="str">
        <f>chitar__3[[#This Row],[Column1.14]]</f>
        <v>148.440</v>
      </c>
      <c r="O459" s="4" t="s">
        <v>1573</v>
      </c>
    </row>
    <row r="460" spans="1:15" x14ac:dyDescent="0.45">
      <c r="A460" s="1" t="s">
        <v>388</v>
      </c>
      <c r="B460" s="1">
        <f t="shared" si="31"/>
        <v>149.03100000000001</v>
      </c>
      <c r="C460" s="1" t="str">
        <f t="shared" si="32"/>
        <v>149.031</v>
      </c>
      <c r="D460" s="1" t="str">
        <f t="shared" si="33"/>
        <v>149.031</v>
      </c>
      <c r="E460" s="1" t="str">
        <f>RIGHT(chitar__3[[#This Row],[Column1.2]],LEN(chitar__3[[#This Row],[Column1.2]])-7)</f>
        <v xml:space="preserve">" chordId="4" &gt;&lt;chordNote </v>
      </c>
      <c r="F460" s="1" t="s">
        <v>566</v>
      </c>
      <c r="G460" s="1" t="s">
        <v>983</v>
      </c>
      <c r="H460" s="1" t="s">
        <v>984</v>
      </c>
      <c r="I460" s="1"/>
      <c r="J460" s="1"/>
      <c r="L460" s="5" t="s">
        <v>16</v>
      </c>
      <c r="M460" s="3" t="str">
        <f t="shared" si="30"/>
        <v xml:space="preserve">        &lt;note time="149.031" string="2" fret="5" /&gt;</v>
      </c>
      <c r="N460" s="8" t="str">
        <f>chitar__3[[#This Row],[Column1.14]]</f>
        <v>149.031</v>
      </c>
      <c r="O460" s="6" t="s">
        <v>1574</v>
      </c>
    </row>
    <row r="461" spans="1:15" x14ac:dyDescent="0.45">
      <c r="A461" s="1" t="s">
        <v>388</v>
      </c>
      <c r="B461" s="1">
        <f t="shared" si="31"/>
        <v>149.511</v>
      </c>
      <c r="C461" s="1" t="str">
        <f t="shared" si="32"/>
        <v>149.511</v>
      </c>
      <c r="D461" s="1" t="str">
        <f t="shared" si="33"/>
        <v>149.511</v>
      </c>
      <c r="E461" s="1" t="str">
        <f>RIGHT(chitar__3[[#This Row],[Column1.2]],LEN(chitar__3[[#This Row],[Column1.2]])-7)</f>
        <v xml:space="preserve">" chordId="5" &gt;&lt;chordNote </v>
      </c>
      <c r="F461" s="1" t="s">
        <v>567</v>
      </c>
      <c r="G461" s="1" t="s">
        <v>985</v>
      </c>
      <c r="H461" s="1" t="s">
        <v>986</v>
      </c>
      <c r="I461" s="1"/>
      <c r="J461" s="1"/>
      <c r="L461" s="5" t="s">
        <v>16</v>
      </c>
      <c r="M461" s="3" t="str">
        <f t="shared" si="30"/>
        <v xml:space="preserve">        &lt;note time="149.511" string="2" fret="5" /&gt;</v>
      </c>
      <c r="N461" s="8" t="str">
        <f>chitar__3[[#This Row],[Column1.14]]</f>
        <v>149.511</v>
      </c>
      <c r="O461" s="6" t="s">
        <v>1574</v>
      </c>
    </row>
    <row r="462" spans="1:15" x14ac:dyDescent="0.45">
      <c r="A462" s="1" t="s">
        <v>388</v>
      </c>
      <c r="B462" s="1">
        <f t="shared" si="31"/>
        <v>149.995</v>
      </c>
      <c r="C462" s="1" t="str">
        <f t="shared" si="32"/>
        <v>149.995</v>
      </c>
      <c r="D462" s="1" t="str">
        <f t="shared" si="33"/>
        <v>149.995</v>
      </c>
      <c r="E462" s="1" t="str">
        <f>RIGHT(chitar__3[[#This Row],[Column1.2]],LEN(chitar__3[[#This Row],[Column1.2]])-7)</f>
        <v xml:space="preserve">" chordId="7" &gt;&lt;chordNote </v>
      </c>
      <c r="F462" s="1" t="s">
        <v>568</v>
      </c>
      <c r="G462" s="1" t="s">
        <v>987</v>
      </c>
      <c r="H462" s="1" t="s">
        <v>988</v>
      </c>
      <c r="I462" s="1"/>
      <c r="J462" s="1"/>
      <c r="L462" s="2" t="s">
        <v>16</v>
      </c>
      <c r="M462" s="3" t="str">
        <f t="shared" si="30"/>
        <v xml:space="preserve">        &lt;note time="149.995" string="2" fret="3" sustain="0.21" /&gt;</v>
      </c>
      <c r="N462" s="3" t="str">
        <f>chitar__3[[#This Row],[Column1.14]]</f>
        <v>149.995</v>
      </c>
      <c r="O462" s="4" t="s">
        <v>1773</v>
      </c>
    </row>
    <row r="463" spans="1:15" x14ac:dyDescent="0.45">
      <c r="A463" s="1" t="s">
        <v>16</v>
      </c>
      <c r="B463" s="1">
        <f t="shared" si="31"/>
        <v>150.22300000000001</v>
      </c>
      <c r="C463" s="1" t="str">
        <f t="shared" si="32"/>
        <v>150.223</v>
      </c>
      <c r="D463" s="1" t="str">
        <f t="shared" si="33"/>
        <v>150.223</v>
      </c>
      <c r="E463" s="1" t="str">
        <f>RIGHT(chitar__3[[#This Row],[Column1.2]],LEN(chitar__3[[#This Row],[Column1.2]])-7)</f>
        <v>" string="0" fret="10" palmMute="1" /&gt;</v>
      </c>
      <c r="F463" s="1" t="s">
        <v>296</v>
      </c>
      <c r="G463" s="1"/>
      <c r="H463" s="1"/>
      <c r="I463" s="1"/>
      <c r="J463" s="1"/>
      <c r="L463" s="5" t="s">
        <v>16</v>
      </c>
      <c r="M463" s="3" t="str">
        <f t="shared" si="30"/>
        <v xml:space="preserve">        &lt;note time="150.223" string="1" fret="5" /&gt;</v>
      </c>
      <c r="N463" s="3" t="str">
        <f>chitar__3[[#This Row],[Column1.14]]</f>
        <v>150.223</v>
      </c>
      <c r="O463" s="6" t="s">
        <v>1576</v>
      </c>
    </row>
    <row r="464" spans="1:15" x14ac:dyDescent="0.45">
      <c r="A464" s="1" t="s">
        <v>16</v>
      </c>
      <c r="B464" s="1">
        <f t="shared" si="31"/>
        <v>150.44300000000001</v>
      </c>
      <c r="C464" s="1" t="str">
        <f t="shared" si="32"/>
        <v>150.443</v>
      </c>
      <c r="D464" s="1" t="str">
        <f t="shared" si="33"/>
        <v>150.443</v>
      </c>
      <c r="E464" s="1" t="str">
        <f>RIGHT(chitar__3[[#This Row],[Column1.2]],LEN(chitar__3[[#This Row],[Column1.2]])-7)</f>
        <v>" string="0" fret="10" palmMute="1" /&gt;</v>
      </c>
      <c r="F464" s="1" t="s">
        <v>297</v>
      </c>
      <c r="G464" s="1"/>
      <c r="H464" s="1"/>
      <c r="I464" s="1"/>
      <c r="J464" s="1"/>
      <c r="L464" s="2" t="s">
        <v>16</v>
      </c>
      <c r="M464" s="3" t="str">
        <f t="shared" si="30"/>
        <v xml:space="preserve">        &lt;note time="150.443" string="1" fret="5" /&gt;</v>
      </c>
      <c r="N464" s="3" t="str">
        <f>chitar__3[[#This Row],[Column1.14]]</f>
        <v>150.443</v>
      </c>
      <c r="O464" s="4" t="s">
        <v>1577</v>
      </c>
    </row>
    <row r="465" spans="1:15" x14ac:dyDescent="0.45">
      <c r="A465" s="1" t="s">
        <v>16</v>
      </c>
      <c r="B465" s="1">
        <f t="shared" si="31"/>
        <v>150.673</v>
      </c>
      <c r="C465" s="1" t="str">
        <f t="shared" si="32"/>
        <v>150.673</v>
      </c>
      <c r="D465" s="1" t="str">
        <f t="shared" si="33"/>
        <v>150.673</v>
      </c>
      <c r="E465" s="1" t="str">
        <f>RIGHT(chitar__3[[#This Row],[Column1.2]],LEN(chitar__3[[#This Row],[Column1.2]])-7)</f>
        <v>" string="0" fret="10" palmMute="1" /&gt;</v>
      </c>
      <c r="F465" s="1" t="s">
        <v>298</v>
      </c>
      <c r="G465" s="1"/>
      <c r="H465" s="1"/>
      <c r="I465" s="1"/>
      <c r="J465" s="1"/>
      <c r="L465" s="5" t="s">
        <v>16</v>
      </c>
      <c r="M465" s="3" t="str">
        <f t="shared" si="30"/>
        <v xml:space="preserve">        &lt;note time="150.673" string="1" fret="5" /&gt;</v>
      </c>
      <c r="N465" s="3" t="str">
        <f>chitar__3[[#This Row],[Column1.14]]</f>
        <v>150.673</v>
      </c>
      <c r="O465" s="6" t="s">
        <v>1578</v>
      </c>
    </row>
    <row r="466" spans="1:15" x14ac:dyDescent="0.45">
      <c r="A466" s="1" t="s">
        <v>16</v>
      </c>
      <c r="B466" s="1">
        <f t="shared" si="31"/>
        <v>150.899</v>
      </c>
      <c r="C466" s="1" t="str">
        <f t="shared" si="32"/>
        <v>150.899</v>
      </c>
      <c r="D466" s="1" t="str">
        <f t="shared" si="33"/>
        <v>150.899</v>
      </c>
      <c r="E466" s="1" t="str">
        <f>RIGHT(chitar__3[[#This Row],[Column1.2]],LEN(chitar__3[[#This Row],[Column1.2]])-7)</f>
        <v>" string="0" fret="10" palmMute="1" /&gt;</v>
      </c>
      <c r="F466" s="1" t="s">
        <v>299</v>
      </c>
      <c r="G466" s="1"/>
      <c r="H466" s="1"/>
      <c r="I466" s="1"/>
      <c r="J466" s="1"/>
      <c r="L466" s="2" t="s">
        <v>16</v>
      </c>
      <c r="M466" s="3" t="str">
        <f t="shared" si="30"/>
        <v xml:space="preserve">        &lt;note time="150.899" string="1" fret="5" /&gt;</v>
      </c>
      <c r="N466" s="3" t="str">
        <f>chitar__3[[#This Row],[Column1.14]]</f>
        <v>150.899</v>
      </c>
      <c r="O466" s="4" t="s">
        <v>1579</v>
      </c>
    </row>
    <row r="467" spans="1:15" x14ac:dyDescent="0.45">
      <c r="A467" s="1" t="s">
        <v>16</v>
      </c>
      <c r="B467" s="1">
        <f t="shared" si="31"/>
        <v>151.13</v>
      </c>
      <c r="C467" s="1" t="str">
        <f t="shared" si="32"/>
        <v>151.130</v>
      </c>
      <c r="D467" s="1" t="str">
        <f t="shared" si="33"/>
        <v>151.130</v>
      </c>
      <c r="E467" s="1" t="str">
        <f>RIGHT(chitar__3[[#This Row],[Column1.2]],LEN(chitar__3[[#This Row],[Column1.2]])-7)</f>
        <v>" string="0" fret="10" palmMute="1" /&gt;</v>
      </c>
      <c r="F467" s="1" t="s">
        <v>300</v>
      </c>
      <c r="G467" s="1"/>
      <c r="H467" s="1"/>
      <c r="I467" s="1"/>
      <c r="J467" s="1"/>
      <c r="L467" s="5" t="s">
        <v>16</v>
      </c>
      <c r="M467" s="3" t="str">
        <f t="shared" si="30"/>
        <v xml:space="preserve">        &lt;note time="151.130" string="1" fret="5" /&gt;</v>
      </c>
      <c r="N467" s="3" t="str">
        <f>chitar__3[[#This Row],[Column1.14]]</f>
        <v>151.130</v>
      </c>
      <c r="O467" s="6" t="s">
        <v>1580</v>
      </c>
    </row>
    <row r="468" spans="1:15" x14ac:dyDescent="0.45">
      <c r="A468" s="1" t="s">
        <v>16</v>
      </c>
      <c r="B468" s="1">
        <f t="shared" si="31"/>
        <v>151.36000000000001</v>
      </c>
      <c r="C468" s="1" t="str">
        <f t="shared" si="32"/>
        <v>151.360</v>
      </c>
      <c r="D468" s="1" t="str">
        <f t="shared" si="33"/>
        <v>151.360</v>
      </c>
      <c r="E468" s="1" t="str">
        <f>RIGHT(chitar__3[[#This Row],[Column1.2]],LEN(chitar__3[[#This Row],[Column1.2]])-7)</f>
        <v>" string="0" fret="10" palmMute="1" /&gt;</v>
      </c>
      <c r="F468" s="1" t="s">
        <v>301</v>
      </c>
      <c r="G468" s="1"/>
      <c r="H468" s="1"/>
      <c r="I468" s="1"/>
      <c r="J468" s="1"/>
      <c r="L468" s="2" t="s">
        <v>16</v>
      </c>
      <c r="M468" s="3" t="str">
        <f t="shared" si="30"/>
        <v xml:space="preserve">        &lt;note time="151.360" string="1" fret="5" /&gt;</v>
      </c>
      <c r="N468" s="3" t="str">
        <f>chitar__3[[#This Row],[Column1.14]]</f>
        <v>151.360</v>
      </c>
      <c r="O468" s="4" t="s">
        <v>1581</v>
      </c>
    </row>
    <row r="469" spans="1:15" x14ac:dyDescent="0.45">
      <c r="A469" s="1" t="s">
        <v>16</v>
      </c>
      <c r="B469" s="1">
        <f t="shared" si="31"/>
        <v>151.59200000000001</v>
      </c>
      <c r="C469" s="1" t="str">
        <f t="shared" si="32"/>
        <v>151.592</v>
      </c>
      <c r="D469" s="1" t="str">
        <f t="shared" si="33"/>
        <v>151.592</v>
      </c>
      <c r="E469" s="1" t="str">
        <f>RIGHT(chitar__3[[#This Row],[Column1.2]],LEN(chitar__3[[#This Row],[Column1.2]])-7)</f>
        <v>" string="0" fret="10" palmMute="1" /&gt;</v>
      </c>
      <c r="F469" s="1" t="s">
        <v>302</v>
      </c>
      <c r="G469" s="1"/>
      <c r="H469" s="1"/>
      <c r="I469" s="1"/>
      <c r="J469" s="1"/>
      <c r="L469" s="5" t="s">
        <v>16</v>
      </c>
      <c r="M469" s="3" t="str">
        <f t="shared" si="30"/>
        <v xml:space="preserve">        &lt;note time="151.592" string="1" fret="5" /&gt;</v>
      </c>
      <c r="N469" s="3" t="str">
        <f>chitar__3[[#This Row],[Column1.14]]</f>
        <v>151.592</v>
      </c>
      <c r="O469" s="6" t="s">
        <v>1582</v>
      </c>
    </row>
    <row r="470" spans="1:15" x14ac:dyDescent="0.45">
      <c r="A470" s="1" t="s">
        <v>16</v>
      </c>
      <c r="B470" s="1">
        <f t="shared" si="31"/>
        <v>151.82</v>
      </c>
      <c r="C470" s="1" t="str">
        <f t="shared" si="32"/>
        <v>151.820</v>
      </c>
      <c r="D470" s="1" t="str">
        <f t="shared" si="33"/>
        <v>151.820</v>
      </c>
      <c r="E470" s="1" t="str">
        <f>RIGHT(chitar__3[[#This Row],[Column1.2]],LEN(chitar__3[[#This Row],[Column1.2]])-7)</f>
        <v>" string="0" fret="10" palmMute="1" /&gt;</v>
      </c>
      <c r="F470" s="1" t="s">
        <v>303</v>
      </c>
      <c r="G470" s="1"/>
      <c r="H470" s="1"/>
      <c r="I470" s="1"/>
      <c r="J470" s="1"/>
      <c r="L470" s="2" t="s">
        <v>16</v>
      </c>
      <c r="M470" s="3" t="str">
        <f t="shared" si="30"/>
        <v xml:space="preserve">        &lt;note time="151.820" string="1" fret="5" /&gt;</v>
      </c>
      <c r="N470" s="3" t="str">
        <f>chitar__3[[#This Row],[Column1.14]]</f>
        <v>151.820</v>
      </c>
      <c r="O470" s="4" t="s">
        <v>1583</v>
      </c>
    </row>
    <row r="471" spans="1:15" x14ac:dyDescent="0.45">
      <c r="A471" s="1" t="s">
        <v>16</v>
      </c>
      <c r="B471" s="1">
        <f t="shared" si="31"/>
        <v>152.04900000000001</v>
      </c>
      <c r="C471" s="1" t="str">
        <f t="shared" si="32"/>
        <v>152.049</v>
      </c>
      <c r="D471" s="1" t="str">
        <f t="shared" si="33"/>
        <v>152.049</v>
      </c>
      <c r="E471" s="1" t="str">
        <f>RIGHT(chitar__3[[#This Row],[Column1.2]],LEN(chitar__3[[#This Row],[Column1.2]])-7)</f>
        <v>" string="0" fret="10" palmMute="1" /&gt;</v>
      </c>
      <c r="F471" s="1" t="s">
        <v>304</v>
      </c>
      <c r="G471" s="1"/>
      <c r="H471" s="1"/>
      <c r="I471" s="1"/>
      <c r="J471" s="1"/>
      <c r="L471" s="5" t="s">
        <v>16</v>
      </c>
      <c r="M471" s="3" t="str">
        <f t="shared" si="30"/>
        <v xml:space="preserve">        &lt;note time="152.049" string="1" fret="5" /&gt;</v>
      </c>
      <c r="N471" s="3" t="str">
        <f>chitar__3[[#This Row],[Column1.14]]</f>
        <v>152.049</v>
      </c>
      <c r="O471" s="6" t="s">
        <v>1584</v>
      </c>
    </row>
    <row r="472" spans="1:15" x14ac:dyDescent="0.45">
      <c r="A472" s="1" t="s">
        <v>16</v>
      </c>
      <c r="B472" s="1">
        <f t="shared" si="31"/>
        <v>152.26900000000001</v>
      </c>
      <c r="C472" s="1" t="str">
        <f t="shared" si="32"/>
        <v>152.269</v>
      </c>
      <c r="D472" s="1" t="str">
        <f t="shared" si="33"/>
        <v>152.269</v>
      </c>
      <c r="E472" s="1" t="str">
        <f>RIGHT(chitar__3[[#This Row],[Column1.2]],LEN(chitar__3[[#This Row],[Column1.2]])-7)</f>
        <v>" string="0" fret="10" palmMute="1" /&gt;</v>
      </c>
      <c r="F472" s="1" t="s">
        <v>305</v>
      </c>
      <c r="G472" s="1"/>
      <c r="H472" s="1"/>
      <c r="I472" s="1"/>
      <c r="J472" s="1"/>
      <c r="L472" s="2" t="s">
        <v>16</v>
      </c>
      <c r="M472" s="3" t="str">
        <f t="shared" si="30"/>
        <v xml:space="preserve">        &lt;note time="152.269" string="1" fret="5" /&gt;</v>
      </c>
      <c r="N472" s="3" t="str">
        <f>chitar__3[[#This Row],[Column1.14]]</f>
        <v>152.269</v>
      </c>
      <c r="O472" s="4" t="s">
        <v>1585</v>
      </c>
    </row>
    <row r="473" spans="1:15" x14ac:dyDescent="0.45">
      <c r="A473" s="1" t="s">
        <v>16</v>
      </c>
      <c r="B473" s="1">
        <f t="shared" si="31"/>
        <v>152.49199999999999</v>
      </c>
      <c r="C473" s="1" t="str">
        <f t="shared" si="32"/>
        <v>152.492</v>
      </c>
      <c r="D473" s="1" t="str">
        <f t="shared" si="33"/>
        <v>152.492</v>
      </c>
      <c r="E473" s="1" t="str">
        <f>RIGHT(chitar__3[[#This Row],[Column1.2]],LEN(chitar__3[[#This Row],[Column1.2]])-7)</f>
        <v>" string="0" fret="10" palmMute="1" /&gt;</v>
      </c>
      <c r="F473" s="1" t="s">
        <v>306</v>
      </c>
      <c r="G473" s="1"/>
      <c r="H473" s="1"/>
      <c r="I473" s="1"/>
      <c r="J473" s="1"/>
      <c r="L473" s="5" t="s">
        <v>16</v>
      </c>
      <c r="M473" s="3" t="str">
        <f t="shared" si="30"/>
        <v xml:space="preserve">        &lt;note time="152.492" string="1" fret="5" /&gt;</v>
      </c>
      <c r="N473" s="3" t="str">
        <f>chitar__3[[#This Row],[Column1.14]]</f>
        <v>152.492</v>
      </c>
      <c r="O473" s="6" t="s">
        <v>1586</v>
      </c>
    </row>
    <row r="474" spans="1:15" x14ac:dyDescent="0.45">
      <c r="A474" s="1" t="s">
        <v>388</v>
      </c>
      <c r="B474" s="1">
        <f t="shared" si="31"/>
        <v>152.58799999999999</v>
      </c>
      <c r="C474" s="1" t="str">
        <f t="shared" si="32"/>
        <v>152.588</v>
      </c>
      <c r="D474" s="1" t="str">
        <f t="shared" si="33"/>
        <v>152.588</v>
      </c>
      <c r="E474" s="1" t="str">
        <f>RIGHT(chitar__3[[#This Row],[Column1.2]],LEN(chitar__3[[#This Row],[Column1.2]])-7)</f>
        <v xml:space="preserve">" chordId="4" &gt;&lt;chordNote </v>
      </c>
      <c r="F474" s="1" t="s">
        <v>569</v>
      </c>
      <c r="G474" s="1" t="s">
        <v>989</v>
      </c>
      <c r="H474" s="1" t="s">
        <v>990</v>
      </c>
      <c r="I474" s="1"/>
      <c r="J474" s="1"/>
      <c r="L474" s="5" t="s">
        <v>16</v>
      </c>
      <c r="M474" s="3" t="str">
        <f t="shared" si="30"/>
        <v xml:space="preserve">        &lt;note time="152.588" string="2" fret="5" /&gt;</v>
      </c>
      <c r="N474" s="3" t="str">
        <f>chitar__3[[#This Row],[Column1.14]]</f>
        <v>152.588</v>
      </c>
      <c r="O474" s="6" t="s">
        <v>1588</v>
      </c>
    </row>
    <row r="475" spans="1:15" x14ac:dyDescent="0.45">
      <c r="A475" s="1" t="s">
        <v>388</v>
      </c>
      <c r="B475" s="1">
        <f t="shared" si="31"/>
        <v>153.00800000000001</v>
      </c>
      <c r="C475" s="1" t="str">
        <f t="shared" si="32"/>
        <v>153.008</v>
      </c>
      <c r="D475" s="1" t="str">
        <f t="shared" si="33"/>
        <v>153.008</v>
      </c>
      <c r="E475" s="1" t="str">
        <f>RIGHT(chitar__3[[#This Row],[Column1.2]],LEN(chitar__3[[#This Row],[Column1.2]])-7)</f>
        <v xml:space="preserve">" chordId="5" &gt;&lt;chordNote </v>
      </c>
      <c r="F475" s="1" t="s">
        <v>570</v>
      </c>
      <c r="G475" s="1" t="s">
        <v>991</v>
      </c>
      <c r="H475" s="1" t="s">
        <v>992</v>
      </c>
      <c r="I475" s="1"/>
      <c r="J475" s="1"/>
      <c r="L475" s="2" t="s">
        <v>16</v>
      </c>
      <c r="M475" s="3" t="str">
        <f t="shared" si="30"/>
        <v xml:space="preserve">        &lt;note time="153.008" string="2" fret="3" sustain="0.21" /&gt;</v>
      </c>
      <c r="N475" s="3" t="str">
        <f>chitar__3[[#This Row],[Column1.14]]</f>
        <v>153.008</v>
      </c>
      <c r="O475" s="4" t="s">
        <v>1774</v>
      </c>
    </row>
    <row r="476" spans="1:15" x14ac:dyDescent="0.45">
      <c r="A476" s="1" t="s">
        <v>388</v>
      </c>
      <c r="B476" s="1">
        <f t="shared" si="31"/>
        <v>153.44900000000001</v>
      </c>
      <c r="C476" s="1" t="str">
        <f t="shared" si="32"/>
        <v>153.449</v>
      </c>
      <c r="D476" s="1" t="str">
        <f t="shared" si="33"/>
        <v>153.449</v>
      </c>
      <c r="E476" s="1" t="str">
        <f>RIGHT(chitar__3[[#This Row],[Column1.2]],LEN(chitar__3[[#This Row],[Column1.2]])-7)</f>
        <v xml:space="preserve">" chordId="7" &gt;&lt;chordNote </v>
      </c>
      <c r="F476" s="1" t="s">
        <v>571</v>
      </c>
      <c r="G476" s="1" t="s">
        <v>993</v>
      </c>
      <c r="H476" s="1" t="s">
        <v>994</v>
      </c>
      <c r="I476" s="1"/>
      <c r="J476" s="1"/>
      <c r="L476" s="5" t="s">
        <v>16</v>
      </c>
      <c r="M476" s="3" t="str">
        <f t="shared" si="30"/>
        <v xml:space="preserve">        &lt;note time="153.449" string="1" fret="5" /&gt;</v>
      </c>
      <c r="N476" s="3" t="str">
        <f>chitar__3[[#This Row],[Column1.14]]</f>
        <v>153.449</v>
      </c>
      <c r="O476" s="6" t="s">
        <v>1590</v>
      </c>
    </row>
    <row r="477" spans="1:15" x14ac:dyDescent="0.45">
      <c r="A477" s="1" t="s">
        <v>16</v>
      </c>
      <c r="B477" s="1">
        <f t="shared" si="31"/>
        <v>153.68</v>
      </c>
      <c r="C477" s="1" t="str">
        <f t="shared" si="32"/>
        <v>153.680</v>
      </c>
      <c r="D477" s="1" t="str">
        <f t="shared" si="33"/>
        <v>153.680</v>
      </c>
      <c r="E477" s="1" t="str">
        <f>RIGHT(chitar__3[[#This Row],[Column1.2]],LEN(chitar__3[[#This Row],[Column1.2]])-7)</f>
        <v>" string="0" fret="10" palmMute="1" /&gt;</v>
      </c>
      <c r="F477" s="1" t="s">
        <v>307</v>
      </c>
      <c r="G477" s="1"/>
      <c r="H477" s="1"/>
      <c r="I477" s="1"/>
      <c r="J477" s="1"/>
      <c r="L477" s="2" t="s">
        <v>16</v>
      </c>
      <c r="M477" s="3" t="str">
        <f t="shared" si="30"/>
        <v xml:space="preserve">        &lt;note time="153.680" string="1" fret="5" /&gt;</v>
      </c>
      <c r="N477" s="3" t="str">
        <f>chitar__3[[#This Row],[Column1.14]]</f>
        <v>153.680</v>
      </c>
      <c r="O477" s="4" t="s">
        <v>1591</v>
      </c>
    </row>
    <row r="478" spans="1:15" x14ac:dyDescent="0.45">
      <c r="A478" s="1" t="s">
        <v>16</v>
      </c>
      <c r="B478" s="1">
        <f t="shared" si="31"/>
        <v>153.898</v>
      </c>
      <c r="C478" s="1" t="str">
        <f t="shared" si="32"/>
        <v>153.898</v>
      </c>
      <c r="D478" s="1" t="str">
        <f t="shared" si="33"/>
        <v>153.898</v>
      </c>
      <c r="E478" s="1" t="str">
        <f>RIGHT(chitar__3[[#This Row],[Column1.2]],LEN(chitar__3[[#This Row],[Column1.2]])-7)</f>
        <v>" string="0" fret="10" palmMute="1" /&gt;</v>
      </c>
      <c r="F478" s="1" t="s">
        <v>308</v>
      </c>
      <c r="G478" s="1"/>
      <c r="H478" s="1"/>
      <c r="I478" s="1"/>
      <c r="J478" s="1"/>
      <c r="L478" s="5" t="s">
        <v>16</v>
      </c>
      <c r="M478" s="3" t="str">
        <f t="shared" ref="M478:M509" si="34">L478&amp;"time="""&amp;N478&amp;RIGHT(O478,LEN(O478)-7)</f>
        <v xml:space="preserve">        &lt;note time="153.898" string="1" fret="5" /&gt;</v>
      </c>
      <c r="N478" s="3" t="str">
        <f>chitar__3[[#This Row],[Column1.14]]</f>
        <v>153.898</v>
      </c>
      <c r="O478" s="6" t="s">
        <v>1592</v>
      </c>
    </row>
    <row r="479" spans="1:15" x14ac:dyDescent="0.45">
      <c r="A479" s="1" t="s">
        <v>16</v>
      </c>
      <c r="B479" s="1">
        <f t="shared" si="31"/>
        <v>154.12799999999999</v>
      </c>
      <c r="C479" s="1" t="str">
        <f t="shared" si="32"/>
        <v>154.128</v>
      </c>
      <c r="D479" s="1" t="str">
        <f t="shared" si="33"/>
        <v>154.128</v>
      </c>
      <c r="E479" s="1" t="str">
        <f>RIGHT(chitar__3[[#This Row],[Column1.2]],LEN(chitar__3[[#This Row],[Column1.2]])-7)</f>
        <v>" string="0" fret="10" palmMute="1" /&gt;</v>
      </c>
      <c r="F479" s="1" t="s">
        <v>309</v>
      </c>
      <c r="G479" s="1"/>
      <c r="H479" s="1"/>
      <c r="I479" s="1"/>
      <c r="J479" s="1"/>
      <c r="L479" s="2" t="s">
        <v>16</v>
      </c>
      <c r="M479" s="3" t="str">
        <f t="shared" si="34"/>
        <v xml:space="preserve">        &lt;note time="154.128" string="1" fret="5" /&gt;</v>
      </c>
      <c r="N479" s="3" t="str">
        <f>chitar__3[[#This Row],[Column1.14]]</f>
        <v>154.128</v>
      </c>
      <c r="O479" s="4" t="s">
        <v>1593</v>
      </c>
    </row>
    <row r="480" spans="1:15" x14ac:dyDescent="0.45">
      <c r="A480" s="1" t="s">
        <v>16</v>
      </c>
      <c r="B480" s="1">
        <f t="shared" si="31"/>
        <v>154.35400000000001</v>
      </c>
      <c r="C480" s="1" t="str">
        <f t="shared" si="32"/>
        <v>154.354</v>
      </c>
      <c r="D480" s="1" t="str">
        <f t="shared" si="33"/>
        <v>154.354</v>
      </c>
      <c r="E480" s="1" t="str">
        <f>RIGHT(chitar__3[[#This Row],[Column1.2]],LEN(chitar__3[[#This Row],[Column1.2]])-7)</f>
        <v>" string="0" fret="10" palmMute="1" /&gt;</v>
      </c>
      <c r="F480" s="1" t="s">
        <v>310</v>
      </c>
      <c r="G480" s="1"/>
      <c r="H480" s="1"/>
      <c r="I480" s="1"/>
      <c r="J480" s="1"/>
      <c r="L480" s="5" t="s">
        <v>16</v>
      </c>
      <c r="M480" s="3" t="str">
        <f t="shared" si="34"/>
        <v xml:space="preserve">        &lt;note time="154.354" string="1" fret="5" /&gt;</v>
      </c>
      <c r="N480" s="3" t="str">
        <f>chitar__3[[#This Row],[Column1.14]]</f>
        <v>154.354</v>
      </c>
      <c r="O480" s="6" t="s">
        <v>1594</v>
      </c>
    </row>
    <row r="481" spans="1:15" x14ac:dyDescent="0.45">
      <c r="A481" s="1" t="s">
        <v>16</v>
      </c>
      <c r="B481" s="1">
        <f t="shared" si="31"/>
        <v>154.58500000000001</v>
      </c>
      <c r="C481" s="1" t="str">
        <f t="shared" si="32"/>
        <v>154.585</v>
      </c>
      <c r="D481" s="1" t="str">
        <f t="shared" si="33"/>
        <v>154.585</v>
      </c>
      <c r="E481" s="1" t="str">
        <f>RIGHT(chitar__3[[#This Row],[Column1.2]],LEN(chitar__3[[#This Row],[Column1.2]])-7)</f>
        <v>" string="0" fret="10" palmMute="1" /&gt;</v>
      </c>
      <c r="F481" s="1" t="s">
        <v>311</v>
      </c>
      <c r="G481" s="1"/>
      <c r="H481" s="1"/>
      <c r="I481" s="1"/>
      <c r="J481" s="1"/>
      <c r="L481" s="2" t="s">
        <v>16</v>
      </c>
      <c r="M481" s="3" t="str">
        <f t="shared" si="34"/>
        <v xml:space="preserve">        &lt;note time="154.585" string="1" fret="5" /&gt;</v>
      </c>
      <c r="N481" s="3" t="str">
        <f>chitar__3[[#This Row],[Column1.14]]</f>
        <v>154.585</v>
      </c>
      <c r="O481" s="4" t="s">
        <v>1595</v>
      </c>
    </row>
    <row r="482" spans="1:15" x14ac:dyDescent="0.45">
      <c r="A482" s="1" t="s">
        <v>16</v>
      </c>
      <c r="B482" s="1">
        <f t="shared" si="31"/>
        <v>154.815</v>
      </c>
      <c r="C482" s="1" t="str">
        <f t="shared" si="32"/>
        <v>154.815</v>
      </c>
      <c r="D482" s="1" t="str">
        <f t="shared" si="33"/>
        <v>154.815</v>
      </c>
      <c r="E482" s="1" t="str">
        <f>RIGHT(chitar__3[[#This Row],[Column1.2]],LEN(chitar__3[[#This Row],[Column1.2]])-7)</f>
        <v>" string="0" fret="10" palmMute="1" /&gt;</v>
      </c>
      <c r="F482" s="1" t="s">
        <v>312</v>
      </c>
      <c r="G482" s="1"/>
      <c r="H482" s="1"/>
      <c r="I482" s="1"/>
      <c r="J482" s="1"/>
      <c r="L482" s="5" t="s">
        <v>16</v>
      </c>
      <c r="M482" s="3" t="str">
        <f t="shared" si="34"/>
        <v xml:space="preserve">        &lt;note time="154.815" string="1" fret="5" /&gt;</v>
      </c>
      <c r="N482" s="3" t="str">
        <f>chitar__3[[#This Row],[Column1.14]]</f>
        <v>154.815</v>
      </c>
      <c r="O482" s="6" t="s">
        <v>1596</v>
      </c>
    </row>
    <row r="483" spans="1:15" x14ac:dyDescent="0.45">
      <c r="A483" s="1" t="s">
        <v>16</v>
      </c>
      <c r="B483" s="1">
        <f t="shared" si="31"/>
        <v>155.047</v>
      </c>
      <c r="C483" s="1" t="str">
        <f t="shared" si="32"/>
        <v>155.047</v>
      </c>
      <c r="D483" s="1" t="str">
        <f t="shared" si="33"/>
        <v>155.047</v>
      </c>
      <c r="E483" s="1" t="str">
        <f>RIGHT(chitar__3[[#This Row],[Column1.2]],LEN(chitar__3[[#This Row],[Column1.2]])-7)</f>
        <v>" string="0" fret="10" palmMute="1" /&gt;</v>
      </c>
      <c r="F483" s="1" t="s">
        <v>313</v>
      </c>
      <c r="G483" s="1"/>
      <c r="H483" s="1"/>
      <c r="I483" s="1"/>
      <c r="J483" s="1"/>
      <c r="L483" s="2" t="s">
        <v>16</v>
      </c>
      <c r="M483" s="3" t="str">
        <f t="shared" si="34"/>
        <v xml:space="preserve">        &lt;note time="155.047" string="1" fret="5" /&gt;</v>
      </c>
      <c r="N483" s="3" t="str">
        <f>chitar__3[[#This Row],[Column1.14]]</f>
        <v>155.047</v>
      </c>
      <c r="O483" s="4" t="s">
        <v>1597</v>
      </c>
    </row>
    <row r="484" spans="1:15" x14ac:dyDescent="0.45">
      <c r="A484" s="1" t="s">
        <v>16</v>
      </c>
      <c r="B484" s="1">
        <f t="shared" si="31"/>
        <v>155.27500000000001</v>
      </c>
      <c r="C484" s="1" t="str">
        <f t="shared" si="32"/>
        <v>155.275</v>
      </c>
      <c r="D484" s="1" t="str">
        <f t="shared" si="33"/>
        <v>155.275</v>
      </c>
      <c r="E484" s="1" t="str">
        <f>RIGHT(chitar__3[[#This Row],[Column1.2]],LEN(chitar__3[[#This Row],[Column1.2]])-7)</f>
        <v>" string="0" fret="10" palmMute="1" /&gt;</v>
      </c>
      <c r="F484" s="1" t="s">
        <v>314</v>
      </c>
      <c r="G484" s="1"/>
      <c r="H484" s="1"/>
      <c r="I484" s="1"/>
      <c r="J484" s="1"/>
      <c r="L484" s="5" t="s">
        <v>16</v>
      </c>
      <c r="M484" s="3" t="str">
        <f t="shared" si="34"/>
        <v xml:space="preserve">        &lt;note time="155.275" string="1" fret="5" /&gt;</v>
      </c>
      <c r="N484" s="3" t="str">
        <f>chitar__3[[#This Row],[Column1.14]]</f>
        <v>155.275</v>
      </c>
      <c r="O484" s="6" t="s">
        <v>1598</v>
      </c>
    </row>
    <row r="485" spans="1:15" x14ac:dyDescent="0.45">
      <c r="A485" s="1" t="s">
        <v>16</v>
      </c>
      <c r="B485" s="1">
        <f t="shared" si="31"/>
        <v>155.50399999999999</v>
      </c>
      <c r="C485" s="1" t="str">
        <f t="shared" si="32"/>
        <v>155.504</v>
      </c>
      <c r="D485" s="1" t="str">
        <f t="shared" si="33"/>
        <v>155.504</v>
      </c>
      <c r="E485" s="1" t="str">
        <f>RIGHT(chitar__3[[#This Row],[Column1.2]],LEN(chitar__3[[#This Row],[Column1.2]])-7)</f>
        <v>" string="0" fret="10" palmMute="1" /&gt;</v>
      </c>
      <c r="F485" s="1" t="s">
        <v>315</v>
      </c>
      <c r="G485" s="1"/>
      <c r="H485" s="1"/>
      <c r="I485" s="1"/>
      <c r="J485" s="1"/>
      <c r="L485" s="2" t="s">
        <v>16</v>
      </c>
      <c r="M485" s="3" t="str">
        <f t="shared" si="34"/>
        <v xml:space="preserve">        &lt;note time="155.504" string="1" fret="5" /&gt;</v>
      </c>
      <c r="N485" s="3" t="str">
        <f>chitar__3[[#This Row],[Column1.14]]</f>
        <v>155.504</v>
      </c>
      <c r="O485" s="4" t="s">
        <v>1599</v>
      </c>
    </row>
    <row r="486" spans="1:15" x14ac:dyDescent="0.45">
      <c r="A486" s="1" t="s">
        <v>16</v>
      </c>
      <c r="B486" s="1">
        <f t="shared" si="31"/>
        <v>155.72399999999999</v>
      </c>
      <c r="C486" s="1" t="str">
        <f t="shared" si="32"/>
        <v>155.724</v>
      </c>
      <c r="D486" s="1" t="str">
        <f t="shared" si="33"/>
        <v>155.724</v>
      </c>
      <c r="E486" s="1" t="str">
        <f>RIGHT(chitar__3[[#This Row],[Column1.2]],LEN(chitar__3[[#This Row],[Column1.2]])-7)</f>
        <v>" string="0" fret="10" palmMute="1" /&gt;</v>
      </c>
      <c r="F486" s="1" t="s">
        <v>316</v>
      </c>
      <c r="G486" s="1"/>
      <c r="H486" s="1"/>
      <c r="I486" s="1"/>
      <c r="J486" s="1"/>
      <c r="L486" s="5" t="s">
        <v>16</v>
      </c>
      <c r="M486" s="3" t="str">
        <f t="shared" si="34"/>
        <v xml:space="preserve">        &lt;note time="155.724" string="1" fret="5" /&gt;</v>
      </c>
      <c r="N486" s="3" t="str">
        <f>chitar__3[[#This Row],[Column1.14]]</f>
        <v>155.724</v>
      </c>
      <c r="O486" s="6" t="s">
        <v>1600</v>
      </c>
    </row>
    <row r="487" spans="1:15" x14ac:dyDescent="0.45">
      <c r="A487" s="1" t="s">
        <v>16</v>
      </c>
      <c r="B487" s="1">
        <f t="shared" si="31"/>
        <v>155.94800000000001</v>
      </c>
      <c r="C487" s="1" t="str">
        <f t="shared" si="32"/>
        <v>155.948</v>
      </c>
      <c r="D487" s="1" t="str">
        <f t="shared" si="33"/>
        <v>155.948</v>
      </c>
      <c r="E487" s="1" t="str">
        <f>RIGHT(chitar__3[[#This Row],[Column1.2]],LEN(chitar__3[[#This Row],[Column1.2]])-7)</f>
        <v>" string="0" fret="10" palmMute="1" /&gt;</v>
      </c>
      <c r="F487" s="1" t="s">
        <v>317</v>
      </c>
      <c r="G487" s="1"/>
      <c r="H487" s="1"/>
      <c r="I487" s="1"/>
      <c r="J487" s="1"/>
      <c r="L487" s="2" t="s">
        <v>16</v>
      </c>
      <c r="M487" s="3" t="str">
        <f t="shared" si="34"/>
        <v xml:space="preserve">        &lt;note time="155.948" string="1" fret="5" /&gt;</v>
      </c>
      <c r="N487" s="3" t="str">
        <f>chitar__3[[#This Row],[Column1.14]]</f>
        <v>155.948</v>
      </c>
      <c r="O487" s="4" t="s">
        <v>1601</v>
      </c>
    </row>
    <row r="488" spans="1:15" x14ac:dyDescent="0.45">
      <c r="A488" s="1" t="s">
        <v>388</v>
      </c>
      <c r="B488" s="1">
        <f t="shared" si="31"/>
        <v>156.095</v>
      </c>
      <c r="C488" s="1" t="str">
        <f t="shared" si="32"/>
        <v>156.095</v>
      </c>
      <c r="D488" s="1" t="str">
        <f t="shared" si="33"/>
        <v>156.095</v>
      </c>
      <c r="E488" s="1" t="str">
        <f>RIGHT(chitar__3[[#This Row],[Column1.2]],LEN(chitar__3[[#This Row],[Column1.2]])-7)</f>
        <v xml:space="preserve">" chordId="4" &gt;&lt;chordNote </v>
      </c>
      <c r="F488" s="1" t="s">
        <v>572</v>
      </c>
      <c r="G488" s="1" t="s">
        <v>995</v>
      </c>
      <c r="H488" s="1" t="s">
        <v>996</v>
      </c>
      <c r="I488" s="1"/>
      <c r="J488" s="1"/>
      <c r="L488" s="5" t="s">
        <v>16</v>
      </c>
      <c r="M488" s="3" t="str">
        <f t="shared" si="34"/>
        <v xml:space="preserve">        &lt;note time="156.095" string="2" fret="5" /&gt;</v>
      </c>
      <c r="N488" s="3" t="str">
        <f>chitar__3[[#This Row],[Column1.14]]</f>
        <v>156.095</v>
      </c>
      <c r="O488" s="6" t="s">
        <v>1602</v>
      </c>
    </row>
    <row r="489" spans="1:15" x14ac:dyDescent="0.45">
      <c r="A489" s="1" t="s">
        <v>388</v>
      </c>
      <c r="B489" s="1">
        <f t="shared" si="31"/>
        <v>156.47499999999999</v>
      </c>
      <c r="C489" s="1" t="str">
        <f t="shared" si="32"/>
        <v>156.475</v>
      </c>
      <c r="D489" s="1" t="str">
        <f t="shared" si="33"/>
        <v>156.475</v>
      </c>
      <c r="E489" s="1" t="str">
        <f>RIGHT(chitar__3[[#This Row],[Column1.2]],LEN(chitar__3[[#This Row],[Column1.2]])-7)</f>
        <v xml:space="preserve">" chordId="5" &gt;&lt;chordNote </v>
      </c>
      <c r="F489" s="1" t="s">
        <v>573</v>
      </c>
      <c r="G489" s="1" t="s">
        <v>997</v>
      </c>
      <c r="H489" s="1" t="s">
        <v>998</v>
      </c>
      <c r="I489" s="1"/>
      <c r="J489" s="1"/>
      <c r="L489" s="2" t="s">
        <v>16</v>
      </c>
      <c r="M489" s="3" t="str">
        <f t="shared" si="34"/>
        <v xml:space="preserve">        &lt;note time="156.475" string="2" fret="3" sustain="0.21" /&gt;</v>
      </c>
      <c r="N489" s="3" t="str">
        <f>chitar__3[[#This Row],[Column1.14]]</f>
        <v>156.475</v>
      </c>
      <c r="O489" s="4" t="s">
        <v>1775</v>
      </c>
    </row>
    <row r="490" spans="1:15" x14ac:dyDescent="0.45">
      <c r="A490" s="1" t="s">
        <v>388</v>
      </c>
      <c r="B490" s="1">
        <f t="shared" si="31"/>
        <v>156.91300000000001</v>
      </c>
      <c r="C490" s="1" t="str">
        <f t="shared" si="32"/>
        <v>156.913</v>
      </c>
      <c r="D490" s="1" t="str">
        <f t="shared" si="33"/>
        <v>156.913</v>
      </c>
      <c r="E490" s="1" t="str">
        <f>RIGHT(chitar__3[[#This Row],[Column1.2]],LEN(chitar__3[[#This Row],[Column1.2]])-7)</f>
        <v xml:space="preserve">" chordId="7" &gt;&lt;chordNote </v>
      </c>
      <c r="F490" s="1" t="s">
        <v>574</v>
      </c>
      <c r="G490" s="1" t="s">
        <v>999</v>
      </c>
      <c r="H490" s="1" t="s">
        <v>1000</v>
      </c>
      <c r="I490" s="1"/>
      <c r="J490" s="1"/>
      <c r="L490" s="5" t="s">
        <v>16</v>
      </c>
      <c r="M490" s="3" t="str">
        <f t="shared" si="34"/>
        <v xml:space="preserve">        &lt;note time="156.913" string="1" fret="5" /&gt;</v>
      </c>
      <c r="N490" s="3" t="str">
        <f>chitar__3[[#This Row],[Column1.14]]</f>
        <v>156.913</v>
      </c>
      <c r="O490" s="6" t="s">
        <v>1604</v>
      </c>
    </row>
    <row r="491" spans="1:15" x14ac:dyDescent="0.45">
      <c r="A491" s="1" t="s">
        <v>16</v>
      </c>
      <c r="B491" s="1">
        <f t="shared" si="31"/>
        <v>157.14099999999999</v>
      </c>
      <c r="C491" s="1" t="str">
        <f t="shared" si="32"/>
        <v>157.141</v>
      </c>
      <c r="D491" s="1" t="str">
        <f t="shared" si="33"/>
        <v>157.141</v>
      </c>
      <c r="E491" s="1" t="str">
        <f>RIGHT(chitar__3[[#This Row],[Column1.2]],LEN(chitar__3[[#This Row],[Column1.2]])-7)</f>
        <v>" string="0" fret="10" palmMute="1" /&gt;</v>
      </c>
      <c r="F491" s="1" t="s">
        <v>318</v>
      </c>
      <c r="G491" s="1"/>
      <c r="H491" s="1"/>
      <c r="I491" s="1"/>
      <c r="J491" s="1"/>
      <c r="L491" s="2" t="s">
        <v>16</v>
      </c>
      <c r="M491" s="3" t="str">
        <f t="shared" si="34"/>
        <v xml:space="preserve">        &lt;note time="157.141" string="1" fret="5" /&gt;</v>
      </c>
      <c r="N491" s="3" t="str">
        <f>chitar__3[[#This Row],[Column1.14]]</f>
        <v>157.141</v>
      </c>
      <c r="O491" s="4" t="s">
        <v>1605</v>
      </c>
    </row>
    <row r="492" spans="1:15" x14ac:dyDescent="0.45">
      <c r="A492" s="1" t="s">
        <v>16</v>
      </c>
      <c r="B492" s="1">
        <f t="shared" si="31"/>
        <v>157.36099999999999</v>
      </c>
      <c r="C492" s="1" t="str">
        <f t="shared" si="32"/>
        <v>157.361</v>
      </c>
      <c r="D492" s="1" t="str">
        <f t="shared" si="33"/>
        <v>157.361</v>
      </c>
      <c r="E492" s="1" t="str">
        <f>RIGHT(chitar__3[[#This Row],[Column1.2]],LEN(chitar__3[[#This Row],[Column1.2]])-7)</f>
        <v>" string="0" fret="10" palmMute="1" /&gt;</v>
      </c>
      <c r="F492" s="1" t="s">
        <v>319</v>
      </c>
      <c r="G492" s="1"/>
      <c r="H492" s="1"/>
      <c r="I492" s="1"/>
      <c r="J492" s="1"/>
      <c r="L492" s="5" t="s">
        <v>16</v>
      </c>
      <c r="M492" s="3" t="str">
        <f t="shared" si="34"/>
        <v xml:space="preserve">        &lt;note time="157.361" string="1" fret="5" /&gt;</v>
      </c>
      <c r="N492" s="3" t="str">
        <f>chitar__3[[#This Row],[Column1.14]]</f>
        <v>157.361</v>
      </c>
      <c r="O492" s="6" t="s">
        <v>1606</v>
      </c>
    </row>
    <row r="493" spans="1:15" x14ac:dyDescent="0.45">
      <c r="A493" s="1" t="s">
        <v>16</v>
      </c>
      <c r="B493" s="1">
        <f t="shared" si="31"/>
        <v>157.59100000000001</v>
      </c>
      <c r="C493" s="1" t="str">
        <f t="shared" si="32"/>
        <v>157.591</v>
      </c>
      <c r="D493" s="1" t="str">
        <f t="shared" si="33"/>
        <v>157.591</v>
      </c>
      <c r="E493" s="1" t="str">
        <f>RIGHT(chitar__3[[#This Row],[Column1.2]],LEN(chitar__3[[#This Row],[Column1.2]])-7)</f>
        <v>" string="0" fret="10" palmMute="1" /&gt;</v>
      </c>
      <c r="F493" s="1" t="s">
        <v>320</v>
      </c>
      <c r="G493" s="1"/>
      <c r="H493" s="1"/>
      <c r="I493" s="1"/>
      <c r="J493" s="1"/>
      <c r="L493" s="2" t="s">
        <v>16</v>
      </c>
      <c r="M493" s="3" t="str">
        <f t="shared" si="34"/>
        <v xml:space="preserve">        &lt;note time="157.591" string="1" fret="5" /&gt;</v>
      </c>
      <c r="N493" s="3" t="str">
        <f>chitar__3[[#This Row],[Column1.14]]</f>
        <v>157.591</v>
      </c>
      <c r="O493" s="4" t="s">
        <v>1607</v>
      </c>
    </row>
    <row r="494" spans="1:15" x14ac:dyDescent="0.45">
      <c r="A494" s="1" t="s">
        <v>16</v>
      </c>
      <c r="B494" s="1">
        <f t="shared" si="31"/>
        <v>157.81700000000001</v>
      </c>
      <c r="C494" s="1" t="str">
        <f t="shared" si="32"/>
        <v>157.817</v>
      </c>
      <c r="D494" s="1" t="str">
        <f t="shared" si="33"/>
        <v>157.817</v>
      </c>
      <c r="E494" s="1" t="str">
        <f>RIGHT(chitar__3[[#This Row],[Column1.2]],LEN(chitar__3[[#This Row],[Column1.2]])-7)</f>
        <v>" string="0" fret="10" palmMute="1" /&gt;</v>
      </c>
      <c r="F494" s="1" t="s">
        <v>321</v>
      </c>
      <c r="G494" s="1"/>
      <c r="H494" s="1"/>
      <c r="I494" s="1"/>
      <c r="J494" s="1"/>
      <c r="L494" s="5" t="s">
        <v>16</v>
      </c>
      <c r="M494" s="3" t="str">
        <f t="shared" si="34"/>
        <v xml:space="preserve">        &lt;note time="157.817" string="1" fret="5" /&gt;</v>
      </c>
      <c r="N494" s="3" t="str">
        <f>chitar__3[[#This Row],[Column1.14]]</f>
        <v>157.817</v>
      </c>
      <c r="O494" s="6" t="s">
        <v>1608</v>
      </c>
    </row>
    <row r="495" spans="1:15" x14ac:dyDescent="0.45">
      <c r="A495" s="1" t="s">
        <v>16</v>
      </c>
      <c r="B495" s="1">
        <f t="shared" si="31"/>
        <v>158.048</v>
      </c>
      <c r="C495" s="1" t="str">
        <f t="shared" si="32"/>
        <v>158.048</v>
      </c>
      <c r="D495" s="1" t="str">
        <f t="shared" si="33"/>
        <v>158.048</v>
      </c>
      <c r="E495" s="1" t="str">
        <f>RIGHT(chitar__3[[#This Row],[Column1.2]],LEN(chitar__3[[#This Row],[Column1.2]])-7)</f>
        <v>" string="0" fret="10" palmMute="1" /&gt;</v>
      </c>
      <c r="F495" s="1" t="s">
        <v>322</v>
      </c>
      <c r="G495" s="1"/>
      <c r="H495" s="1"/>
      <c r="I495" s="1"/>
      <c r="J495" s="1"/>
      <c r="L495" s="2" t="s">
        <v>16</v>
      </c>
      <c r="M495" s="3" t="str">
        <f t="shared" si="34"/>
        <v xml:space="preserve">        &lt;note time="158.048" string="1" fret="5" /&gt;</v>
      </c>
      <c r="N495" s="3" t="str">
        <f>chitar__3[[#This Row],[Column1.14]]</f>
        <v>158.048</v>
      </c>
      <c r="O495" s="4" t="s">
        <v>1609</v>
      </c>
    </row>
    <row r="496" spans="1:15" x14ac:dyDescent="0.45">
      <c r="A496" s="1" t="s">
        <v>16</v>
      </c>
      <c r="B496" s="1">
        <f t="shared" si="31"/>
        <v>158.27799999999999</v>
      </c>
      <c r="C496" s="1" t="str">
        <f t="shared" si="32"/>
        <v>158.278</v>
      </c>
      <c r="D496" s="1" t="str">
        <f t="shared" si="33"/>
        <v>158.278</v>
      </c>
      <c r="E496" s="1" t="str">
        <f>RIGHT(chitar__3[[#This Row],[Column1.2]],LEN(chitar__3[[#This Row],[Column1.2]])-7)</f>
        <v>" string="0" fret="10" palmMute="1" /&gt;</v>
      </c>
      <c r="F496" s="1" t="s">
        <v>323</v>
      </c>
      <c r="G496" s="1"/>
      <c r="H496" s="1"/>
      <c r="I496" s="1"/>
      <c r="J496" s="1"/>
      <c r="L496" s="5" t="s">
        <v>16</v>
      </c>
      <c r="M496" s="3" t="str">
        <f t="shared" si="34"/>
        <v xml:space="preserve">        &lt;note time="158.278" string="1" fret="5" /&gt;</v>
      </c>
      <c r="N496" s="3" t="str">
        <f>chitar__3[[#This Row],[Column1.14]]</f>
        <v>158.278</v>
      </c>
      <c r="O496" s="6" t="s">
        <v>1610</v>
      </c>
    </row>
    <row r="497" spans="1:15" x14ac:dyDescent="0.45">
      <c r="A497" s="1" t="s">
        <v>16</v>
      </c>
      <c r="B497" s="1">
        <f t="shared" si="31"/>
        <v>158.51</v>
      </c>
      <c r="C497" s="1" t="str">
        <f t="shared" si="32"/>
        <v>158.510</v>
      </c>
      <c r="D497" s="1" t="str">
        <f t="shared" si="33"/>
        <v>158.510</v>
      </c>
      <c r="E497" s="1" t="str">
        <f>RIGHT(chitar__3[[#This Row],[Column1.2]],LEN(chitar__3[[#This Row],[Column1.2]])-7)</f>
        <v>" string="0" fret="10" palmMute="1" /&gt;</v>
      </c>
      <c r="F497" s="1" t="s">
        <v>324</v>
      </c>
      <c r="G497" s="1"/>
      <c r="H497" s="1"/>
      <c r="I497" s="1"/>
      <c r="J497" s="1"/>
      <c r="L497" s="2" t="s">
        <v>16</v>
      </c>
      <c r="M497" s="3" t="str">
        <f t="shared" si="34"/>
        <v xml:space="preserve">        &lt;note time="158.510" string="1" fret="5" /&gt;</v>
      </c>
      <c r="N497" s="3" t="str">
        <f>chitar__3[[#This Row],[Column1.14]]</f>
        <v>158.510</v>
      </c>
      <c r="O497" s="4" t="s">
        <v>1611</v>
      </c>
    </row>
    <row r="498" spans="1:15" x14ac:dyDescent="0.45">
      <c r="A498" s="1" t="s">
        <v>16</v>
      </c>
      <c r="B498" s="1">
        <f t="shared" si="31"/>
        <v>158.738</v>
      </c>
      <c r="C498" s="1" t="str">
        <f t="shared" si="32"/>
        <v>158.738</v>
      </c>
      <c r="D498" s="1" t="str">
        <f t="shared" si="33"/>
        <v>158.738</v>
      </c>
      <c r="E498" s="1" t="str">
        <f>RIGHT(chitar__3[[#This Row],[Column1.2]],LEN(chitar__3[[#This Row],[Column1.2]])-7)</f>
        <v>" string="0" fret="10" palmMute="1" /&gt;</v>
      </c>
      <c r="F498" s="1" t="s">
        <v>325</v>
      </c>
      <c r="G498" s="1"/>
      <c r="H498" s="1"/>
      <c r="I498" s="1"/>
      <c r="J498" s="1"/>
      <c r="L498" s="5" t="s">
        <v>16</v>
      </c>
      <c r="M498" s="3" t="str">
        <f t="shared" si="34"/>
        <v xml:space="preserve">        &lt;note time="158.738" string="1" fret="5" /&gt;</v>
      </c>
      <c r="N498" s="3" t="str">
        <f>chitar__3[[#This Row],[Column1.14]]</f>
        <v>158.738</v>
      </c>
      <c r="O498" s="6" t="s">
        <v>1612</v>
      </c>
    </row>
    <row r="499" spans="1:15" x14ac:dyDescent="0.45">
      <c r="A499" s="1" t="s">
        <v>16</v>
      </c>
      <c r="B499" s="1">
        <f t="shared" si="31"/>
        <v>158.96700000000001</v>
      </c>
      <c r="C499" s="1" t="str">
        <f t="shared" si="32"/>
        <v>158.967</v>
      </c>
      <c r="D499" s="1" t="str">
        <f t="shared" si="33"/>
        <v>158.967</v>
      </c>
      <c r="E499" s="1" t="str">
        <f>RIGHT(chitar__3[[#This Row],[Column1.2]],LEN(chitar__3[[#This Row],[Column1.2]])-7)</f>
        <v>" string="0" fret="10" palmMute="1" /&gt;</v>
      </c>
      <c r="F499" s="1" t="s">
        <v>326</v>
      </c>
      <c r="G499" s="1"/>
      <c r="H499" s="1"/>
      <c r="I499" s="1"/>
      <c r="J499" s="1"/>
      <c r="L499" s="2" t="s">
        <v>16</v>
      </c>
      <c r="M499" s="3" t="str">
        <f t="shared" si="34"/>
        <v xml:space="preserve">        &lt;note time="158.967" string="1" fret="5" /&gt;</v>
      </c>
      <c r="N499" s="3" t="str">
        <f>chitar__3[[#This Row],[Column1.14]]</f>
        <v>158.967</v>
      </c>
      <c r="O499" s="4" t="s">
        <v>1613</v>
      </c>
    </row>
    <row r="500" spans="1:15" x14ac:dyDescent="0.45">
      <c r="A500" s="1" t="s">
        <v>16</v>
      </c>
      <c r="B500" s="1">
        <f t="shared" si="31"/>
        <v>159.18700000000001</v>
      </c>
      <c r="C500" s="1" t="str">
        <f t="shared" si="32"/>
        <v>159.187</v>
      </c>
      <c r="D500" s="1" t="str">
        <f t="shared" si="33"/>
        <v>159.187</v>
      </c>
      <c r="E500" s="1" t="str">
        <f>RIGHT(chitar__3[[#This Row],[Column1.2]],LEN(chitar__3[[#This Row],[Column1.2]])-7)</f>
        <v>" string="0" fret="10" palmMute="1" /&gt;</v>
      </c>
      <c r="F500" s="1" t="s">
        <v>327</v>
      </c>
      <c r="G500" s="1"/>
      <c r="H500" s="1"/>
      <c r="I500" s="1"/>
      <c r="J500" s="1"/>
      <c r="L500" s="5" t="s">
        <v>16</v>
      </c>
      <c r="M500" s="3" t="str">
        <f t="shared" si="34"/>
        <v xml:space="preserve">        &lt;note time="159.187" string="1" fret="5" /&gt;</v>
      </c>
      <c r="N500" s="3" t="str">
        <f>chitar__3[[#This Row],[Column1.14]]</f>
        <v>159.187</v>
      </c>
      <c r="O500" s="6" t="s">
        <v>1614</v>
      </c>
    </row>
    <row r="501" spans="1:15" x14ac:dyDescent="0.45">
      <c r="A501" s="1" t="s">
        <v>16</v>
      </c>
      <c r="B501" s="1">
        <f t="shared" si="31"/>
        <v>159.41</v>
      </c>
      <c r="C501" s="1" t="str">
        <f t="shared" si="32"/>
        <v>159.410</v>
      </c>
      <c r="D501" s="1" t="str">
        <f t="shared" si="33"/>
        <v>159.410</v>
      </c>
      <c r="E501" s="1" t="str">
        <f>RIGHT(chitar__3[[#This Row],[Column1.2]],LEN(chitar__3[[#This Row],[Column1.2]])-7)</f>
        <v>" string="0" fret="10" palmMute="1" /&gt;</v>
      </c>
      <c r="F501" s="1" t="s">
        <v>328</v>
      </c>
      <c r="G501" s="1"/>
      <c r="H501" s="1"/>
      <c r="I501" s="1"/>
      <c r="J501" s="1"/>
      <c r="L501" s="2" t="s">
        <v>16</v>
      </c>
      <c r="M501" s="3" t="str">
        <f t="shared" si="34"/>
        <v xml:space="preserve">        &lt;note time="159.410" string="1" fret="5" /&gt;</v>
      </c>
      <c r="N501" s="3" t="str">
        <f>chitar__3[[#This Row],[Column1.14]]</f>
        <v>159.410</v>
      </c>
      <c r="O501" s="4" t="s">
        <v>1615</v>
      </c>
    </row>
    <row r="502" spans="1:15" x14ac:dyDescent="0.45">
      <c r="A502" s="1" t="s">
        <v>388</v>
      </c>
      <c r="B502" s="1">
        <f t="shared" si="31"/>
        <v>159.506</v>
      </c>
      <c r="C502" s="1" t="str">
        <f t="shared" si="32"/>
        <v>159.506</v>
      </c>
      <c r="D502" s="1" t="str">
        <f t="shared" si="33"/>
        <v>159.506</v>
      </c>
      <c r="E502" s="1" t="str">
        <f>RIGHT(chitar__3[[#This Row],[Column1.2]],LEN(chitar__3[[#This Row],[Column1.2]])-7)</f>
        <v xml:space="preserve">" chordId="4" &gt;&lt;chordNote </v>
      </c>
      <c r="F502" s="1" t="s">
        <v>575</v>
      </c>
      <c r="G502" s="1" t="s">
        <v>1001</v>
      </c>
      <c r="H502" s="1" t="s">
        <v>1002</v>
      </c>
      <c r="I502" s="1"/>
      <c r="J502" s="1"/>
      <c r="L502" s="5" t="s">
        <v>16</v>
      </c>
      <c r="M502" s="3" t="str">
        <f t="shared" si="34"/>
        <v xml:space="preserve">        &lt;note time="159.506" string="2" fret="5" /&gt;</v>
      </c>
      <c r="N502" s="3" t="str">
        <f>chitar__3[[#This Row],[Column1.14]]</f>
        <v>159.506</v>
      </c>
      <c r="O502" s="6" t="s">
        <v>1616</v>
      </c>
    </row>
    <row r="503" spans="1:15" x14ac:dyDescent="0.45">
      <c r="A503" s="1" t="s">
        <v>388</v>
      </c>
      <c r="B503" s="1">
        <f t="shared" si="31"/>
        <v>159.92599999999999</v>
      </c>
      <c r="C503" s="1" t="str">
        <f t="shared" si="32"/>
        <v>159.926</v>
      </c>
      <c r="D503" s="1" t="str">
        <f t="shared" si="33"/>
        <v>159.926</v>
      </c>
      <c r="E503" s="1" t="str">
        <f>RIGHT(chitar__3[[#This Row],[Column1.2]],LEN(chitar__3[[#This Row],[Column1.2]])-7)</f>
        <v xml:space="preserve">" chordId="5" &gt;&lt;chordNote </v>
      </c>
      <c r="F503" s="1" t="s">
        <v>576</v>
      </c>
      <c r="G503" s="1" t="s">
        <v>1003</v>
      </c>
      <c r="H503" s="1" t="s">
        <v>1004</v>
      </c>
      <c r="I503" s="1"/>
      <c r="J503" s="1"/>
      <c r="L503" s="2" t="s">
        <v>16</v>
      </c>
      <c r="M503" s="3" t="str">
        <f t="shared" si="34"/>
        <v xml:space="preserve">        &lt;note time="159.926" string="2" fret="3" sustain="0.21" /&gt;</v>
      </c>
      <c r="N503" s="3" t="str">
        <f>chitar__3[[#This Row],[Column1.14]]</f>
        <v>159.926</v>
      </c>
      <c r="O503" s="4" t="s">
        <v>1776</v>
      </c>
    </row>
    <row r="504" spans="1:15" x14ac:dyDescent="0.45">
      <c r="A504" s="1" t="s">
        <v>388</v>
      </c>
      <c r="B504" s="1">
        <f t="shared" si="31"/>
        <v>160.36699999999999</v>
      </c>
      <c r="C504" s="1" t="str">
        <f t="shared" si="32"/>
        <v>160.367</v>
      </c>
      <c r="D504" s="1" t="str">
        <f t="shared" si="33"/>
        <v>160.367</v>
      </c>
      <c r="E504" s="1" t="str">
        <f>RIGHT(chitar__3[[#This Row],[Column1.2]],LEN(chitar__3[[#This Row],[Column1.2]])-7)</f>
        <v xml:space="preserve">" chordId="7" &gt;&lt;chordNote </v>
      </c>
      <c r="F504" s="1" t="s">
        <v>577</v>
      </c>
      <c r="G504" s="1" t="s">
        <v>1005</v>
      </c>
      <c r="H504" s="1" t="s">
        <v>1006</v>
      </c>
      <c r="I504" s="1"/>
      <c r="J504" s="1"/>
      <c r="L504" s="5" t="s">
        <v>16</v>
      </c>
      <c r="M504" s="3" t="str">
        <f t="shared" si="34"/>
        <v xml:space="preserve">        &lt;note time="160.367" string="1" fret="5" /&gt;</v>
      </c>
      <c r="N504" s="3" t="str">
        <f>chitar__3[[#This Row],[Column1.14]]</f>
        <v>160.367</v>
      </c>
      <c r="O504" s="6" t="s">
        <v>1618</v>
      </c>
    </row>
    <row r="505" spans="1:15" x14ac:dyDescent="0.45">
      <c r="A505" s="1" t="s">
        <v>16</v>
      </c>
      <c r="B505" s="1">
        <f t="shared" si="31"/>
        <v>160.596</v>
      </c>
      <c r="C505" s="1" t="str">
        <f t="shared" si="32"/>
        <v>160.596</v>
      </c>
      <c r="D505" s="1" t="str">
        <f t="shared" si="33"/>
        <v>160.596</v>
      </c>
      <c r="E505" s="1" t="str">
        <f>RIGHT(chitar__3[[#This Row],[Column1.2]],LEN(chitar__3[[#This Row],[Column1.2]])-7)</f>
        <v>" string="0" fret="10" palmMute="1" /&gt;</v>
      </c>
      <c r="F505" s="1" t="s">
        <v>329</v>
      </c>
      <c r="G505" s="1"/>
      <c r="H505" s="1"/>
      <c r="I505" s="1"/>
      <c r="J505" s="1"/>
      <c r="L505" s="2" t="s">
        <v>16</v>
      </c>
      <c r="M505" s="3" t="str">
        <f t="shared" si="34"/>
        <v xml:space="preserve">        &lt;note time="160.596" string="1" fret="5" /&gt;</v>
      </c>
      <c r="N505" s="3" t="str">
        <f>chitar__3[[#This Row],[Column1.14]]</f>
        <v>160.596</v>
      </c>
      <c r="O505" s="4" t="s">
        <v>1619</v>
      </c>
    </row>
    <row r="506" spans="1:15" x14ac:dyDescent="0.45">
      <c r="A506" s="1" t="s">
        <v>16</v>
      </c>
      <c r="B506" s="1">
        <f t="shared" si="31"/>
        <v>160.816</v>
      </c>
      <c r="C506" s="1" t="str">
        <f t="shared" si="32"/>
        <v>160.816</v>
      </c>
      <c r="D506" s="1" t="str">
        <f t="shared" si="33"/>
        <v>160.816</v>
      </c>
      <c r="E506" s="1" t="str">
        <f>RIGHT(chitar__3[[#This Row],[Column1.2]],LEN(chitar__3[[#This Row],[Column1.2]])-7)</f>
        <v>" string="0" fret="10" palmMute="1" /&gt;</v>
      </c>
      <c r="F506" s="1" t="s">
        <v>330</v>
      </c>
      <c r="G506" s="1"/>
      <c r="H506" s="1"/>
      <c r="I506" s="1"/>
      <c r="J506" s="1"/>
      <c r="L506" s="5" t="s">
        <v>16</v>
      </c>
      <c r="M506" s="3" t="str">
        <f t="shared" si="34"/>
        <v xml:space="preserve">        &lt;note time="160.816" string="1" fret="5" /&gt;</v>
      </c>
      <c r="N506" s="3" t="str">
        <f>chitar__3[[#This Row],[Column1.14]]</f>
        <v>160.816</v>
      </c>
      <c r="O506" s="6" t="s">
        <v>1620</v>
      </c>
    </row>
    <row r="507" spans="1:15" x14ac:dyDescent="0.45">
      <c r="A507" s="1" t="s">
        <v>16</v>
      </c>
      <c r="B507" s="1">
        <f t="shared" si="31"/>
        <v>161.04599999999999</v>
      </c>
      <c r="C507" s="1" t="str">
        <f t="shared" si="32"/>
        <v>161.046</v>
      </c>
      <c r="D507" s="1" t="str">
        <f t="shared" si="33"/>
        <v>161.046</v>
      </c>
      <c r="E507" s="1" t="str">
        <f>RIGHT(chitar__3[[#This Row],[Column1.2]],LEN(chitar__3[[#This Row],[Column1.2]])-7)</f>
        <v>" string="0" fret="10" palmMute="1" /&gt;</v>
      </c>
      <c r="F507" s="1" t="s">
        <v>331</v>
      </c>
      <c r="G507" s="1"/>
      <c r="H507" s="1"/>
      <c r="I507" s="1"/>
      <c r="J507" s="1"/>
      <c r="L507" s="2" t="s">
        <v>16</v>
      </c>
      <c r="M507" s="3" t="str">
        <f t="shared" si="34"/>
        <v xml:space="preserve">        &lt;note time="161.046" string="1" fret="5" /&gt;</v>
      </c>
      <c r="N507" s="3" t="str">
        <f>chitar__3[[#This Row],[Column1.14]]</f>
        <v>161.046</v>
      </c>
      <c r="O507" s="4" t="s">
        <v>1621</v>
      </c>
    </row>
    <row r="508" spans="1:15" x14ac:dyDescent="0.45">
      <c r="A508" s="1" t="s">
        <v>16</v>
      </c>
      <c r="B508" s="1">
        <f t="shared" si="31"/>
        <v>161.27199999999999</v>
      </c>
      <c r="C508" s="1" t="str">
        <f t="shared" si="32"/>
        <v>161.272</v>
      </c>
      <c r="D508" s="1" t="str">
        <f t="shared" si="33"/>
        <v>161.272</v>
      </c>
      <c r="E508" s="1" t="str">
        <f>RIGHT(chitar__3[[#This Row],[Column1.2]],LEN(chitar__3[[#This Row],[Column1.2]])-7)</f>
        <v>" string="0" fret="10" palmMute="1" /&gt;</v>
      </c>
      <c r="F508" s="1" t="s">
        <v>332</v>
      </c>
      <c r="G508" s="1"/>
      <c r="H508" s="1"/>
      <c r="I508" s="1"/>
      <c r="J508" s="1"/>
      <c r="L508" s="5" t="s">
        <v>16</v>
      </c>
      <c r="M508" s="3" t="str">
        <f t="shared" si="34"/>
        <v xml:space="preserve">        &lt;note time="161.272" string="1" fret="5" /&gt;</v>
      </c>
      <c r="N508" s="3" t="str">
        <f>chitar__3[[#This Row],[Column1.14]]</f>
        <v>161.272</v>
      </c>
      <c r="O508" s="6" t="s">
        <v>1622</v>
      </c>
    </row>
    <row r="509" spans="1:15" x14ac:dyDescent="0.45">
      <c r="A509" s="1" t="s">
        <v>16</v>
      </c>
      <c r="B509" s="1">
        <f t="shared" si="31"/>
        <v>161.50299999999999</v>
      </c>
      <c r="C509" s="1" t="str">
        <f t="shared" si="32"/>
        <v>161.503</v>
      </c>
      <c r="D509" s="1" t="str">
        <f t="shared" si="33"/>
        <v>161.503</v>
      </c>
      <c r="E509" s="1" t="str">
        <f>RIGHT(chitar__3[[#This Row],[Column1.2]],LEN(chitar__3[[#This Row],[Column1.2]])-7)</f>
        <v>" string="0" fret="10" palmMute="1" /&gt;</v>
      </c>
      <c r="F509" s="1" t="s">
        <v>333</v>
      </c>
      <c r="G509" s="1"/>
      <c r="H509" s="1"/>
      <c r="I509" s="1"/>
      <c r="J509" s="1"/>
      <c r="L509" s="2" t="s">
        <v>16</v>
      </c>
      <c r="M509" s="3" t="str">
        <f t="shared" si="34"/>
        <v xml:space="preserve">        &lt;note time="161.503" string="1" fret="5" /&gt;</v>
      </c>
      <c r="N509" s="3" t="str">
        <f>chitar__3[[#This Row],[Column1.14]]</f>
        <v>161.503</v>
      </c>
      <c r="O509" s="4" t="s">
        <v>1623</v>
      </c>
    </row>
    <row r="510" spans="1:15" x14ac:dyDescent="0.45">
      <c r="A510" s="1" t="s">
        <v>16</v>
      </c>
      <c r="B510" s="1">
        <f t="shared" si="31"/>
        <v>161.733</v>
      </c>
      <c r="C510" s="1" t="str">
        <f t="shared" si="32"/>
        <v>161.733</v>
      </c>
      <c r="D510" s="1" t="str">
        <f t="shared" si="33"/>
        <v>161.733</v>
      </c>
      <c r="E510" s="1" t="str">
        <f>RIGHT(chitar__3[[#This Row],[Column1.2]],LEN(chitar__3[[#This Row],[Column1.2]])-7)</f>
        <v>" string="0" fret="10" palmMute="1" /&gt;</v>
      </c>
      <c r="F510" s="1" t="s">
        <v>334</v>
      </c>
      <c r="G510" s="1"/>
      <c r="H510" s="1"/>
      <c r="I510" s="1"/>
      <c r="J510" s="1"/>
      <c r="L510" s="5" t="s">
        <v>16</v>
      </c>
      <c r="M510" s="3" t="str">
        <f t="shared" ref="M510:M541" si="35">L510&amp;"time="""&amp;N510&amp;RIGHT(O510,LEN(O510)-7)</f>
        <v xml:space="preserve">        &lt;note time="161.733" string="1" fret="5" /&gt;</v>
      </c>
      <c r="N510" s="3" t="str">
        <f>chitar__3[[#This Row],[Column1.14]]</f>
        <v>161.733</v>
      </c>
      <c r="O510" s="6" t="s">
        <v>1624</v>
      </c>
    </row>
    <row r="511" spans="1:15" x14ac:dyDescent="0.45">
      <c r="A511" s="1" t="s">
        <v>16</v>
      </c>
      <c r="B511" s="1">
        <f t="shared" si="31"/>
        <v>161.965</v>
      </c>
      <c r="C511" s="1" t="str">
        <f t="shared" si="32"/>
        <v>161.965</v>
      </c>
      <c r="D511" s="1" t="str">
        <f t="shared" si="33"/>
        <v>161.965</v>
      </c>
      <c r="E511" s="1" t="str">
        <f>RIGHT(chitar__3[[#This Row],[Column1.2]],LEN(chitar__3[[#This Row],[Column1.2]])-7)</f>
        <v>" string="0" fret="10" palmMute="1" /&gt;</v>
      </c>
      <c r="F511" s="1" t="s">
        <v>335</v>
      </c>
      <c r="G511" s="1"/>
      <c r="H511" s="1"/>
      <c r="I511" s="1"/>
      <c r="J511" s="1"/>
      <c r="L511" s="2" t="s">
        <v>16</v>
      </c>
      <c r="M511" s="3" t="str">
        <f t="shared" si="35"/>
        <v xml:space="preserve">        &lt;note time="161.965" string="1" fret="5" /&gt;</v>
      </c>
      <c r="N511" s="3" t="str">
        <f>chitar__3[[#This Row],[Column1.14]]</f>
        <v>161.965</v>
      </c>
      <c r="O511" s="4" t="s">
        <v>1625</v>
      </c>
    </row>
    <row r="512" spans="1:15" x14ac:dyDescent="0.45">
      <c r="A512" s="1" t="s">
        <v>16</v>
      </c>
      <c r="B512" s="1">
        <f t="shared" si="31"/>
        <v>162.19300000000001</v>
      </c>
      <c r="C512" s="1" t="str">
        <f t="shared" si="32"/>
        <v>162.193</v>
      </c>
      <c r="D512" s="1" t="str">
        <f t="shared" si="33"/>
        <v>162.193</v>
      </c>
      <c r="E512" s="1" t="str">
        <f>RIGHT(chitar__3[[#This Row],[Column1.2]],LEN(chitar__3[[#This Row],[Column1.2]])-7)</f>
        <v>" string="0" fret="10" palmMute="1" /&gt;</v>
      </c>
      <c r="F512" s="1" t="s">
        <v>336</v>
      </c>
      <c r="G512" s="1"/>
      <c r="H512" s="1"/>
      <c r="I512" s="1"/>
      <c r="J512" s="1"/>
      <c r="L512" s="5" t="s">
        <v>16</v>
      </c>
      <c r="M512" s="3" t="str">
        <f t="shared" si="35"/>
        <v xml:space="preserve">        &lt;note time="162.193" string="1" fret="5" /&gt;</v>
      </c>
      <c r="N512" s="3" t="str">
        <f>chitar__3[[#This Row],[Column1.14]]</f>
        <v>162.193</v>
      </c>
      <c r="O512" s="6" t="s">
        <v>1626</v>
      </c>
    </row>
    <row r="513" spans="1:15" x14ac:dyDescent="0.45">
      <c r="A513" s="1" t="s">
        <v>16</v>
      </c>
      <c r="B513" s="1">
        <f t="shared" si="31"/>
        <v>162.422</v>
      </c>
      <c r="C513" s="1" t="str">
        <f t="shared" si="32"/>
        <v>162.422</v>
      </c>
      <c r="D513" s="1" t="str">
        <f t="shared" si="33"/>
        <v>162.422</v>
      </c>
      <c r="E513" s="1" t="str">
        <f>RIGHT(chitar__3[[#This Row],[Column1.2]],LEN(chitar__3[[#This Row],[Column1.2]])-7)</f>
        <v>" string="0" fret="10" palmMute="1" /&gt;</v>
      </c>
      <c r="F513" s="1" t="s">
        <v>337</v>
      </c>
      <c r="G513" s="1"/>
      <c r="H513" s="1"/>
      <c r="I513" s="1"/>
      <c r="J513" s="1"/>
      <c r="L513" s="2" t="s">
        <v>16</v>
      </c>
      <c r="M513" s="3" t="str">
        <f t="shared" si="35"/>
        <v xml:space="preserve">        &lt;note time="162.422" string="1" fret="5" /&gt;</v>
      </c>
      <c r="N513" s="3" t="str">
        <f>chitar__3[[#This Row],[Column1.14]]</f>
        <v>162.422</v>
      </c>
      <c r="O513" s="4" t="s">
        <v>1627</v>
      </c>
    </row>
    <row r="514" spans="1:15" x14ac:dyDescent="0.45">
      <c r="A514" s="1" t="s">
        <v>16</v>
      </c>
      <c r="B514" s="1">
        <f t="shared" si="31"/>
        <v>162.642</v>
      </c>
      <c r="C514" s="1" t="str">
        <f t="shared" si="32"/>
        <v>162.642</v>
      </c>
      <c r="D514" s="1" t="str">
        <f t="shared" si="33"/>
        <v>162.642</v>
      </c>
      <c r="E514" s="1" t="str">
        <f>RIGHT(chitar__3[[#This Row],[Column1.2]],LEN(chitar__3[[#This Row],[Column1.2]])-7)</f>
        <v>" string="0" fret="10" palmMute="1" /&gt;</v>
      </c>
      <c r="F514" s="1" t="s">
        <v>338</v>
      </c>
      <c r="G514" s="1"/>
      <c r="H514" s="1"/>
      <c r="I514" s="1"/>
      <c r="J514" s="1"/>
      <c r="L514" s="5" t="s">
        <v>16</v>
      </c>
      <c r="M514" s="3" t="str">
        <f t="shared" si="35"/>
        <v xml:space="preserve">        &lt;note time="162.642" string="1" fret="5" /&gt;</v>
      </c>
      <c r="N514" s="3" t="str">
        <f>chitar__3[[#This Row],[Column1.14]]</f>
        <v>162.642</v>
      </c>
      <c r="O514" s="6" t="s">
        <v>1628</v>
      </c>
    </row>
    <row r="515" spans="1:15" x14ac:dyDescent="0.45">
      <c r="A515" s="1" t="s">
        <v>16</v>
      </c>
      <c r="B515" s="1">
        <f t="shared" ref="B515:B578" si="36">VALUE(C515)</f>
        <v>162.86600000000001</v>
      </c>
      <c r="C515" s="1" t="str">
        <f t="shared" ref="C515:C578" si="37">SUBSTITUTE(D515,"""","")</f>
        <v>162.866</v>
      </c>
      <c r="D515" s="1" t="str">
        <f t="shared" ref="D515:D578" si="38">LEFT(F515,7)</f>
        <v>162.866</v>
      </c>
      <c r="E515" s="1" t="str">
        <f>RIGHT(chitar__3[[#This Row],[Column1.2]],LEN(chitar__3[[#This Row],[Column1.2]])-7)</f>
        <v>" string="0" fret="10" palmMute="1" /&gt;</v>
      </c>
      <c r="F515" s="1" t="s">
        <v>339</v>
      </c>
      <c r="G515" s="1"/>
      <c r="H515" s="1"/>
      <c r="I515" s="1"/>
      <c r="J515" s="1"/>
      <c r="L515" s="2" t="s">
        <v>16</v>
      </c>
      <c r="M515" s="3" t="str">
        <f t="shared" si="35"/>
        <v xml:space="preserve">        &lt;note time="162.866" string="1" fret="5" /&gt;</v>
      </c>
      <c r="N515" s="3" t="str">
        <f>chitar__3[[#This Row],[Column1.14]]</f>
        <v>162.866</v>
      </c>
      <c r="O515" s="4" t="s">
        <v>1629</v>
      </c>
    </row>
    <row r="516" spans="1:15" x14ac:dyDescent="0.45">
      <c r="A516" s="1" t="s">
        <v>388</v>
      </c>
      <c r="B516" s="1">
        <f t="shared" si="36"/>
        <v>163.01300000000001</v>
      </c>
      <c r="C516" s="1" t="str">
        <f t="shared" si="37"/>
        <v>163.013</v>
      </c>
      <c r="D516" s="1" t="str">
        <f t="shared" si="38"/>
        <v>163.013</v>
      </c>
      <c r="E516" s="1" t="str">
        <f>RIGHT(chitar__3[[#This Row],[Column1.2]],LEN(chitar__3[[#This Row],[Column1.2]])-7)</f>
        <v xml:space="preserve">" chordId="4" &gt;&lt;chordNote </v>
      </c>
      <c r="F516" s="1" t="s">
        <v>578</v>
      </c>
      <c r="G516" s="1" t="s">
        <v>1007</v>
      </c>
      <c r="H516" s="1" t="s">
        <v>1008</v>
      </c>
      <c r="I516" s="1"/>
      <c r="J516" s="1"/>
      <c r="L516" s="5" t="s">
        <v>16</v>
      </c>
      <c r="M516" s="3" t="str">
        <f t="shared" si="35"/>
        <v xml:space="preserve">        &lt;note time="163.013" string="2" fret="5" /&gt;</v>
      </c>
      <c r="N516" s="3" t="str">
        <f>chitar__3[[#This Row],[Column1.14]]</f>
        <v>163.013</v>
      </c>
      <c r="O516" s="6" t="s">
        <v>1630</v>
      </c>
    </row>
    <row r="517" spans="1:15" x14ac:dyDescent="0.45">
      <c r="A517" s="1" t="s">
        <v>388</v>
      </c>
      <c r="B517" s="1">
        <f t="shared" si="36"/>
        <v>163.393</v>
      </c>
      <c r="C517" s="1" t="str">
        <f t="shared" si="37"/>
        <v>163.393</v>
      </c>
      <c r="D517" s="1" t="str">
        <f t="shared" si="38"/>
        <v>163.393</v>
      </c>
      <c r="E517" s="1" t="str">
        <f>RIGHT(chitar__3[[#This Row],[Column1.2]],LEN(chitar__3[[#This Row],[Column1.2]])-7)</f>
        <v xml:space="preserve">" chordId="5" &gt;&lt;chordNote </v>
      </c>
      <c r="F517" s="1" t="s">
        <v>579</v>
      </c>
      <c r="G517" s="1" t="s">
        <v>1009</v>
      </c>
      <c r="H517" s="1" t="s">
        <v>1010</v>
      </c>
      <c r="I517" s="1"/>
      <c r="J517" s="1"/>
      <c r="L517" s="2" t="s">
        <v>16</v>
      </c>
      <c r="M517" s="3" t="str">
        <f t="shared" si="35"/>
        <v xml:space="preserve">        &lt;note time="163.393" string="2" fret="3" sustain="0.21" /&gt;</v>
      </c>
      <c r="N517" s="3" t="str">
        <f>chitar__3[[#This Row],[Column1.14]]</f>
        <v>163.393</v>
      </c>
      <c r="O517" s="4" t="s">
        <v>1777</v>
      </c>
    </row>
    <row r="518" spans="1:15" x14ac:dyDescent="0.45">
      <c r="A518" s="1" t="s">
        <v>388</v>
      </c>
      <c r="B518" s="1">
        <f t="shared" si="36"/>
        <v>163.83099999999999</v>
      </c>
      <c r="C518" s="1" t="str">
        <f t="shared" si="37"/>
        <v>163.831</v>
      </c>
      <c r="D518" s="1" t="str">
        <f t="shared" si="38"/>
        <v>163.831</v>
      </c>
      <c r="E518" s="1" t="str">
        <f>RIGHT(chitar__3[[#This Row],[Column1.2]],LEN(chitar__3[[#This Row],[Column1.2]])-7)</f>
        <v xml:space="preserve">" chordId="7" &gt;&lt;chordNote </v>
      </c>
      <c r="F518" s="1" t="s">
        <v>580</v>
      </c>
      <c r="G518" s="1" t="s">
        <v>1011</v>
      </c>
      <c r="H518" s="1" t="s">
        <v>1012</v>
      </c>
      <c r="I518" s="1"/>
      <c r="J518" s="1"/>
      <c r="L518" s="5" t="s">
        <v>16</v>
      </c>
      <c r="M518" s="3" t="str">
        <f t="shared" si="35"/>
        <v xml:space="preserve">        &lt;note time="163.831" string="1" fret="5" /&gt;</v>
      </c>
      <c r="N518" s="3" t="str">
        <f>chitar__3[[#This Row],[Column1.14]]</f>
        <v>163.831</v>
      </c>
      <c r="O518" s="6" t="s">
        <v>1632</v>
      </c>
    </row>
    <row r="519" spans="1:15" x14ac:dyDescent="0.45">
      <c r="A519" s="1" t="s">
        <v>16</v>
      </c>
      <c r="B519" s="1">
        <f t="shared" si="36"/>
        <v>164.06</v>
      </c>
      <c r="C519" s="1" t="str">
        <f t="shared" si="37"/>
        <v>164.060</v>
      </c>
      <c r="D519" s="1" t="str">
        <f t="shared" si="38"/>
        <v>164.060</v>
      </c>
      <c r="E519" s="1" t="str">
        <f>RIGHT(chitar__3[[#This Row],[Column1.2]],LEN(chitar__3[[#This Row],[Column1.2]])-7)</f>
        <v>" string="0" fret="10" palmMute="1" /&gt;</v>
      </c>
      <c r="F519" s="1" t="s">
        <v>340</v>
      </c>
      <c r="G519" s="1"/>
      <c r="H519" s="1"/>
      <c r="I519" s="1"/>
      <c r="J519" s="1"/>
      <c r="L519" s="2" t="s">
        <v>16</v>
      </c>
      <c r="M519" s="3" t="str">
        <f t="shared" si="35"/>
        <v xml:space="preserve">        &lt;note time="164.060" string="1" fret="5" /&gt;</v>
      </c>
      <c r="N519" s="3" t="str">
        <f>chitar__3[[#This Row],[Column1.14]]</f>
        <v>164.060</v>
      </c>
      <c r="O519" s="4" t="s">
        <v>1633</v>
      </c>
    </row>
    <row r="520" spans="1:15" x14ac:dyDescent="0.45">
      <c r="A520" s="1" t="s">
        <v>16</v>
      </c>
      <c r="B520" s="1">
        <f t="shared" si="36"/>
        <v>164.28</v>
      </c>
      <c r="C520" s="1" t="str">
        <f t="shared" si="37"/>
        <v>164.280</v>
      </c>
      <c r="D520" s="1" t="str">
        <f t="shared" si="38"/>
        <v>164.280</v>
      </c>
      <c r="E520" s="1" t="str">
        <f>RIGHT(chitar__3[[#This Row],[Column1.2]],LEN(chitar__3[[#This Row],[Column1.2]])-7)</f>
        <v>" string="0" fret="10" palmMute="1" /&gt;</v>
      </c>
      <c r="F520" s="1" t="s">
        <v>341</v>
      </c>
      <c r="G520" s="1"/>
      <c r="H520" s="1"/>
      <c r="I520" s="1"/>
      <c r="J520" s="1"/>
      <c r="L520" s="5" t="s">
        <v>16</v>
      </c>
      <c r="M520" s="3" t="str">
        <f t="shared" si="35"/>
        <v xml:space="preserve">        &lt;note time="164.280" string="1" fret="5" /&gt;</v>
      </c>
      <c r="N520" s="3" t="str">
        <f>chitar__3[[#This Row],[Column1.14]]</f>
        <v>164.280</v>
      </c>
      <c r="O520" s="6" t="s">
        <v>1634</v>
      </c>
    </row>
    <row r="521" spans="1:15" x14ac:dyDescent="0.45">
      <c r="A521" s="1" t="s">
        <v>16</v>
      </c>
      <c r="B521" s="1">
        <f t="shared" si="36"/>
        <v>164.512</v>
      </c>
      <c r="C521" s="1" t="str">
        <f t="shared" si="37"/>
        <v>164.512</v>
      </c>
      <c r="D521" s="1" t="str">
        <f t="shared" si="38"/>
        <v>164.512</v>
      </c>
      <c r="E521" s="1" t="str">
        <f>RIGHT(chitar__3[[#This Row],[Column1.2]],LEN(chitar__3[[#This Row],[Column1.2]])-7)</f>
        <v>" string="0" fret="10" palmMute="1" /&gt;</v>
      </c>
      <c r="F521" s="1" t="s">
        <v>342</v>
      </c>
      <c r="G521" s="1"/>
      <c r="H521" s="1"/>
      <c r="I521" s="1"/>
      <c r="J521" s="1"/>
      <c r="L521" s="2" t="s">
        <v>16</v>
      </c>
      <c r="M521" s="3" t="str">
        <f t="shared" si="35"/>
        <v xml:space="preserve">        &lt;note time="164.512" string="1" fret="5" /&gt;</v>
      </c>
      <c r="N521" s="3" t="str">
        <f>chitar__3[[#This Row],[Column1.14]]</f>
        <v>164.512</v>
      </c>
      <c r="O521" s="4" t="s">
        <v>1635</v>
      </c>
    </row>
    <row r="522" spans="1:15" x14ac:dyDescent="0.45">
      <c r="A522" s="1" t="s">
        <v>388</v>
      </c>
      <c r="B522" s="1">
        <f t="shared" si="36"/>
        <v>164.73500000000001</v>
      </c>
      <c r="C522" s="1" t="str">
        <f t="shared" si="37"/>
        <v>164.735</v>
      </c>
      <c r="D522" s="1" t="str">
        <f t="shared" si="38"/>
        <v>164.735</v>
      </c>
      <c r="E522" s="1" t="str">
        <f>RIGHT(chitar__3[[#This Row],[Column1.2]],LEN(chitar__3[[#This Row],[Column1.2]])-7)</f>
        <v xml:space="preserve">" chordId="4" &gt;&lt;chordNote </v>
      </c>
      <c r="F522" s="1" t="s">
        <v>581</v>
      </c>
      <c r="G522" s="1" t="s">
        <v>1013</v>
      </c>
      <c r="H522" s="1" t="s">
        <v>1014</v>
      </c>
      <c r="I522" s="1"/>
      <c r="J522" s="1"/>
      <c r="L522" s="5" t="s">
        <v>16</v>
      </c>
      <c r="M522" s="3" t="str">
        <f t="shared" si="35"/>
        <v xml:space="preserve">        &lt;note time="164.735" string="2" fret="5" /&gt;</v>
      </c>
      <c r="N522" s="3" t="str">
        <f>chitar__3[[#This Row],[Column1.14]]</f>
        <v>164.735</v>
      </c>
      <c r="O522" s="6" t="s">
        <v>1636</v>
      </c>
    </row>
    <row r="523" spans="1:15" x14ac:dyDescent="0.45">
      <c r="A523" s="1" t="s">
        <v>388</v>
      </c>
      <c r="B523" s="1">
        <f t="shared" si="36"/>
        <v>165.125</v>
      </c>
      <c r="C523" s="1" t="str">
        <f t="shared" si="37"/>
        <v>165.125</v>
      </c>
      <c r="D523" s="1" t="str">
        <f t="shared" si="38"/>
        <v>165.125</v>
      </c>
      <c r="E523" s="1" t="str">
        <f>RIGHT(chitar__3[[#This Row],[Column1.2]],LEN(chitar__3[[#This Row],[Column1.2]])-7)</f>
        <v xml:space="preserve">" chordId="5" &gt;&lt;chordNote </v>
      </c>
      <c r="F523" s="1" t="s">
        <v>582</v>
      </c>
      <c r="G523" s="1" t="s">
        <v>1015</v>
      </c>
      <c r="H523" s="1" t="s">
        <v>1016</v>
      </c>
      <c r="I523" s="1"/>
      <c r="J523" s="1"/>
      <c r="L523" s="2" t="s">
        <v>16</v>
      </c>
      <c r="M523" s="3" t="str">
        <f t="shared" si="35"/>
        <v xml:space="preserve">        &lt;note time="165.125" string="2" fret="3" sustain="0.21" /&gt;</v>
      </c>
      <c r="N523" s="3" t="str">
        <f>chitar__3[[#This Row],[Column1.14]]</f>
        <v>165.125</v>
      </c>
      <c r="O523" s="4" t="s">
        <v>1778</v>
      </c>
    </row>
    <row r="524" spans="1:15" x14ac:dyDescent="0.45">
      <c r="A524" s="1" t="s">
        <v>388</v>
      </c>
      <c r="B524" s="1">
        <f t="shared" si="36"/>
        <v>165.566</v>
      </c>
      <c r="C524" s="1" t="str">
        <f t="shared" si="37"/>
        <v>165.566</v>
      </c>
      <c r="D524" s="1" t="str">
        <f t="shared" si="38"/>
        <v>165.566</v>
      </c>
      <c r="E524" s="1" t="str">
        <f>RIGHT(chitar__3[[#This Row],[Column1.2]],LEN(chitar__3[[#This Row],[Column1.2]])-7)</f>
        <v xml:space="preserve">" chordId="7" &gt;&lt;chordNote </v>
      </c>
      <c r="F524" s="1" t="s">
        <v>583</v>
      </c>
      <c r="G524" s="1" t="s">
        <v>1017</v>
      </c>
      <c r="H524" s="1" t="s">
        <v>1018</v>
      </c>
      <c r="I524" s="1"/>
      <c r="J524" s="1"/>
      <c r="L524" s="5" t="s">
        <v>16</v>
      </c>
      <c r="M524" s="3" t="str">
        <f t="shared" si="35"/>
        <v xml:space="preserve">        &lt;note time="165.566" string="1" fret="5" /&gt;</v>
      </c>
      <c r="N524" s="3" t="str">
        <f>chitar__3[[#This Row],[Column1.14]]</f>
        <v>165.566</v>
      </c>
      <c r="O524" s="6" t="s">
        <v>1638</v>
      </c>
    </row>
    <row r="525" spans="1:15" x14ac:dyDescent="0.45">
      <c r="A525" s="1" t="s">
        <v>16</v>
      </c>
      <c r="B525" s="1">
        <f t="shared" si="36"/>
        <v>165.79499999999999</v>
      </c>
      <c r="C525" s="1" t="str">
        <f t="shared" si="37"/>
        <v>165.795</v>
      </c>
      <c r="D525" s="1" t="str">
        <f t="shared" si="38"/>
        <v>165.795</v>
      </c>
      <c r="E525" s="1" t="str">
        <f>RIGHT(chitar__3[[#This Row],[Column1.2]],LEN(chitar__3[[#This Row],[Column1.2]])-7)</f>
        <v>" string="0" fret="10" palmMute="1" /&gt;</v>
      </c>
      <c r="F525" s="1" t="s">
        <v>343</v>
      </c>
      <c r="G525" s="1"/>
      <c r="H525" s="1"/>
      <c r="I525" s="1"/>
      <c r="J525" s="1"/>
      <c r="L525" s="2" t="s">
        <v>16</v>
      </c>
      <c r="M525" s="3" t="str">
        <f t="shared" si="35"/>
        <v xml:space="preserve">        &lt;note time="165.795" string="1" fret="5" /&gt;</v>
      </c>
      <c r="N525" s="3" t="str">
        <f>chitar__3[[#This Row],[Column1.14]]</f>
        <v>165.795</v>
      </c>
      <c r="O525" s="4" t="s">
        <v>1639</v>
      </c>
    </row>
    <row r="526" spans="1:15" x14ac:dyDescent="0.45">
      <c r="A526" s="1" t="s">
        <v>16</v>
      </c>
      <c r="B526" s="1">
        <f t="shared" si="36"/>
        <v>166.01499999999999</v>
      </c>
      <c r="C526" s="1" t="str">
        <f t="shared" si="37"/>
        <v>166.015</v>
      </c>
      <c r="D526" s="1" t="str">
        <f t="shared" si="38"/>
        <v>166.015</v>
      </c>
      <c r="E526" s="1" t="str">
        <f>RIGHT(chitar__3[[#This Row],[Column1.2]],LEN(chitar__3[[#This Row],[Column1.2]])-7)</f>
        <v>" string="0" fret="10" palmMute="1" /&gt;</v>
      </c>
      <c r="F526" s="1" t="s">
        <v>344</v>
      </c>
      <c r="G526" s="1"/>
      <c r="H526" s="1"/>
      <c r="I526" s="1"/>
      <c r="J526" s="1"/>
      <c r="L526" s="5" t="s">
        <v>16</v>
      </c>
      <c r="M526" s="3" t="str">
        <f t="shared" si="35"/>
        <v xml:space="preserve">        &lt;note time="166.015" string="1" fret="5" /&gt;</v>
      </c>
      <c r="N526" s="3" t="str">
        <f>chitar__3[[#This Row],[Column1.14]]</f>
        <v>166.015</v>
      </c>
      <c r="O526" s="6" t="s">
        <v>1640</v>
      </c>
    </row>
    <row r="527" spans="1:15" x14ac:dyDescent="0.45">
      <c r="A527" s="1" t="s">
        <v>16</v>
      </c>
      <c r="B527" s="1">
        <f t="shared" si="36"/>
        <v>166.24700000000001</v>
      </c>
      <c r="C527" s="1" t="str">
        <f t="shared" si="37"/>
        <v>166.247</v>
      </c>
      <c r="D527" s="1" t="str">
        <f t="shared" si="38"/>
        <v>166.247</v>
      </c>
      <c r="E527" s="1" t="str">
        <f>RIGHT(chitar__3[[#This Row],[Column1.2]],LEN(chitar__3[[#This Row],[Column1.2]])-7)</f>
        <v>" string="0" fret="10" palmMute="1" /&gt;</v>
      </c>
      <c r="F527" s="1" t="s">
        <v>345</v>
      </c>
      <c r="G527" s="1"/>
      <c r="H527" s="1"/>
      <c r="I527" s="1"/>
      <c r="J527" s="1"/>
      <c r="L527" s="2" t="s">
        <v>16</v>
      </c>
      <c r="M527" s="3" t="str">
        <f t="shared" si="35"/>
        <v xml:space="preserve">        &lt;note time="166.247" string="1" fret="5" /&gt;</v>
      </c>
      <c r="N527" s="3" t="str">
        <f>chitar__3[[#This Row],[Column1.14]]</f>
        <v>166.247</v>
      </c>
      <c r="O527" s="4" t="s">
        <v>1641</v>
      </c>
    </row>
    <row r="528" spans="1:15" x14ac:dyDescent="0.45">
      <c r="A528" s="1" t="s">
        <v>388</v>
      </c>
      <c r="B528" s="1">
        <f t="shared" si="36"/>
        <v>166.49199999999999</v>
      </c>
      <c r="C528" s="1" t="str">
        <f t="shared" si="37"/>
        <v>166.492</v>
      </c>
      <c r="D528" s="1" t="str">
        <f t="shared" si="38"/>
        <v>166.492</v>
      </c>
      <c r="E528" s="1" t="str">
        <f>RIGHT(chitar__3[[#This Row],[Column1.2]],LEN(chitar__3[[#This Row],[Column1.2]])-7)</f>
        <v xml:space="preserve">" chordId="4" &gt;&lt;chordNote </v>
      </c>
      <c r="F528" s="1" t="s">
        <v>584</v>
      </c>
      <c r="G528" s="1" t="s">
        <v>1019</v>
      </c>
      <c r="H528" s="1" t="s">
        <v>1020</v>
      </c>
      <c r="I528" s="1"/>
      <c r="J528" s="1"/>
      <c r="L528" s="5" t="s">
        <v>16</v>
      </c>
      <c r="M528" s="3" t="str">
        <f t="shared" si="35"/>
        <v xml:space="preserve">        &lt;note time="166.492" string="2" fret="5" /&gt;</v>
      </c>
      <c r="N528" s="3" t="str">
        <f>chitar__3[[#This Row],[Column1.14]]</f>
        <v>166.492</v>
      </c>
      <c r="O528" s="6" t="s">
        <v>1642</v>
      </c>
    </row>
    <row r="529" spans="1:15" x14ac:dyDescent="0.45">
      <c r="A529" s="1" t="s">
        <v>388</v>
      </c>
      <c r="B529" s="1">
        <f t="shared" si="36"/>
        <v>166.892</v>
      </c>
      <c r="C529" s="1" t="str">
        <f t="shared" si="37"/>
        <v>166.892</v>
      </c>
      <c r="D529" s="1" t="str">
        <f t="shared" si="38"/>
        <v>166.892</v>
      </c>
      <c r="E529" s="1" t="str">
        <f>RIGHT(chitar__3[[#This Row],[Column1.2]],LEN(chitar__3[[#This Row],[Column1.2]])-7)</f>
        <v xml:space="preserve">" chordId="5" &gt;&lt;chordNote </v>
      </c>
      <c r="F529" s="1" t="s">
        <v>585</v>
      </c>
      <c r="G529" s="1" t="s">
        <v>1021</v>
      </c>
      <c r="H529" s="1" t="s">
        <v>1022</v>
      </c>
      <c r="I529" s="1"/>
      <c r="J529" s="1"/>
      <c r="L529" s="2" t="s">
        <v>16</v>
      </c>
      <c r="M529" s="3" t="str">
        <f t="shared" si="35"/>
        <v xml:space="preserve">        &lt;note time="166.892" string="2" fret="3" sustain="0.21" /&gt;</v>
      </c>
      <c r="N529" s="3" t="str">
        <f>chitar__3[[#This Row],[Column1.14]]</f>
        <v>166.892</v>
      </c>
      <c r="O529" s="4" t="s">
        <v>1779</v>
      </c>
    </row>
    <row r="530" spans="1:15" x14ac:dyDescent="0.45">
      <c r="A530" s="1" t="s">
        <v>388</v>
      </c>
      <c r="B530" s="1">
        <f t="shared" si="36"/>
        <v>167.29300000000001</v>
      </c>
      <c r="C530" s="1" t="str">
        <f t="shared" si="37"/>
        <v>167.293</v>
      </c>
      <c r="D530" s="1" t="str">
        <f t="shared" si="38"/>
        <v>167.293</v>
      </c>
      <c r="E530" s="1" t="str">
        <f>RIGHT(chitar__3[[#This Row],[Column1.2]],LEN(chitar__3[[#This Row],[Column1.2]])-7)</f>
        <v xml:space="preserve">" chordId="7" &gt;&lt;chordNote </v>
      </c>
      <c r="F530" s="1" t="s">
        <v>586</v>
      </c>
      <c r="G530" s="1" t="s">
        <v>1023</v>
      </c>
      <c r="H530" s="1" t="s">
        <v>1024</v>
      </c>
      <c r="I530" s="1"/>
      <c r="J530" s="1"/>
      <c r="L530" s="5" t="s">
        <v>16</v>
      </c>
      <c r="M530" s="3" t="str">
        <f t="shared" si="35"/>
        <v xml:space="preserve">        &lt;note time="167.293" string="1" fret="5" /&gt;</v>
      </c>
      <c r="N530" s="3" t="str">
        <f>chitar__3[[#This Row],[Column1.14]]</f>
        <v>167.293</v>
      </c>
      <c r="O530" s="6" t="s">
        <v>1644</v>
      </c>
    </row>
    <row r="531" spans="1:15" x14ac:dyDescent="0.45">
      <c r="A531" s="1" t="s">
        <v>16</v>
      </c>
      <c r="B531" s="1">
        <f t="shared" si="36"/>
        <v>167.52199999999999</v>
      </c>
      <c r="C531" s="1" t="str">
        <f t="shared" si="37"/>
        <v>167.522</v>
      </c>
      <c r="D531" s="1" t="str">
        <f t="shared" si="38"/>
        <v>167.522</v>
      </c>
      <c r="E531" s="1" t="str">
        <f>RIGHT(chitar__3[[#This Row],[Column1.2]],LEN(chitar__3[[#This Row],[Column1.2]])-7)</f>
        <v>" string="0" fret="10" palmMute="1" /&gt;</v>
      </c>
      <c r="F531" s="1" t="s">
        <v>346</v>
      </c>
      <c r="G531" s="1"/>
      <c r="H531" s="1"/>
      <c r="I531" s="1"/>
      <c r="J531" s="1"/>
      <c r="L531" s="2" t="s">
        <v>16</v>
      </c>
      <c r="M531" s="3" t="str">
        <f t="shared" si="35"/>
        <v xml:space="preserve">        &lt;note time="167.522" string="1" fret="5" /&gt;</v>
      </c>
      <c r="N531" s="3" t="str">
        <f>chitar__3[[#This Row],[Column1.14]]</f>
        <v>167.522</v>
      </c>
      <c r="O531" s="4" t="s">
        <v>1645</v>
      </c>
    </row>
    <row r="532" spans="1:15" x14ac:dyDescent="0.45">
      <c r="A532" s="1" t="s">
        <v>16</v>
      </c>
      <c r="B532" s="1">
        <f t="shared" si="36"/>
        <v>167.74199999999999</v>
      </c>
      <c r="C532" s="1" t="str">
        <f t="shared" si="37"/>
        <v>167.742</v>
      </c>
      <c r="D532" s="1" t="str">
        <f t="shared" si="38"/>
        <v>167.742</v>
      </c>
      <c r="E532" s="1" t="str">
        <f>RIGHT(chitar__3[[#This Row],[Column1.2]],LEN(chitar__3[[#This Row],[Column1.2]])-7)</f>
        <v>" string="0" fret="10" palmMute="1" /&gt;</v>
      </c>
      <c r="F532" s="1" t="s">
        <v>347</v>
      </c>
      <c r="G532" s="1"/>
      <c r="H532" s="1"/>
      <c r="I532" s="1"/>
      <c r="J532" s="1"/>
      <c r="L532" s="5" t="s">
        <v>16</v>
      </c>
      <c r="M532" s="3" t="str">
        <f t="shared" si="35"/>
        <v xml:space="preserve">        &lt;note time="167.742" string="1" fret="5" /&gt;</v>
      </c>
      <c r="N532" s="3" t="str">
        <f>chitar__3[[#This Row],[Column1.14]]</f>
        <v>167.742</v>
      </c>
      <c r="O532" s="6" t="s">
        <v>1646</v>
      </c>
    </row>
    <row r="533" spans="1:15" x14ac:dyDescent="0.45">
      <c r="A533" s="1" t="s">
        <v>16</v>
      </c>
      <c r="B533" s="1">
        <f t="shared" si="36"/>
        <v>167.97399999999999</v>
      </c>
      <c r="C533" s="1" t="str">
        <f t="shared" si="37"/>
        <v>167.974</v>
      </c>
      <c r="D533" s="1" t="str">
        <f t="shared" si="38"/>
        <v>167.974</v>
      </c>
      <c r="E533" s="1" t="str">
        <f>RIGHT(chitar__3[[#This Row],[Column1.2]],LEN(chitar__3[[#This Row],[Column1.2]])-7)</f>
        <v>" string="0" fret="10" palmMute="1" /&gt;</v>
      </c>
      <c r="F533" s="1" t="s">
        <v>348</v>
      </c>
      <c r="G533" s="1"/>
      <c r="H533" s="1"/>
      <c r="I533" s="1"/>
      <c r="J533" s="1"/>
      <c r="L533" s="2" t="s">
        <v>16</v>
      </c>
      <c r="M533" s="3" t="str">
        <f t="shared" si="35"/>
        <v xml:space="preserve">        &lt;note time="167.974" string="1" fret="5" /&gt;</v>
      </c>
      <c r="N533" s="3" t="str">
        <f>chitar__3[[#This Row],[Column1.14]]</f>
        <v>167.974</v>
      </c>
      <c r="O533" s="4" t="s">
        <v>1647</v>
      </c>
    </row>
    <row r="534" spans="1:15" x14ac:dyDescent="0.45">
      <c r="A534" s="1" t="s">
        <v>388</v>
      </c>
      <c r="B534" s="1">
        <f t="shared" si="36"/>
        <v>168.24199999999999</v>
      </c>
      <c r="C534" s="1" t="str">
        <f t="shared" si="37"/>
        <v>168.242</v>
      </c>
      <c r="D534" s="1" t="str">
        <f t="shared" si="38"/>
        <v>168.242</v>
      </c>
      <c r="E534" s="1" t="str">
        <f>RIGHT(chitar__3[[#This Row],[Column1.2]],LEN(chitar__3[[#This Row],[Column1.2]])-7)</f>
        <v xml:space="preserve">" chordId="4" &gt;&lt;chordNote </v>
      </c>
      <c r="F534" s="1" t="s">
        <v>587</v>
      </c>
      <c r="G534" s="1" t="s">
        <v>1025</v>
      </c>
      <c r="H534" s="1" t="s">
        <v>1026</v>
      </c>
      <c r="I534" s="1"/>
      <c r="J534" s="1"/>
      <c r="L534" s="5" t="s">
        <v>16</v>
      </c>
      <c r="M534" s="3" t="str">
        <f t="shared" si="35"/>
        <v xml:space="preserve">        &lt;note time="168.242" string="2" fret="5" /&gt;</v>
      </c>
      <c r="N534" s="3" t="str">
        <f>chitar__3[[#This Row],[Column1.14]]</f>
        <v>168.242</v>
      </c>
      <c r="O534" s="6" t="s">
        <v>1648</v>
      </c>
    </row>
    <row r="535" spans="1:15" x14ac:dyDescent="0.45">
      <c r="A535" s="1" t="s">
        <v>388</v>
      </c>
      <c r="B535" s="1">
        <f t="shared" si="36"/>
        <v>168.614</v>
      </c>
      <c r="C535" s="1" t="str">
        <f t="shared" si="37"/>
        <v>168.614</v>
      </c>
      <c r="D535" s="1" t="str">
        <f t="shared" si="38"/>
        <v>168.614</v>
      </c>
      <c r="E535" s="1" t="str">
        <f>RIGHT(chitar__3[[#This Row],[Column1.2]],LEN(chitar__3[[#This Row],[Column1.2]])-7)</f>
        <v xml:space="preserve">" chordId="5" &gt;&lt;chordNote </v>
      </c>
      <c r="F535" s="1" t="s">
        <v>588</v>
      </c>
      <c r="G535" s="1" t="s">
        <v>1027</v>
      </c>
      <c r="H535" s="1" t="s">
        <v>1028</v>
      </c>
      <c r="I535" s="1"/>
      <c r="J535" s="1"/>
      <c r="L535" s="2" t="s">
        <v>16</v>
      </c>
      <c r="M535" s="3" t="str">
        <f t="shared" si="35"/>
        <v xml:space="preserve">        &lt;note time="168.614" string="2" fret="3" sustain="0.21" /&gt;</v>
      </c>
      <c r="N535" s="3" t="str">
        <f>chitar__3[[#This Row],[Column1.14]]</f>
        <v>168.614</v>
      </c>
      <c r="O535" s="4" t="s">
        <v>1780</v>
      </c>
    </row>
    <row r="536" spans="1:15" x14ac:dyDescent="0.45">
      <c r="A536" s="1" t="s">
        <v>388</v>
      </c>
      <c r="B536" s="1">
        <f t="shared" si="36"/>
        <v>169.04499999999999</v>
      </c>
      <c r="C536" s="1" t="str">
        <f t="shared" si="37"/>
        <v>169.045</v>
      </c>
      <c r="D536" s="1" t="str">
        <f t="shared" si="38"/>
        <v>169.045</v>
      </c>
      <c r="E536" s="1" t="str">
        <f>RIGHT(chitar__3[[#This Row],[Column1.2]],LEN(chitar__3[[#This Row],[Column1.2]])-7)</f>
        <v xml:space="preserve">" chordId="7" &gt;&lt;chordNote </v>
      </c>
      <c r="F536" s="1" t="s">
        <v>589</v>
      </c>
      <c r="G536" s="1" t="s">
        <v>1029</v>
      </c>
      <c r="H536" s="1" t="s">
        <v>1030</v>
      </c>
      <c r="I536" s="1"/>
      <c r="J536" s="1"/>
      <c r="L536" s="5" t="s">
        <v>16</v>
      </c>
      <c r="M536" s="3" t="str">
        <f t="shared" si="35"/>
        <v xml:space="preserve">        &lt;note time="169.045" string="1" fret="5" /&gt;</v>
      </c>
      <c r="N536" s="3" t="str">
        <f>chitar__3[[#This Row],[Column1.14]]</f>
        <v>169.045</v>
      </c>
      <c r="O536" s="6" t="s">
        <v>1650</v>
      </c>
    </row>
    <row r="537" spans="1:15" x14ac:dyDescent="0.45">
      <c r="A537" s="1" t="s">
        <v>16</v>
      </c>
      <c r="B537" s="1">
        <f t="shared" si="36"/>
        <v>169.274</v>
      </c>
      <c r="C537" s="1" t="str">
        <f t="shared" si="37"/>
        <v>169.274</v>
      </c>
      <c r="D537" s="1" t="str">
        <f t="shared" si="38"/>
        <v>169.274</v>
      </c>
      <c r="E537" s="1" t="str">
        <f>RIGHT(chitar__3[[#This Row],[Column1.2]],LEN(chitar__3[[#This Row],[Column1.2]])-7)</f>
        <v>" string="0" fret="10" palmMute="1" /&gt;</v>
      </c>
      <c r="F537" s="1" t="s">
        <v>349</v>
      </c>
      <c r="G537" s="1"/>
      <c r="H537" s="1"/>
      <c r="I537" s="1"/>
      <c r="J537" s="1"/>
      <c r="L537" s="2" t="s">
        <v>16</v>
      </c>
      <c r="M537" s="3" t="str">
        <f t="shared" si="35"/>
        <v xml:space="preserve">        &lt;note time="169.274" string="1" fret="5" /&gt;</v>
      </c>
      <c r="N537" s="3" t="str">
        <f>chitar__3[[#This Row],[Column1.14]]</f>
        <v>169.274</v>
      </c>
      <c r="O537" s="4" t="s">
        <v>1651</v>
      </c>
    </row>
    <row r="538" spans="1:15" x14ac:dyDescent="0.45">
      <c r="A538" s="1" t="s">
        <v>16</v>
      </c>
      <c r="B538" s="1">
        <f t="shared" si="36"/>
        <v>169.494</v>
      </c>
      <c r="C538" s="1" t="str">
        <f t="shared" si="37"/>
        <v>169.494</v>
      </c>
      <c r="D538" s="1" t="str">
        <f t="shared" si="38"/>
        <v>169.494</v>
      </c>
      <c r="E538" s="1" t="str">
        <f>RIGHT(chitar__3[[#This Row],[Column1.2]],LEN(chitar__3[[#This Row],[Column1.2]])-7)</f>
        <v>" string="0" fret="10" palmMute="1" /&gt;</v>
      </c>
      <c r="F538" s="1" t="s">
        <v>350</v>
      </c>
      <c r="G538" s="1"/>
      <c r="H538" s="1"/>
      <c r="I538" s="1"/>
      <c r="J538" s="1"/>
      <c r="L538" s="5" t="s">
        <v>16</v>
      </c>
      <c r="M538" s="3" t="str">
        <f t="shared" si="35"/>
        <v xml:space="preserve">        &lt;note time="169.494" string="1" fret="5" /&gt;</v>
      </c>
      <c r="N538" s="3" t="str">
        <f>chitar__3[[#This Row],[Column1.14]]</f>
        <v>169.494</v>
      </c>
      <c r="O538" s="6" t="s">
        <v>1652</v>
      </c>
    </row>
    <row r="539" spans="1:15" x14ac:dyDescent="0.45">
      <c r="A539" s="1" t="s">
        <v>16</v>
      </c>
      <c r="B539" s="1">
        <f t="shared" si="36"/>
        <v>169.726</v>
      </c>
      <c r="C539" s="1" t="str">
        <f t="shared" si="37"/>
        <v>169.726</v>
      </c>
      <c r="D539" s="1" t="str">
        <f t="shared" si="38"/>
        <v>169.726</v>
      </c>
      <c r="E539" s="1" t="str">
        <f>RIGHT(chitar__3[[#This Row],[Column1.2]],LEN(chitar__3[[#This Row],[Column1.2]])-7)</f>
        <v>" string="0" fret="10" palmMute="1" /&gt;</v>
      </c>
      <c r="F539" s="1" t="s">
        <v>351</v>
      </c>
      <c r="G539" s="1"/>
      <c r="H539" s="1"/>
      <c r="I539" s="1"/>
      <c r="J539" s="1"/>
      <c r="L539" s="2" t="s">
        <v>16</v>
      </c>
      <c r="M539" s="3" t="str">
        <f t="shared" si="35"/>
        <v xml:space="preserve">        &lt;note time="169.726" string="1" fret="5" /&gt;</v>
      </c>
      <c r="N539" s="3" t="str">
        <f>chitar__3[[#This Row],[Column1.14]]</f>
        <v>169.726</v>
      </c>
      <c r="O539" s="4" t="s">
        <v>1653</v>
      </c>
    </row>
    <row r="540" spans="1:15" x14ac:dyDescent="0.45">
      <c r="A540" s="1" t="s">
        <v>388</v>
      </c>
      <c r="B540" s="1">
        <f t="shared" si="36"/>
        <v>169.922</v>
      </c>
      <c r="C540" s="1" t="str">
        <f t="shared" si="37"/>
        <v>169.922</v>
      </c>
      <c r="D540" s="1" t="str">
        <f t="shared" si="38"/>
        <v>169.922</v>
      </c>
      <c r="E540" s="1" t="str">
        <f>RIGHT(chitar__3[[#This Row],[Column1.2]],LEN(chitar__3[[#This Row],[Column1.2]])-7)</f>
        <v xml:space="preserve">" chordId="4" &gt;&lt;chordNote </v>
      </c>
      <c r="F540" s="1" t="s">
        <v>590</v>
      </c>
      <c r="G540" s="1" t="s">
        <v>1031</v>
      </c>
      <c r="H540" s="1" t="s">
        <v>1032</v>
      </c>
      <c r="I540" s="1"/>
      <c r="J540" s="1"/>
      <c r="L540" s="5" t="s">
        <v>16</v>
      </c>
      <c r="M540" s="3" t="str">
        <f t="shared" si="35"/>
        <v xml:space="preserve">        &lt;note time="169.922" string="2" fret="5" /&gt;</v>
      </c>
      <c r="N540" s="3" t="str">
        <f>chitar__3[[#This Row],[Column1.14]]</f>
        <v>169.922</v>
      </c>
      <c r="O540" s="6" t="s">
        <v>1654</v>
      </c>
    </row>
    <row r="541" spans="1:15" x14ac:dyDescent="0.45">
      <c r="A541" s="1" t="s">
        <v>388</v>
      </c>
      <c r="B541" s="1">
        <f t="shared" si="36"/>
        <v>170.31200000000001</v>
      </c>
      <c r="C541" s="1" t="str">
        <f t="shared" si="37"/>
        <v>170.312</v>
      </c>
      <c r="D541" s="1" t="str">
        <f t="shared" si="38"/>
        <v>170.312</v>
      </c>
      <c r="E541" s="1" t="str">
        <f>RIGHT(chitar__3[[#This Row],[Column1.2]],LEN(chitar__3[[#This Row],[Column1.2]])-7)</f>
        <v xml:space="preserve">" chordId="5" &gt;&lt;chordNote </v>
      </c>
      <c r="F541" s="1" t="s">
        <v>591</v>
      </c>
      <c r="G541" s="1" t="s">
        <v>1033</v>
      </c>
      <c r="H541" s="1" t="s">
        <v>1034</v>
      </c>
      <c r="I541" s="1"/>
      <c r="J541" s="1"/>
      <c r="L541" s="2" t="s">
        <v>16</v>
      </c>
      <c r="M541" s="3" t="str">
        <f t="shared" si="35"/>
        <v xml:space="preserve">        &lt;note time="170.312" string="2" fret="3" sustain="0.21" /&gt;</v>
      </c>
      <c r="N541" s="3" t="str">
        <f>chitar__3[[#This Row],[Column1.14]]</f>
        <v>170.312</v>
      </c>
      <c r="O541" s="4" t="s">
        <v>1781</v>
      </c>
    </row>
    <row r="542" spans="1:15" x14ac:dyDescent="0.45">
      <c r="A542" s="1" t="s">
        <v>388</v>
      </c>
      <c r="B542" s="1">
        <f t="shared" si="36"/>
        <v>170.75299999999999</v>
      </c>
      <c r="C542" s="1" t="str">
        <f t="shared" si="37"/>
        <v>170.753</v>
      </c>
      <c r="D542" s="1" t="str">
        <f t="shared" si="38"/>
        <v>170.753</v>
      </c>
      <c r="E542" s="1" t="str">
        <f>RIGHT(chitar__3[[#This Row],[Column1.2]],LEN(chitar__3[[#This Row],[Column1.2]])-7)</f>
        <v xml:space="preserve">" chordId="7" &gt;&lt;chordNote </v>
      </c>
      <c r="F542" s="1" t="s">
        <v>592</v>
      </c>
      <c r="G542" s="1" t="s">
        <v>1035</v>
      </c>
      <c r="H542" s="1" t="s">
        <v>1036</v>
      </c>
      <c r="I542" s="1"/>
      <c r="J542" s="1"/>
      <c r="L542" s="5" t="s">
        <v>16</v>
      </c>
      <c r="M542" s="3" t="str">
        <f t="shared" ref="M542:M573" si="39">L542&amp;"time="""&amp;N542&amp;RIGHT(O542,LEN(O542)-7)</f>
        <v xml:space="preserve">        &lt;note time="170.753" string="1" fret="5" /&gt;</v>
      </c>
      <c r="N542" s="3" t="str">
        <f>chitar__3[[#This Row],[Column1.14]]</f>
        <v>170.753</v>
      </c>
      <c r="O542" s="6" t="s">
        <v>1656</v>
      </c>
    </row>
    <row r="543" spans="1:15" x14ac:dyDescent="0.45">
      <c r="A543" s="1" t="s">
        <v>16</v>
      </c>
      <c r="B543" s="1">
        <f t="shared" si="36"/>
        <v>170.982</v>
      </c>
      <c r="C543" s="1" t="str">
        <f t="shared" si="37"/>
        <v>170.982</v>
      </c>
      <c r="D543" s="1" t="str">
        <f t="shared" si="38"/>
        <v>170.982</v>
      </c>
      <c r="E543" s="1" t="str">
        <f>RIGHT(chitar__3[[#This Row],[Column1.2]],LEN(chitar__3[[#This Row],[Column1.2]])-7)</f>
        <v>" string="0" fret="10" palmMute="1" /&gt;</v>
      </c>
      <c r="F543" s="1" t="s">
        <v>352</v>
      </c>
      <c r="G543" s="1"/>
      <c r="H543" s="1"/>
      <c r="I543" s="1"/>
      <c r="J543" s="1"/>
      <c r="L543" s="2" t="s">
        <v>16</v>
      </c>
      <c r="M543" s="3" t="str">
        <f t="shared" si="39"/>
        <v xml:space="preserve">        &lt;note time="170.982" string="1" fret="5" /&gt;</v>
      </c>
      <c r="N543" s="3" t="str">
        <f>chitar__3[[#This Row],[Column1.14]]</f>
        <v>170.982</v>
      </c>
      <c r="O543" s="4" t="s">
        <v>1657</v>
      </c>
    </row>
    <row r="544" spans="1:15" x14ac:dyDescent="0.45">
      <c r="A544" s="1" t="s">
        <v>16</v>
      </c>
      <c r="B544" s="1">
        <f t="shared" si="36"/>
        <v>171.202</v>
      </c>
      <c r="C544" s="1" t="str">
        <f t="shared" si="37"/>
        <v>171.202</v>
      </c>
      <c r="D544" s="1" t="str">
        <f t="shared" si="38"/>
        <v>171.202</v>
      </c>
      <c r="E544" s="1" t="str">
        <f>RIGHT(chitar__3[[#This Row],[Column1.2]],LEN(chitar__3[[#This Row],[Column1.2]])-7)</f>
        <v>" string="0" fret="10" palmMute="1" /&gt;</v>
      </c>
      <c r="F544" s="1" t="s">
        <v>353</v>
      </c>
      <c r="G544" s="1"/>
      <c r="H544" s="1"/>
      <c r="I544" s="1"/>
      <c r="J544" s="1"/>
      <c r="L544" s="5" t="s">
        <v>16</v>
      </c>
      <c r="M544" s="3" t="str">
        <f t="shared" si="39"/>
        <v xml:space="preserve">        &lt;note time="171.202" string="1" fret="5" /&gt;</v>
      </c>
      <c r="N544" s="3" t="str">
        <f>chitar__3[[#This Row],[Column1.14]]</f>
        <v>171.202</v>
      </c>
      <c r="O544" s="6" t="s">
        <v>1658</v>
      </c>
    </row>
    <row r="545" spans="1:15" x14ac:dyDescent="0.45">
      <c r="A545" s="1" t="s">
        <v>16</v>
      </c>
      <c r="B545" s="1">
        <f t="shared" si="36"/>
        <v>171.434</v>
      </c>
      <c r="C545" s="1" t="str">
        <f t="shared" si="37"/>
        <v>171.434</v>
      </c>
      <c r="D545" s="1" t="str">
        <f t="shared" si="38"/>
        <v>171.434</v>
      </c>
      <c r="E545" s="1" t="str">
        <f>RIGHT(chitar__3[[#This Row],[Column1.2]],LEN(chitar__3[[#This Row],[Column1.2]])-7)</f>
        <v>" string="0" fret="10" palmMute="1" /&gt;</v>
      </c>
      <c r="F545" s="1" t="s">
        <v>354</v>
      </c>
      <c r="G545" s="1"/>
      <c r="H545" s="1"/>
      <c r="I545" s="1"/>
      <c r="J545" s="1"/>
      <c r="L545" s="2" t="s">
        <v>16</v>
      </c>
      <c r="M545" s="3" t="str">
        <f t="shared" si="39"/>
        <v xml:space="preserve">        &lt;note time="171.434" string="1" fret="5" /&gt;</v>
      </c>
      <c r="N545" s="3" t="str">
        <f>chitar__3[[#This Row],[Column1.14]]</f>
        <v>171.434</v>
      </c>
      <c r="O545" s="4" t="s">
        <v>1659</v>
      </c>
    </row>
    <row r="546" spans="1:15" s="15" customFormat="1" x14ac:dyDescent="0.45">
      <c r="A546" s="10" t="s">
        <v>388</v>
      </c>
      <c r="B546" s="10">
        <f t="shared" si="36"/>
        <v>171.75299999999999</v>
      </c>
      <c r="C546" s="10" t="str">
        <f t="shared" si="37"/>
        <v>171.753</v>
      </c>
      <c r="D546" s="10" t="str">
        <f t="shared" si="38"/>
        <v>171.753</v>
      </c>
      <c r="E546" s="10" t="str">
        <f>RIGHT(chitar__3[[#This Row],[Column1.2]],LEN(chitar__3[[#This Row],[Column1.2]])-7)</f>
        <v xml:space="preserve">" chordId="4" &gt;&lt;chordNote </v>
      </c>
      <c r="F546" s="10" t="s">
        <v>593</v>
      </c>
      <c r="G546" s="10" t="s">
        <v>1037</v>
      </c>
      <c r="H546" s="10" t="s">
        <v>1038</v>
      </c>
      <c r="I546" s="10"/>
      <c r="J546" s="10"/>
      <c r="K546" s="11"/>
      <c r="L546" s="12" t="s">
        <v>16</v>
      </c>
      <c r="M546" s="13" t="str">
        <f t="shared" si="39"/>
        <v xml:space="preserve">        &lt;note time="171.753" string="2" fret="5" sustain="0.3" /&gt;</v>
      </c>
      <c r="N546" s="13" t="str">
        <f>chitar__3[[#This Row],[Column1.14]]</f>
        <v>171.753</v>
      </c>
      <c r="O546" s="14" t="s">
        <v>1799</v>
      </c>
    </row>
    <row r="547" spans="1:15" x14ac:dyDescent="0.45">
      <c r="A547" s="1" t="s">
        <v>388</v>
      </c>
      <c r="B547" s="1">
        <f t="shared" si="36"/>
        <v>172.142</v>
      </c>
      <c r="C547" s="1" t="str">
        <f t="shared" si="37"/>
        <v>172.142</v>
      </c>
      <c r="D547" s="1" t="str">
        <f t="shared" si="38"/>
        <v>172.142</v>
      </c>
      <c r="E547" s="1" t="str">
        <f>RIGHT(chitar__3[[#This Row],[Column1.2]],LEN(chitar__3[[#This Row],[Column1.2]])-7)</f>
        <v xml:space="preserve">" chordId="5" &gt;&lt;chordNote </v>
      </c>
      <c r="F547" s="1" t="s">
        <v>594</v>
      </c>
      <c r="G547" s="1" t="s">
        <v>1039</v>
      </c>
      <c r="H547" s="1" t="s">
        <v>1040</v>
      </c>
      <c r="I547" s="1"/>
      <c r="J547" s="1"/>
    </row>
    <row r="548" spans="1:15" x14ac:dyDescent="0.45">
      <c r="A548" s="1" t="s">
        <v>388</v>
      </c>
      <c r="B548" s="1">
        <f t="shared" si="36"/>
        <v>172.583</v>
      </c>
      <c r="C548" s="1" t="str">
        <f t="shared" si="37"/>
        <v>172.583</v>
      </c>
      <c r="D548" s="1" t="str">
        <f t="shared" si="38"/>
        <v>172.583</v>
      </c>
      <c r="E548" s="1" t="str">
        <f>RIGHT(chitar__3[[#This Row],[Column1.2]],LEN(chitar__3[[#This Row],[Column1.2]])-7)</f>
        <v xml:space="preserve">" chordId="7" &gt;&lt;chordNote </v>
      </c>
      <c r="F548" s="1" t="s">
        <v>595</v>
      </c>
      <c r="G548" s="1" t="s">
        <v>1041</v>
      </c>
      <c r="H548" s="1" t="s">
        <v>1042</v>
      </c>
      <c r="I548" s="1"/>
      <c r="J548" s="1"/>
      <c r="L548" s="2" t="s">
        <v>16</v>
      </c>
      <c r="M548" s="3" t="str">
        <f>L548&amp;"time="""&amp;N548&amp;RIGHT(O548,LEN(O548)-7)</f>
        <v xml:space="preserve">        &lt;note time="172.583" string="1" fret="5" /&gt;</v>
      </c>
      <c r="N548" s="3" t="str">
        <f>chitar__3[[#This Row],[Column1.14]]</f>
        <v>172.583</v>
      </c>
      <c r="O548" s="4" t="s">
        <v>1661</v>
      </c>
    </row>
    <row r="549" spans="1:15" x14ac:dyDescent="0.45">
      <c r="A549" s="1" t="s">
        <v>16</v>
      </c>
      <c r="B549" s="1">
        <f t="shared" si="36"/>
        <v>172.81200000000001</v>
      </c>
      <c r="C549" s="1" t="str">
        <f t="shared" si="37"/>
        <v>172.812</v>
      </c>
      <c r="D549" s="1" t="str">
        <f t="shared" si="38"/>
        <v>172.812</v>
      </c>
      <c r="E549" s="1" t="str">
        <f>RIGHT(chitar__3[[#This Row],[Column1.2]],LEN(chitar__3[[#This Row],[Column1.2]])-7)</f>
        <v>" string="0" fret="10" palmMute="1" /&gt;</v>
      </c>
      <c r="F549" s="1" t="s">
        <v>355</v>
      </c>
      <c r="G549" s="1"/>
      <c r="H549" s="1"/>
      <c r="I549" s="1"/>
      <c r="J549" s="1"/>
      <c r="L549" s="5" t="s">
        <v>16</v>
      </c>
      <c r="M549" s="3" t="str">
        <f>L549&amp;"time="""&amp;N549&amp;RIGHT(O549,LEN(O549)-7)</f>
        <v xml:space="preserve">        &lt;note time="172.812" string="1" fret="5" /&gt;</v>
      </c>
      <c r="N549" s="3" t="str">
        <f>chitar__3[[#This Row],[Column1.14]]</f>
        <v>172.812</v>
      </c>
      <c r="O549" s="6" t="s">
        <v>1662</v>
      </c>
    </row>
    <row r="550" spans="1:15" x14ac:dyDescent="0.45">
      <c r="A550" s="1" t="s">
        <v>16</v>
      </c>
      <c r="B550" s="1">
        <f t="shared" si="36"/>
        <v>173.03200000000001</v>
      </c>
      <c r="C550" s="1" t="str">
        <f t="shared" si="37"/>
        <v>173.032</v>
      </c>
      <c r="D550" s="1" t="str">
        <f t="shared" si="38"/>
        <v>173.032</v>
      </c>
      <c r="E550" s="1" t="str">
        <f>RIGHT(chitar__3[[#This Row],[Column1.2]],LEN(chitar__3[[#This Row],[Column1.2]])-7)</f>
        <v>" string="0" fret="10" palmMute="1" /&gt;</v>
      </c>
      <c r="F550" s="1" t="s">
        <v>356</v>
      </c>
      <c r="G550" s="1"/>
      <c r="H550" s="1"/>
      <c r="I550" s="1"/>
      <c r="J550" s="1"/>
      <c r="L550" s="2" t="s">
        <v>16</v>
      </c>
      <c r="M550" s="3" t="str">
        <f>L550&amp;"time="""&amp;N550&amp;RIGHT(O550,LEN(O550)-7)</f>
        <v xml:space="preserve">        &lt;note time="173.032" string="1" fret="5" /&gt;</v>
      </c>
      <c r="N550" s="3" t="str">
        <f>chitar__3[[#This Row],[Column1.14]]</f>
        <v>173.032</v>
      </c>
      <c r="O550" s="4" t="s">
        <v>1663</v>
      </c>
    </row>
    <row r="551" spans="1:15" x14ac:dyDescent="0.45">
      <c r="A551" s="1" t="s">
        <v>16</v>
      </c>
      <c r="B551" s="1">
        <f t="shared" si="36"/>
        <v>173.26400000000001</v>
      </c>
      <c r="C551" s="1" t="str">
        <f t="shared" si="37"/>
        <v>173.264</v>
      </c>
      <c r="D551" s="1" t="str">
        <f t="shared" si="38"/>
        <v>173.264</v>
      </c>
      <c r="E551" s="1" t="str">
        <f>RIGHT(chitar__3[[#This Row],[Column1.2]],LEN(chitar__3[[#This Row],[Column1.2]])-7)</f>
        <v>" string="0" fret="10" palmMute="1" /&gt;</v>
      </c>
      <c r="F551" s="1" t="s">
        <v>357</v>
      </c>
      <c r="G551" s="1"/>
      <c r="H551" s="1"/>
      <c r="I551" s="1"/>
      <c r="J551" s="1"/>
      <c r="L551" s="5" t="s">
        <v>16</v>
      </c>
      <c r="M551" s="3" t="str">
        <f>L551&amp;"time="""&amp;N551&amp;RIGHT(O551,LEN(O551)-7)</f>
        <v xml:space="preserve">        &lt;note time="173.264" string="1" fret="5" /&gt;</v>
      </c>
      <c r="N551" s="3" t="str">
        <f>chitar__3[[#This Row],[Column1.14]]</f>
        <v>173.264</v>
      </c>
      <c r="O551" s="6" t="s">
        <v>1664</v>
      </c>
    </row>
    <row r="552" spans="1:15" x14ac:dyDescent="0.45">
      <c r="A552" s="1" t="s">
        <v>388</v>
      </c>
      <c r="B552" s="1">
        <f t="shared" si="36"/>
        <v>173.47399999999999</v>
      </c>
      <c r="C552" s="1" t="str">
        <f t="shared" si="37"/>
        <v>173.474</v>
      </c>
      <c r="D552" s="1" t="str">
        <f t="shared" si="38"/>
        <v>173.474</v>
      </c>
      <c r="E552" s="1" t="str">
        <f>RIGHT(chitar__3[[#This Row],[Column1.2]],LEN(chitar__3[[#This Row],[Column1.2]])-7)</f>
        <v xml:space="preserve">" chordId="4" &gt;&lt;chordNote </v>
      </c>
      <c r="F552" s="1" t="s">
        <v>596</v>
      </c>
      <c r="G552" s="1" t="s">
        <v>1043</v>
      </c>
      <c r="H552" s="1" t="s">
        <v>1044</v>
      </c>
      <c r="I552" s="1"/>
      <c r="J552" s="1"/>
      <c r="L552" s="2" t="s">
        <v>16</v>
      </c>
      <c r="M552" s="3" t="str">
        <f>L552&amp;"time="""&amp;N552&amp;RIGHT(O552,LEN(O552)-7)</f>
        <v xml:space="preserve">        &lt;note time="173.474" string="2" fret="5" /&gt;</v>
      </c>
      <c r="N552" s="3" t="str">
        <f>chitar__3[[#This Row],[Column1.14]]</f>
        <v>173.474</v>
      </c>
      <c r="O552" s="4" t="s">
        <v>1665</v>
      </c>
    </row>
    <row r="553" spans="1:15" x14ac:dyDescent="0.45">
      <c r="A553" s="1" t="s">
        <v>388</v>
      </c>
      <c r="B553" s="1">
        <f t="shared" si="36"/>
        <v>173.864</v>
      </c>
      <c r="C553" s="1" t="str">
        <f t="shared" si="37"/>
        <v>173.864</v>
      </c>
      <c r="D553" s="1" t="str">
        <f t="shared" si="38"/>
        <v>173.864</v>
      </c>
      <c r="E553" s="1" t="str">
        <f>RIGHT(chitar__3[[#This Row],[Column1.2]],LEN(chitar__3[[#This Row],[Column1.2]])-7)</f>
        <v xml:space="preserve">" chordId="5" &gt;&lt;chordNote </v>
      </c>
      <c r="F553" s="1" t="s">
        <v>597</v>
      </c>
      <c r="G553" s="1" t="s">
        <v>1045</v>
      </c>
      <c r="H553" s="1" t="s">
        <v>1046</v>
      </c>
      <c r="I553" s="1"/>
      <c r="J553" s="1"/>
      <c r="L553" s="5" t="s">
        <v>16</v>
      </c>
      <c r="M553" s="3" t="str">
        <f>L553&amp;"time="""&amp;N553&amp;RIGHT(O553,LEN(O553)-7)</f>
        <v xml:space="preserve">        &lt;note time="173.864" string="2" fret="3" sustain="0.21" /&gt;</v>
      </c>
      <c r="N553" s="3" t="str">
        <f>chitar__3[[#This Row],[Column1.14]]</f>
        <v>173.864</v>
      </c>
      <c r="O553" s="6" t="s">
        <v>1782</v>
      </c>
    </row>
    <row r="554" spans="1:15" x14ac:dyDescent="0.45">
      <c r="A554" s="1" t="s">
        <v>388</v>
      </c>
      <c r="B554" s="1">
        <f t="shared" si="36"/>
        <v>174.30500000000001</v>
      </c>
      <c r="C554" s="1" t="str">
        <f t="shared" si="37"/>
        <v>174.305</v>
      </c>
      <c r="D554" s="1" t="str">
        <f t="shared" si="38"/>
        <v>174.305</v>
      </c>
      <c r="E554" s="1" t="str">
        <f>RIGHT(chitar__3[[#This Row],[Column1.2]],LEN(chitar__3[[#This Row],[Column1.2]])-7)</f>
        <v xml:space="preserve">" chordId="7" &gt;&lt;chordNote </v>
      </c>
      <c r="F554" s="1" t="s">
        <v>598</v>
      </c>
      <c r="G554" s="1" t="s">
        <v>1047</v>
      </c>
      <c r="H554" s="1" t="s">
        <v>1048</v>
      </c>
      <c r="I554" s="1"/>
      <c r="J554" s="1"/>
      <c r="L554" s="2" t="s">
        <v>16</v>
      </c>
      <c r="M554" s="3" t="str">
        <f>L554&amp;"time="""&amp;N554&amp;RIGHT(O554,LEN(O554)-7)</f>
        <v xml:space="preserve">        &lt;note time="174.305" string="1" fret="5" /&gt;</v>
      </c>
      <c r="N554" s="3" t="str">
        <f>chitar__3[[#This Row],[Column1.14]]</f>
        <v>174.305</v>
      </c>
      <c r="O554" s="4" t="s">
        <v>1667</v>
      </c>
    </row>
    <row r="555" spans="1:15" x14ac:dyDescent="0.45">
      <c r="A555" s="1" t="s">
        <v>16</v>
      </c>
      <c r="B555" s="1">
        <f t="shared" si="36"/>
        <v>174.53399999999999</v>
      </c>
      <c r="C555" s="1" t="str">
        <f t="shared" si="37"/>
        <v>174.534</v>
      </c>
      <c r="D555" s="1" t="str">
        <f t="shared" si="38"/>
        <v>174.534</v>
      </c>
      <c r="E555" s="1" t="str">
        <f>RIGHT(chitar__3[[#This Row],[Column1.2]],LEN(chitar__3[[#This Row],[Column1.2]])-7)</f>
        <v>" string="0" fret="10" palmMute="1" /&gt;</v>
      </c>
      <c r="F555" s="1" t="s">
        <v>358</v>
      </c>
      <c r="G555" s="1"/>
      <c r="H555" s="1"/>
      <c r="I555" s="1"/>
      <c r="J555" s="1"/>
      <c r="L555" s="5" t="s">
        <v>16</v>
      </c>
      <c r="M555" s="3" t="str">
        <f>L555&amp;"time="""&amp;N555&amp;RIGHT(O555,LEN(O555)-7)</f>
        <v xml:space="preserve">        &lt;note time="174.534" string="1" fret="5" /&gt;</v>
      </c>
      <c r="N555" s="3" t="str">
        <f>chitar__3[[#This Row],[Column1.14]]</f>
        <v>174.534</v>
      </c>
      <c r="O555" s="6" t="s">
        <v>1668</v>
      </c>
    </row>
    <row r="556" spans="1:15" x14ac:dyDescent="0.45">
      <c r="A556" s="1" t="s">
        <v>16</v>
      </c>
      <c r="B556" s="1">
        <f t="shared" si="36"/>
        <v>174.75399999999999</v>
      </c>
      <c r="C556" s="1" t="str">
        <f t="shared" si="37"/>
        <v>174.754</v>
      </c>
      <c r="D556" s="1" t="str">
        <f t="shared" si="38"/>
        <v>174.754</v>
      </c>
      <c r="E556" s="1" t="str">
        <f>RIGHT(chitar__3[[#This Row],[Column1.2]],LEN(chitar__3[[#This Row],[Column1.2]])-7)</f>
        <v>" string="0" fret="10" palmMute="1" /&gt;</v>
      </c>
      <c r="F556" s="1" t="s">
        <v>359</v>
      </c>
      <c r="G556" s="1"/>
      <c r="H556" s="1"/>
      <c r="I556" s="1"/>
      <c r="J556" s="1"/>
      <c r="L556" s="2" t="s">
        <v>16</v>
      </c>
      <c r="M556" s="3" t="str">
        <f>L556&amp;"time="""&amp;N556&amp;RIGHT(O556,LEN(O556)-7)</f>
        <v xml:space="preserve">        &lt;note time="174.754" string="1" fret="5" /&gt;</v>
      </c>
      <c r="N556" s="3" t="str">
        <f>chitar__3[[#This Row],[Column1.14]]</f>
        <v>174.754</v>
      </c>
      <c r="O556" s="4" t="s">
        <v>1669</v>
      </c>
    </row>
    <row r="557" spans="1:15" x14ac:dyDescent="0.45">
      <c r="A557" s="1" t="s">
        <v>16</v>
      </c>
      <c r="B557" s="1">
        <f t="shared" si="36"/>
        <v>174.98599999999999</v>
      </c>
      <c r="C557" s="1" t="str">
        <f t="shared" si="37"/>
        <v>174.986</v>
      </c>
      <c r="D557" s="1" t="str">
        <f t="shared" si="38"/>
        <v>174.986</v>
      </c>
      <c r="E557" s="1" t="str">
        <f>RIGHT(chitar__3[[#This Row],[Column1.2]],LEN(chitar__3[[#This Row],[Column1.2]])-7)</f>
        <v>" string="0" fret="10" palmMute="1" /&gt;</v>
      </c>
      <c r="F557" s="1" t="s">
        <v>360</v>
      </c>
      <c r="G557" s="1"/>
      <c r="H557" s="1"/>
      <c r="I557" s="1"/>
      <c r="J557" s="1"/>
      <c r="L557" s="5" t="s">
        <v>16</v>
      </c>
      <c r="M557" s="3" t="str">
        <f>L557&amp;"time="""&amp;N557&amp;RIGHT(O557,LEN(O557)-7)</f>
        <v xml:space="preserve">        &lt;note time="174.986" string="1" fret="5" /&gt;</v>
      </c>
      <c r="N557" s="3" t="str">
        <f>chitar__3[[#This Row],[Column1.14]]</f>
        <v>174.986</v>
      </c>
      <c r="O557" s="6" t="s">
        <v>1670</v>
      </c>
    </row>
    <row r="558" spans="1:15" x14ac:dyDescent="0.45">
      <c r="A558" s="1" t="s">
        <v>388</v>
      </c>
      <c r="B558" s="1">
        <f t="shared" si="36"/>
        <v>175.184</v>
      </c>
      <c r="C558" s="1" t="str">
        <f t="shared" si="37"/>
        <v>175.184</v>
      </c>
      <c r="D558" s="1" t="str">
        <f t="shared" si="38"/>
        <v>175.184</v>
      </c>
      <c r="E558" s="1" t="str">
        <f>RIGHT(chitar__3[[#This Row],[Column1.2]],LEN(chitar__3[[#This Row],[Column1.2]])-7)</f>
        <v xml:space="preserve">" chordId="4" &gt;&lt;chordNote </v>
      </c>
      <c r="F558" s="1" t="s">
        <v>599</v>
      </c>
      <c r="G558" s="1" t="s">
        <v>1049</v>
      </c>
      <c r="H558" s="1" t="s">
        <v>1050</v>
      </c>
      <c r="I558" s="1"/>
      <c r="J558" s="1"/>
      <c r="L558" s="2" t="s">
        <v>16</v>
      </c>
      <c r="M558" s="3" t="str">
        <f>L558&amp;"time="""&amp;N558&amp;RIGHT(O558,LEN(O558)-7)</f>
        <v xml:space="preserve">        &lt;note time="175.184" string="2" fret="5" /&gt;</v>
      </c>
      <c r="N558" s="3" t="str">
        <f>chitar__3[[#This Row],[Column1.14]]</f>
        <v>175.184</v>
      </c>
      <c r="O558" s="4" t="s">
        <v>1671</v>
      </c>
    </row>
    <row r="559" spans="1:15" x14ac:dyDescent="0.45">
      <c r="A559" s="1" t="s">
        <v>388</v>
      </c>
      <c r="B559" s="1">
        <f t="shared" si="36"/>
        <v>175.57400000000001</v>
      </c>
      <c r="C559" s="1" t="str">
        <f t="shared" si="37"/>
        <v>175.574</v>
      </c>
      <c r="D559" s="1" t="str">
        <f t="shared" si="38"/>
        <v>175.574</v>
      </c>
      <c r="E559" s="1" t="str">
        <f>RIGHT(chitar__3[[#This Row],[Column1.2]],LEN(chitar__3[[#This Row],[Column1.2]])-7)</f>
        <v xml:space="preserve">" chordId="5" &gt;&lt;chordNote </v>
      </c>
      <c r="F559" s="1" t="s">
        <v>600</v>
      </c>
      <c r="G559" s="1" t="s">
        <v>1051</v>
      </c>
      <c r="H559" s="1" t="s">
        <v>1052</v>
      </c>
      <c r="I559" s="1"/>
      <c r="J559" s="1"/>
      <c r="L559" s="5" t="s">
        <v>16</v>
      </c>
      <c r="M559" s="3" t="str">
        <f>L559&amp;"time="""&amp;N559&amp;RIGHT(O559,LEN(O559)-7)</f>
        <v xml:space="preserve">        &lt;note time="175.574" string="2" fret="3" sustain="0.21" /&gt;</v>
      </c>
      <c r="N559" s="3" t="str">
        <f>chitar__3[[#This Row],[Column1.14]]</f>
        <v>175.574</v>
      </c>
      <c r="O559" s="6" t="s">
        <v>1783</v>
      </c>
    </row>
    <row r="560" spans="1:15" x14ac:dyDescent="0.45">
      <c r="A560" s="1" t="s">
        <v>388</v>
      </c>
      <c r="B560" s="1">
        <f t="shared" si="36"/>
        <v>176.006</v>
      </c>
      <c r="C560" s="1" t="str">
        <f t="shared" si="37"/>
        <v>176.006</v>
      </c>
      <c r="D560" s="1" t="str">
        <f t="shared" si="38"/>
        <v>176.006</v>
      </c>
      <c r="E560" s="1" t="str">
        <f>RIGHT(chitar__3[[#This Row],[Column1.2]],LEN(chitar__3[[#This Row],[Column1.2]])-7)</f>
        <v xml:space="preserve">" chordId="7" &gt;&lt;chordNote </v>
      </c>
      <c r="F560" s="1" t="s">
        <v>601</v>
      </c>
      <c r="G560" s="1" t="s">
        <v>1053</v>
      </c>
      <c r="H560" s="1" t="s">
        <v>1054</v>
      </c>
      <c r="I560" s="1"/>
      <c r="J560" s="1"/>
      <c r="L560" s="2" t="s">
        <v>16</v>
      </c>
      <c r="M560" s="3" t="str">
        <f>L560&amp;"time="""&amp;N560&amp;RIGHT(O560,LEN(O560)-7)</f>
        <v xml:space="preserve">        &lt;note time="176.006" string="1" fret="5" /&gt;</v>
      </c>
      <c r="N560" s="3" t="str">
        <f>chitar__3[[#This Row],[Column1.14]]</f>
        <v>176.006</v>
      </c>
      <c r="O560" s="4" t="s">
        <v>1673</v>
      </c>
    </row>
    <row r="561" spans="1:15" x14ac:dyDescent="0.45">
      <c r="A561" s="1" t="s">
        <v>16</v>
      </c>
      <c r="B561" s="1">
        <f t="shared" si="36"/>
        <v>176.23500000000001</v>
      </c>
      <c r="C561" s="1" t="str">
        <f t="shared" si="37"/>
        <v>176.235</v>
      </c>
      <c r="D561" s="1" t="str">
        <f t="shared" si="38"/>
        <v>176.235</v>
      </c>
      <c r="E561" s="1" t="str">
        <f>RIGHT(chitar__3[[#This Row],[Column1.2]],LEN(chitar__3[[#This Row],[Column1.2]])-7)</f>
        <v>" string="0" fret="10" palmMute="1" /&gt;</v>
      </c>
      <c r="F561" s="1" t="s">
        <v>361</v>
      </c>
      <c r="G561" s="1"/>
      <c r="H561" s="1"/>
      <c r="I561" s="1"/>
      <c r="J561" s="1"/>
      <c r="L561" s="5" t="s">
        <v>16</v>
      </c>
      <c r="M561" s="3" t="str">
        <f>L561&amp;"time="""&amp;N561&amp;RIGHT(O561,LEN(O561)-7)</f>
        <v xml:space="preserve">        &lt;note time="176.235" string="1" fret="5" /&gt;</v>
      </c>
      <c r="N561" s="3" t="str">
        <f>chitar__3[[#This Row],[Column1.14]]</f>
        <v>176.235</v>
      </c>
      <c r="O561" s="6" t="s">
        <v>1674</v>
      </c>
    </row>
    <row r="562" spans="1:15" x14ac:dyDescent="0.45">
      <c r="A562" s="1" t="s">
        <v>16</v>
      </c>
      <c r="B562" s="1">
        <f t="shared" si="36"/>
        <v>176.45500000000001</v>
      </c>
      <c r="C562" s="1" t="str">
        <f t="shared" si="37"/>
        <v>176.455</v>
      </c>
      <c r="D562" s="1" t="str">
        <f t="shared" si="38"/>
        <v>176.455</v>
      </c>
      <c r="E562" s="1" t="str">
        <f>RIGHT(chitar__3[[#This Row],[Column1.2]],LEN(chitar__3[[#This Row],[Column1.2]])-7)</f>
        <v>" string="0" fret="10" palmMute="1" /&gt;</v>
      </c>
      <c r="F562" s="1" t="s">
        <v>362</v>
      </c>
      <c r="G562" s="1"/>
      <c r="H562" s="1"/>
      <c r="I562" s="1"/>
      <c r="J562" s="1"/>
      <c r="L562" s="2" t="s">
        <v>16</v>
      </c>
      <c r="M562" s="3" t="str">
        <f>L562&amp;"time="""&amp;N562&amp;RIGHT(O562,LEN(O562)-7)</f>
        <v xml:space="preserve">        &lt;note time="176.455" string="1" fret="5" /&gt;</v>
      </c>
      <c r="N562" s="3" t="str">
        <f>chitar__3[[#This Row],[Column1.14]]</f>
        <v>176.455</v>
      </c>
      <c r="O562" s="4" t="s">
        <v>1675</v>
      </c>
    </row>
    <row r="563" spans="1:15" x14ac:dyDescent="0.45">
      <c r="A563" s="1" t="s">
        <v>16</v>
      </c>
      <c r="B563" s="1">
        <f t="shared" si="36"/>
        <v>176.68700000000001</v>
      </c>
      <c r="C563" s="1" t="str">
        <f t="shared" si="37"/>
        <v>176.687</v>
      </c>
      <c r="D563" s="1" t="str">
        <f t="shared" si="38"/>
        <v>176.687</v>
      </c>
      <c r="E563" s="1" t="str">
        <f>RIGHT(chitar__3[[#This Row],[Column1.2]],LEN(chitar__3[[#This Row],[Column1.2]])-7)</f>
        <v>" string="0" fret="10" palmMute="1" /&gt;</v>
      </c>
      <c r="F563" s="1" t="s">
        <v>363</v>
      </c>
      <c r="G563" s="1"/>
      <c r="H563" s="1"/>
      <c r="I563" s="1"/>
      <c r="J563" s="1"/>
      <c r="L563" s="5" t="s">
        <v>16</v>
      </c>
      <c r="M563" s="3" t="str">
        <f>L563&amp;"time="""&amp;N563&amp;RIGHT(O563,LEN(O563)-7)</f>
        <v xml:space="preserve">        &lt;note time="176.687" string="1" fret="5" /&gt;</v>
      </c>
      <c r="N563" s="3" t="str">
        <f>chitar__3[[#This Row],[Column1.14]]</f>
        <v>176.687</v>
      </c>
      <c r="O563" s="6" t="s">
        <v>1676</v>
      </c>
    </row>
    <row r="564" spans="1:15" x14ac:dyDescent="0.45">
      <c r="A564" s="1" t="s">
        <v>388</v>
      </c>
      <c r="B564" s="1">
        <f t="shared" si="36"/>
        <v>176.93</v>
      </c>
      <c r="C564" s="1" t="str">
        <f t="shared" si="37"/>
        <v>176.930</v>
      </c>
      <c r="D564" s="1" t="str">
        <f t="shared" si="38"/>
        <v>176.930</v>
      </c>
      <c r="E564" s="1" t="str">
        <f>RIGHT(chitar__3[[#This Row],[Column1.2]],LEN(chitar__3[[#This Row],[Column1.2]])-7)</f>
        <v xml:space="preserve">" chordId="4" &gt;&lt;chordNote </v>
      </c>
      <c r="F564" s="1" t="s">
        <v>602</v>
      </c>
      <c r="G564" s="1" t="s">
        <v>1055</v>
      </c>
      <c r="H564" s="1" t="s">
        <v>1056</v>
      </c>
      <c r="I564" s="1"/>
      <c r="J564" s="1"/>
      <c r="L564" s="2" t="s">
        <v>16</v>
      </c>
      <c r="M564" s="3" t="str">
        <f>L564&amp;"time="""&amp;N564&amp;RIGHT(O564,LEN(O564)-7)</f>
        <v xml:space="preserve">        &lt;note time="176.930" string="2" fret="5" /&gt;</v>
      </c>
      <c r="N564" s="3" t="str">
        <f>chitar__3[[#This Row],[Column1.14]]</f>
        <v>176.930</v>
      </c>
      <c r="O564" s="4" t="s">
        <v>1677</v>
      </c>
    </row>
    <row r="565" spans="1:15" x14ac:dyDescent="0.45">
      <c r="A565" s="1" t="s">
        <v>388</v>
      </c>
      <c r="B565" s="1">
        <f t="shared" si="36"/>
        <v>177.3</v>
      </c>
      <c r="C565" s="1" t="str">
        <f t="shared" si="37"/>
        <v>177.300</v>
      </c>
      <c r="D565" s="1" t="str">
        <f t="shared" si="38"/>
        <v>177.300</v>
      </c>
      <c r="E565" s="1" t="str">
        <f>RIGHT(chitar__3[[#This Row],[Column1.2]],LEN(chitar__3[[#This Row],[Column1.2]])-7)</f>
        <v xml:space="preserve">" chordId="5" &gt;&lt;chordNote </v>
      </c>
      <c r="F565" s="1" t="s">
        <v>603</v>
      </c>
      <c r="G565" s="1" t="s">
        <v>1057</v>
      </c>
      <c r="H565" s="1" t="s">
        <v>1058</v>
      </c>
      <c r="I565" s="1"/>
      <c r="J565" s="1"/>
      <c r="L565" s="5" t="s">
        <v>16</v>
      </c>
      <c r="M565" s="3" t="str">
        <f>L565&amp;"time="""&amp;N565&amp;RIGHT(O565,LEN(O565)-7)</f>
        <v xml:space="preserve">        &lt;note time="177.300" string="2" fret="3" sustain="0.21" /&gt;</v>
      </c>
      <c r="N565" s="3" t="str">
        <f>chitar__3[[#This Row],[Column1.14]]</f>
        <v>177.300</v>
      </c>
      <c r="O565" s="6" t="s">
        <v>1784</v>
      </c>
    </row>
    <row r="566" spans="1:15" x14ac:dyDescent="0.45">
      <c r="A566" s="1" t="s">
        <v>388</v>
      </c>
      <c r="B566" s="1">
        <f t="shared" si="36"/>
        <v>177.74100000000001</v>
      </c>
      <c r="C566" s="1" t="str">
        <f t="shared" si="37"/>
        <v>177.741</v>
      </c>
      <c r="D566" s="1" t="str">
        <f t="shared" si="38"/>
        <v>177.741</v>
      </c>
      <c r="E566" s="1" t="str">
        <f>RIGHT(chitar__3[[#This Row],[Column1.2]],LEN(chitar__3[[#This Row],[Column1.2]])-7)</f>
        <v xml:space="preserve">" chordId="7" &gt;&lt;chordNote </v>
      </c>
      <c r="F566" s="1" t="s">
        <v>604</v>
      </c>
      <c r="G566" s="1" t="s">
        <v>1059</v>
      </c>
      <c r="H566" s="1" t="s">
        <v>1060</v>
      </c>
      <c r="I566" s="1"/>
      <c r="J566" s="1"/>
      <c r="L566" s="2" t="s">
        <v>16</v>
      </c>
      <c r="M566" s="3" t="str">
        <f>L566&amp;"time="""&amp;N566&amp;RIGHT(O566,LEN(O566)-7)</f>
        <v xml:space="preserve">        &lt;note time="177.741" string="1" fret="5" /&gt;</v>
      </c>
      <c r="N566" s="3" t="str">
        <f>chitar__3[[#This Row],[Column1.14]]</f>
        <v>177.741</v>
      </c>
      <c r="O566" s="4" t="s">
        <v>1679</v>
      </c>
    </row>
    <row r="567" spans="1:15" x14ac:dyDescent="0.45">
      <c r="A567" s="1" t="s">
        <v>16</v>
      </c>
      <c r="B567" s="1">
        <f t="shared" si="36"/>
        <v>177.97</v>
      </c>
      <c r="C567" s="1" t="str">
        <f t="shared" si="37"/>
        <v>177.970</v>
      </c>
      <c r="D567" s="1" t="str">
        <f t="shared" si="38"/>
        <v>177.970</v>
      </c>
      <c r="E567" s="1" t="str">
        <f>RIGHT(chitar__3[[#This Row],[Column1.2]],LEN(chitar__3[[#This Row],[Column1.2]])-7)</f>
        <v>" string="0" fret="10" palmMute="1" /&gt;</v>
      </c>
      <c r="F567" s="1" t="s">
        <v>364</v>
      </c>
      <c r="G567" s="1"/>
      <c r="H567" s="1"/>
      <c r="I567" s="1"/>
      <c r="J567" s="1"/>
      <c r="L567" s="5" t="s">
        <v>16</v>
      </c>
      <c r="M567" s="3" t="str">
        <f>L567&amp;"time="""&amp;N567&amp;RIGHT(O567,LEN(O567)-7)</f>
        <v xml:space="preserve">        &lt;note time="177.970" string="1" fret="5" /&gt;</v>
      </c>
      <c r="N567" s="3" t="str">
        <f>chitar__3[[#This Row],[Column1.14]]</f>
        <v>177.970</v>
      </c>
      <c r="O567" s="6" t="s">
        <v>1680</v>
      </c>
    </row>
    <row r="568" spans="1:15" x14ac:dyDescent="0.45">
      <c r="A568" s="1" t="s">
        <v>16</v>
      </c>
      <c r="B568" s="1">
        <f t="shared" si="36"/>
        <v>178.19</v>
      </c>
      <c r="C568" s="1" t="str">
        <f t="shared" si="37"/>
        <v>178.190</v>
      </c>
      <c r="D568" s="1" t="str">
        <f t="shared" si="38"/>
        <v>178.190</v>
      </c>
      <c r="E568" s="1" t="str">
        <f>RIGHT(chitar__3[[#This Row],[Column1.2]],LEN(chitar__3[[#This Row],[Column1.2]])-7)</f>
        <v>" string="0" fret="10" palmMute="1" /&gt;</v>
      </c>
      <c r="F568" s="1" t="s">
        <v>365</v>
      </c>
      <c r="G568" s="1"/>
      <c r="H568" s="1"/>
      <c r="I568" s="1"/>
      <c r="J568" s="1"/>
      <c r="L568" s="2" t="s">
        <v>16</v>
      </c>
      <c r="M568" s="3" t="str">
        <f>L568&amp;"time="""&amp;N568&amp;RIGHT(O568,LEN(O568)-7)</f>
        <v xml:space="preserve">        &lt;note time="178.190" string="1" fret="5" /&gt;</v>
      </c>
      <c r="N568" s="3" t="str">
        <f>chitar__3[[#This Row],[Column1.14]]</f>
        <v>178.190</v>
      </c>
      <c r="O568" s="4" t="s">
        <v>1681</v>
      </c>
    </row>
    <row r="569" spans="1:15" x14ac:dyDescent="0.45">
      <c r="A569" s="1" t="s">
        <v>16</v>
      </c>
      <c r="B569" s="1">
        <f t="shared" si="36"/>
        <v>178.423</v>
      </c>
      <c r="C569" s="1" t="str">
        <f t="shared" si="37"/>
        <v>178.423</v>
      </c>
      <c r="D569" s="1" t="str">
        <f t="shared" si="38"/>
        <v>178.423</v>
      </c>
      <c r="E569" s="1" t="str">
        <f>RIGHT(chitar__3[[#This Row],[Column1.2]],LEN(chitar__3[[#This Row],[Column1.2]])-7)</f>
        <v>" string="0" fret="10" palmMute="1" /&gt;</v>
      </c>
      <c r="F569" s="1" t="s">
        <v>366</v>
      </c>
      <c r="G569" s="1"/>
      <c r="H569" s="1"/>
      <c r="I569" s="1"/>
      <c r="J569" s="1"/>
      <c r="L569" s="5" t="s">
        <v>16</v>
      </c>
      <c r="M569" s="3" t="str">
        <f>L569&amp;"time="""&amp;N569&amp;RIGHT(O569,LEN(O569)-7)</f>
        <v xml:space="preserve">        &lt;note time="178.423" string="1" fret="5" /&gt;</v>
      </c>
      <c r="N569" s="3" t="str">
        <f>chitar__3[[#This Row],[Column1.14]]</f>
        <v>178.423</v>
      </c>
      <c r="O569" s="6" t="s">
        <v>1682</v>
      </c>
    </row>
    <row r="570" spans="1:15" x14ac:dyDescent="0.45">
      <c r="A570" s="1" t="s">
        <v>388</v>
      </c>
      <c r="B570" s="1">
        <f t="shared" si="36"/>
        <v>178.69499999999999</v>
      </c>
      <c r="C570" s="1" t="str">
        <f t="shared" si="37"/>
        <v>178.695</v>
      </c>
      <c r="D570" s="1" t="str">
        <f t="shared" si="38"/>
        <v>178.695</v>
      </c>
      <c r="E570" s="1" t="str">
        <f>RIGHT(chitar__3[[#This Row],[Column1.2]],LEN(chitar__3[[#This Row],[Column1.2]])-7)</f>
        <v xml:space="preserve">" chordId="4" &gt;&lt;chordNote </v>
      </c>
      <c r="F570" s="1" t="s">
        <v>605</v>
      </c>
      <c r="G570" s="1" t="s">
        <v>1061</v>
      </c>
      <c r="H570" s="1" t="s">
        <v>1062</v>
      </c>
      <c r="I570" s="1"/>
      <c r="J570" s="1"/>
      <c r="L570" s="2" t="s">
        <v>16</v>
      </c>
      <c r="M570" s="3" t="str">
        <f>L570&amp;"time="""&amp;N570&amp;RIGHT(O570,LEN(O570)-7)</f>
        <v xml:space="preserve">        &lt;note time="178.695" string="2" fret="5" /&gt;</v>
      </c>
      <c r="N570" s="3" t="str">
        <f>chitar__3[[#This Row],[Column1.14]]</f>
        <v>178.695</v>
      </c>
      <c r="O570" s="4" t="s">
        <v>1683</v>
      </c>
    </row>
    <row r="571" spans="1:15" x14ac:dyDescent="0.45">
      <c r="A571" s="1" t="s">
        <v>388</v>
      </c>
      <c r="B571" s="1">
        <f t="shared" si="36"/>
        <v>179.06700000000001</v>
      </c>
      <c r="C571" s="1" t="str">
        <f t="shared" si="37"/>
        <v>179.067</v>
      </c>
      <c r="D571" s="1" t="str">
        <f t="shared" si="38"/>
        <v>179.067</v>
      </c>
      <c r="E571" s="1" t="str">
        <f>RIGHT(chitar__3[[#This Row],[Column1.2]],LEN(chitar__3[[#This Row],[Column1.2]])-7)</f>
        <v xml:space="preserve">" chordId="5" &gt;&lt;chordNote </v>
      </c>
      <c r="F571" s="1" t="s">
        <v>606</v>
      </c>
      <c r="G571" s="1" t="s">
        <v>1063</v>
      </c>
      <c r="H571" s="1" t="s">
        <v>1064</v>
      </c>
      <c r="I571" s="1"/>
      <c r="J571" s="1"/>
      <c r="L571" s="5" t="s">
        <v>16</v>
      </c>
      <c r="M571" s="3" t="str">
        <f>L571&amp;"time="""&amp;N571&amp;RIGHT(O571,LEN(O571)-7)</f>
        <v xml:space="preserve">        &lt;note time="179.067" string="2" fret="3" sustain="0.21" /&gt;</v>
      </c>
      <c r="N571" s="3" t="str">
        <f>chitar__3[[#This Row],[Column1.14]]</f>
        <v>179.067</v>
      </c>
      <c r="O571" s="6" t="s">
        <v>1785</v>
      </c>
    </row>
    <row r="572" spans="1:15" x14ac:dyDescent="0.45">
      <c r="A572" s="1" t="s">
        <v>388</v>
      </c>
      <c r="B572" s="1">
        <f t="shared" si="36"/>
        <v>179.46799999999999</v>
      </c>
      <c r="C572" s="1" t="str">
        <f t="shared" si="37"/>
        <v>179.468</v>
      </c>
      <c r="D572" s="1" t="str">
        <f t="shared" si="38"/>
        <v>179.468</v>
      </c>
      <c r="E572" s="1" t="str">
        <f>RIGHT(chitar__3[[#This Row],[Column1.2]],LEN(chitar__3[[#This Row],[Column1.2]])-7)</f>
        <v xml:space="preserve">" chordId="7" &gt;&lt;chordNote </v>
      </c>
      <c r="F572" s="1" t="s">
        <v>607</v>
      </c>
      <c r="G572" s="1" t="s">
        <v>1065</v>
      </c>
      <c r="H572" s="1" t="s">
        <v>1066</v>
      </c>
      <c r="I572" s="1"/>
      <c r="J572" s="1"/>
      <c r="L572" s="2" t="s">
        <v>16</v>
      </c>
      <c r="M572" s="3" t="str">
        <f>L572&amp;"time="""&amp;N572&amp;RIGHT(O572,LEN(O572)-7)</f>
        <v xml:space="preserve">        &lt;note time="179.468" string="1" fret="5" /&gt;</v>
      </c>
      <c r="N572" s="3" t="str">
        <f>chitar__3[[#This Row],[Column1.14]]</f>
        <v>179.468</v>
      </c>
      <c r="O572" s="4" t="s">
        <v>1685</v>
      </c>
    </row>
    <row r="573" spans="1:15" x14ac:dyDescent="0.45">
      <c r="A573" s="1" t="s">
        <v>16</v>
      </c>
      <c r="B573" s="1">
        <f t="shared" si="36"/>
        <v>179.697</v>
      </c>
      <c r="C573" s="1" t="str">
        <f t="shared" si="37"/>
        <v>179.697</v>
      </c>
      <c r="D573" s="1" t="str">
        <f t="shared" si="38"/>
        <v>179.697</v>
      </c>
      <c r="E573" s="1" t="str">
        <f>RIGHT(chitar__3[[#This Row],[Column1.2]],LEN(chitar__3[[#This Row],[Column1.2]])-7)</f>
        <v>" string="0" fret="10" palmMute="1" /&gt;</v>
      </c>
      <c r="F573" s="1" t="s">
        <v>367</v>
      </c>
      <c r="G573" s="1"/>
      <c r="H573" s="1"/>
      <c r="I573" s="1"/>
      <c r="J573" s="1"/>
      <c r="L573" s="5" t="s">
        <v>16</v>
      </c>
      <c r="M573" s="3" t="str">
        <f>L573&amp;"time="""&amp;N573&amp;RIGHT(O573,LEN(O573)-7)</f>
        <v xml:space="preserve">        &lt;note time="179.697" string="1" fret="5" /&gt;</v>
      </c>
      <c r="N573" s="3" t="str">
        <f>chitar__3[[#This Row],[Column1.14]]</f>
        <v>179.697</v>
      </c>
      <c r="O573" s="6" t="s">
        <v>1686</v>
      </c>
    </row>
    <row r="574" spans="1:15" x14ac:dyDescent="0.45">
      <c r="A574" s="1" t="s">
        <v>16</v>
      </c>
      <c r="B574" s="1">
        <f t="shared" si="36"/>
        <v>179.917</v>
      </c>
      <c r="C574" s="1" t="str">
        <f t="shared" si="37"/>
        <v>179.917</v>
      </c>
      <c r="D574" s="1" t="str">
        <f t="shared" si="38"/>
        <v>179.917</v>
      </c>
      <c r="E574" s="1" t="str">
        <f>RIGHT(chitar__3[[#This Row],[Column1.2]],LEN(chitar__3[[#This Row],[Column1.2]])-7)</f>
        <v>" string="0" fret="10" palmMute="1" /&gt;</v>
      </c>
      <c r="F574" s="1" t="s">
        <v>368</v>
      </c>
      <c r="G574" s="1"/>
      <c r="H574" s="1"/>
      <c r="I574" s="1"/>
      <c r="J574" s="1"/>
      <c r="L574" s="2" t="s">
        <v>16</v>
      </c>
      <c r="M574" s="3" t="str">
        <f>L574&amp;"time="""&amp;N574&amp;RIGHT(O574,LEN(O574)-7)</f>
        <v xml:space="preserve">        &lt;note time="179.917" string="1" fret="5" /&gt;</v>
      </c>
      <c r="N574" s="3" t="str">
        <f>chitar__3[[#This Row],[Column1.14]]</f>
        <v>179.917</v>
      </c>
      <c r="O574" s="4" t="s">
        <v>1687</v>
      </c>
    </row>
    <row r="575" spans="1:15" x14ac:dyDescent="0.45">
      <c r="A575" s="1" t="s">
        <v>16</v>
      </c>
      <c r="B575" s="1">
        <f t="shared" si="36"/>
        <v>180.149</v>
      </c>
      <c r="C575" s="1" t="str">
        <f t="shared" si="37"/>
        <v>180.149</v>
      </c>
      <c r="D575" s="1" t="str">
        <f t="shared" si="38"/>
        <v>180.149</v>
      </c>
      <c r="E575" s="1" t="str">
        <f>RIGHT(chitar__3[[#This Row],[Column1.2]],LEN(chitar__3[[#This Row],[Column1.2]])-7)</f>
        <v>" string="0" fret="10" palmMute="1" /&gt;</v>
      </c>
      <c r="F575" s="1" t="s">
        <v>369</v>
      </c>
      <c r="G575" s="1"/>
      <c r="H575" s="1"/>
      <c r="I575" s="1"/>
      <c r="J575" s="1"/>
      <c r="L575" s="5" t="s">
        <v>16</v>
      </c>
      <c r="M575" s="3" t="str">
        <f t="shared" ref="M575:M606" si="40">L575&amp;"time="""&amp;N575&amp;RIGHT(O575,LEN(O575)-7)</f>
        <v xml:space="preserve">        &lt;note time="180.149" string="1" fret="5" /&gt;</v>
      </c>
      <c r="N575" s="3" t="str">
        <f>chitar__3[[#This Row],[Column1.14]]</f>
        <v>180.149</v>
      </c>
      <c r="O575" s="6" t="s">
        <v>1688</v>
      </c>
    </row>
    <row r="576" spans="1:15" x14ac:dyDescent="0.45">
      <c r="A576" s="1" t="s">
        <v>388</v>
      </c>
      <c r="B576" s="1">
        <f t="shared" si="36"/>
        <v>180.447</v>
      </c>
      <c r="C576" s="1" t="str">
        <f t="shared" si="37"/>
        <v>180.447</v>
      </c>
      <c r="D576" s="1" t="str">
        <f t="shared" si="38"/>
        <v>180.447</v>
      </c>
      <c r="E576" s="1" t="str">
        <f>RIGHT(chitar__3[[#This Row],[Column1.2]],LEN(chitar__3[[#This Row],[Column1.2]])-7)</f>
        <v xml:space="preserve">" chordId="4" &gt;&lt;chordNote </v>
      </c>
      <c r="F576" s="1" t="s">
        <v>608</v>
      </c>
      <c r="G576" s="1" t="s">
        <v>1067</v>
      </c>
      <c r="H576" s="1" t="s">
        <v>1068</v>
      </c>
      <c r="I576" s="1"/>
      <c r="J576" s="1"/>
      <c r="L576" s="2" t="s">
        <v>16</v>
      </c>
      <c r="M576" s="3" t="str">
        <f t="shared" si="40"/>
        <v xml:space="preserve">        &lt;note time="180.447" string="2" fret="5" /&gt;</v>
      </c>
      <c r="N576" s="3" t="str">
        <f>chitar__3[[#This Row],[Column1.14]]</f>
        <v>180.447</v>
      </c>
      <c r="O576" s="4" t="s">
        <v>1689</v>
      </c>
    </row>
    <row r="577" spans="1:15" x14ac:dyDescent="0.45">
      <c r="A577" s="1" t="s">
        <v>388</v>
      </c>
      <c r="B577" s="1">
        <f t="shared" si="36"/>
        <v>180.81899999999999</v>
      </c>
      <c r="C577" s="1" t="str">
        <f t="shared" si="37"/>
        <v>180.819</v>
      </c>
      <c r="D577" s="1" t="str">
        <f t="shared" si="38"/>
        <v>180.819</v>
      </c>
      <c r="E577" s="1" t="str">
        <f>RIGHT(chitar__3[[#This Row],[Column1.2]],LEN(chitar__3[[#This Row],[Column1.2]])-7)</f>
        <v xml:space="preserve">" chordId="5" &gt;&lt;chordNote </v>
      </c>
      <c r="F577" s="1" t="s">
        <v>609</v>
      </c>
      <c r="G577" s="1" t="s">
        <v>1069</v>
      </c>
      <c r="H577" s="1" t="s">
        <v>1070</v>
      </c>
      <c r="I577" s="1"/>
      <c r="J577" s="1"/>
      <c r="L577" s="5" t="s">
        <v>16</v>
      </c>
      <c r="M577" s="3" t="str">
        <f t="shared" si="40"/>
        <v xml:space="preserve">        &lt;note time="180.819" string="2" fret="3" sustain="0.21" /&gt;</v>
      </c>
      <c r="N577" s="3" t="str">
        <f>chitar__3[[#This Row],[Column1.14]]</f>
        <v>180.819</v>
      </c>
      <c r="O577" s="6" t="s">
        <v>1786</v>
      </c>
    </row>
    <row r="578" spans="1:15" x14ac:dyDescent="0.45">
      <c r="A578" s="1" t="s">
        <v>388</v>
      </c>
      <c r="B578" s="1">
        <f t="shared" si="36"/>
        <v>181.25</v>
      </c>
      <c r="C578" s="1" t="str">
        <f t="shared" si="37"/>
        <v>181.250</v>
      </c>
      <c r="D578" s="1" t="str">
        <f t="shared" si="38"/>
        <v>181.250</v>
      </c>
      <c r="E578" s="1" t="str">
        <f>RIGHT(chitar__3[[#This Row],[Column1.2]],LEN(chitar__3[[#This Row],[Column1.2]])-7)</f>
        <v xml:space="preserve">" chordId="7" &gt;&lt;chordNote </v>
      </c>
      <c r="F578" s="1" t="s">
        <v>610</v>
      </c>
      <c r="G578" s="1" t="s">
        <v>1071</v>
      </c>
      <c r="H578" s="1" t="s">
        <v>1072</v>
      </c>
      <c r="I578" s="1"/>
      <c r="J578" s="1"/>
      <c r="L578" s="2" t="s">
        <v>16</v>
      </c>
      <c r="M578" s="3" t="str">
        <f t="shared" si="40"/>
        <v xml:space="preserve">        &lt;note time="181.250" string="1" fret="5" /&gt;</v>
      </c>
      <c r="N578" s="3" t="str">
        <f>chitar__3[[#This Row],[Column1.14]]</f>
        <v>181.250</v>
      </c>
      <c r="O578" s="4" t="s">
        <v>1691</v>
      </c>
    </row>
    <row r="579" spans="1:15" x14ac:dyDescent="0.45">
      <c r="A579" s="1" t="s">
        <v>16</v>
      </c>
      <c r="B579" s="1">
        <f t="shared" ref="B579:B614" si="41">VALUE(C579)</f>
        <v>181.47900000000001</v>
      </c>
      <c r="C579" s="1" t="str">
        <f t="shared" ref="C579:C614" si="42">SUBSTITUTE(D579,"""","")</f>
        <v>181.479</v>
      </c>
      <c r="D579" s="1" t="str">
        <f t="shared" ref="D579:D614" si="43">LEFT(F579,7)</f>
        <v>181.479</v>
      </c>
      <c r="E579" s="1" t="str">
        <f>RIGHT(chitar__3[[#This Row],[Column1.2]],LEN(chitar__3[[#This Row],[Column1.2]])-7)</f>
        <v>" string="0" fret="10" palmMute="1" /&gt;</v>
      </c>
      <c r="F579" s="1" t="s">
        <v>370</v>
      </c>
      <c r="G579" s="1"/>
      <c r="H579" s="1"/>
      <c r="I579" s="1"/>
      <c r="J579" s="1"/>
      <c r="L579" s="5" t="s">
        <v>16</v>
      </c>
      <c r="M579" s="3" t="str">
        <f t="shared" si="40"/>
        <v xml:space="preserve">        &lt;note time="181.479" string="1" fret="5" /&gt;</v>
      </c>
      <c r="N579" s="3" t="str">
        <f>chitar__3[[#This Row],[Column1.14]]</f>
        <v>181.479</v>
      </c>
      <c r="O579" s="6" t="s">
        <v>1692</v>
      </c>
    </row>
    <row r="580" spans="1:15" x14ac:dyDescent="0.45">
      <c r="A580" s="1" t="s">
        <v>16</v>
      </c>
      <c r="B580" s="1">
        <f t="shared" si="41"/>
        <v>181.7</v>
      </c>
      <c r="C580" s="1" t="str">
        <f t="shared" si="42"/>
        <v>181.700</v>
      </c>
      <c r="D580" s="1" t="str">
        <f t="shared" si="43"/>
        <v>181.700</v>
      </c>
      <c r="E580" s="1" t="str">
        <f>RIGHT(chitar__3[[#This Row],[Column1.2]],LEN(chitar__3[[#This Row],[Column1.2]])-7)</f>
        <v>" string="0" fret="10" palmMute="1" /&gt;</v>
      </c>
      <c r="F580" s="1" t="s">
        <v>371</v>
      </c>
      <c r="G580" s="1"/>
      <c r="H580" s="1"/>
      <c r="I580" s="1"/>
      <c r="J580" s="1"/>
      <c r="L580" s="2" t="s">
        <v>16</v>
      </c>
      <c r="M580" s="3" t="str">
        <f t="shared" si="40"/>
        <v xml:space="preserve">        &lt;note time="181.700" string="1" fret="5" /&gt;</v>
      </c>
      <c r="N580" s="3" t="str">
        <f>chitar__3[[#This Row],[Column1.14]]</f>
        <v>181.700</v>
      </c>
      <c r="O580" s="4" t="s">
        <v>1693</v>
      </c>
    </row>
    <row r="581" spans="1:15" x14ac:dyDescent="0.45">
      <c r="A581" s="1" t="s">
        <v>16</v>
      </c>
      <c r="B581" s="1">
        <f t="shared" si="41"/>
        <v>181.93100000000001</v>
      </c>
      <c r="C581" s="1" t="str">
        <f t="shared" si="42"/>
        <v>181.931</v>
      </c>
      <c r="D581" s="1" t="str">
        <f t="shared" si="43"/>
        <v>181.931</v>
      </c>
      <c r="E581" s="1" t="str">
        <f>RIGHT(chitar__3[[#This Row],[Column1.2]],LEN(chitar__3[[#This Row],[Column1.2]])-7)</f>
        <v>" string="0" fret="10" palmMute="1" /&gt;</v>
      </c>
      <c r="F581" s="1" t="s">
        <v>372</v>
      </c>
      <c r="G581" s="1"/>
      <c r="H581" s="1"/>
      <c r="I581" s="1"/>
      <c r="J581" s="1"/>
      <c r="L581" s="5" t="s">
        <v>16</v>
      </c>
      <c r="M581" s="3" t="str">
        <f t="shared" si="40"/>
        <v xml:space="preserve">        &lt;note time="181.931" string="1" fret="5" /&gt;</v>
      </c>
      <c r="N581" s="3" t="str">
        <f>chitar__3[[#This Row],[Column1.14]]</f>
        <v>181.931</v>
      </c>
      <c r="O581" s="6" t="s">
        <v>1694</v>
      </c>
    </row>
    <row r="582" spans="1:15" x14ac:dyDescent="0.45">
      <c r="A582" s="1" t="s">
        <v>388</v>
      </c>
      <c r="B582" s="1">
        <f t="shared" si="41"/>
        <v>182.15700000000001</v>
      </c>
      <c r="C582" s="1" t="str">
        <f t="shared" si="42"/>
        <v>182.157</v>
      </c>
      <c r="D582" s="1" t="str">
        <f t="shared" si="43"/>
        <v>182.157</v>
      </c>
      <c r="E582" s="1" t="str">
        <f>RIGHT(chitar__3[[#This Row],[Column1.2]],LEN(chitar__3[[#This Row],[Column1.2]])-7)</f>
        <v xml:space="preserve">" chordId="4" &gt;&lt;chordNote </v>
      </c>
      <c r="F582" s="1" t="s">
        <v>611</v>
      </c>
      <c r="G582" s="1" t="s">
        <v>1073</v>
      </c>
      <c r="H582" s="1" t="s">
        <v>1074</v>
      </c>
      <c r="I582" s="1"/>
      <c r="J582" s="1"/>
      <c r="L582" s="2" t="s">
        <v>16</v>
      </c>
      <c r="M582" s="3" t="str">
        <f t="shared" si="40"/>
        <v xml:space="preserve">        &lt;note time="182.157" string="2" fret="5" /&gt;</v>
      </c>
      <c r="N582" s="3" t="str">
        <f>chitar__3[[#This Row],[Column1.14]]</f>
        <v>182.157</v>
      </c>
      <c r="O582" s="4" t="s">
        <v>1695</v>
      </c>
    </row>
    <row r="583" spans="1:15" x14ac:dyDescent="0.45">
      <c r="A583" s="1" t="s">
        <v>388</v>
      </c>
      <c r="B583" s="1">
        <f t="shared" si="41"/>
        <v>182.52699999999999</v>
      </c>
      <c r="C583" s="1" t="str">
        <f t="shared" si="42"/>
        <v>182.527</v>
      </c>
      <c r="D583" s="1" t="str">
        <f t="shared" si="43"/>
        <v>182.527</v>
      </c>
      <c r="E583" s="1" t="str">
        <f>RIGHT(chitar__3[[#This Row],[Column1.2]],LEN(chitar__3[[#This Row],[Column1.2]])-7)</f>
        <v xml:space="preserve">" chordId="5" &gt;&lt;chordNote </v>
      </c>
      <c r="F583" s="1" t="s">
        <v>612</v>
      </c>
      <c r="G583" s="1" t="s">
        <v>1075</v>
      </c>
      <c r="H583" s="1" t="s">
        <v>1076</v>
      </c>
      <c r="I583" s="1"/>
      <c r="J583" s="1"/>
      <c r="L583" s="5" t="s">
        <v>16</v>
      </c>
      <c r="M583" s="3" t="str">
        <f t="shared" si="40"/>
        <v xml:space="preserve">        &lt;note time="182.527" string="2" fret="3" sustain="0.21" /&gt;</v>
      </c>
      <c r="N583" s="3" t="str">
        <f>chitar__3[[#This Row],[Column1.14]]</f>
        <v>182.527</v>
      </c>
      <c r="O583" s="6" t="s">
        <v>1787</v>
      </c>
    </row>
    <row r="584" spans="1:15" x14ac:dyDescent="0.45">
      <c r="A584" s="1" t="s">
        <v>388</v>
      </c>
      <c r="B584" s="1">
        <f t="shared" si="41"/>
        <v>182.958</v>
      </c>
      <c r="C584" s="1" t="str">
        <f t="shared" si="42"/>
        <v>182.958</v>
      </c>
      <c r="D584" s="1" t="str">
        <f t="shared" si="43"/>
        <v>182.958</v>
      </c>
      <c r="E584" s="1" t="str">
        <f>RIGHT(chitar__3[[#This Row],[Column1.2]],LEN(chitar__3[[#This Row],[Column1.2]])-7)</f>
        <v xml:space="preserve">" chordId="7" &gt;&lt;chordNote </v>
      </c>
      <c r="F584" s="1" t="s">
        <v>613</v>
      </c>
      <c r="G584" s="1" t="s">
        <v>1077</v>
      </c>
      <c r="H584" s="1" t="s">
        <v>1078</v>
      </c>
      <c r="I584" s="1"/>
      <c r="J584" s="1"/>
      <c r="L584" s="2" t="s">
        <v>16</v>
      </c>
      <c r="M584" s="3" t="str">
        <f t="shared" si="40"/>
        <v xml:space="preserve">        &lt;note time="182.958" string="1" fret="5" /&gt;</v>
      </c>
      <c r="N584" s="3" t="str">
        <f>chitar__3[[#This Row],[Column1.14]]</f>
        <v>182.958</v>
      </c>
      <c r="O584" s="4" t="s">
        <v>1697</v>
      </c>
    </row>
    <row r="585" spans="1:15" x14ac:dyDescent="0.45">
      <c r="A585" s="1" t="s">
        <v>16</v>
      </c>
      <c r="B585" s="1">
        <f t="shared" si="41"/>
        <v>183.18700000000001</v>
      </c>
      <c r="C585" s="1" t="str">
        <f t="shared" si="42"/>
        <v>183.187</v>
      </c>
      <c r="D585" s="1" t="str">
        <f t="shared" si="43"/>
        <v>183.187</v>
      </c>
      <c r="E585" s="1" t="str">
        <f>RIGHT(chitar__3[[#This Row],[Column1.2]],LEN(chitar__3[[#This Row],[Column1.2]])-7)</f>
        <v>" string="0" fret="10" palmMute="1" /&gt;</v>
      </c>
      <c r="F585" s="1" t="s">
        <v>373</v>
      </c>
      <c r="G585" s="1"/>
      <c r="H585" s="1"/>
      <c r="I585" s="1"/>
      <c r="J585" s="1"/>
      <c r="L585" s="5" t="s">
        <v>16</v>
      </c>
      <c r="M585" s="3" t="str">
        <f t="shared" si="40"/>
        <v xml:space="preserve">        &lt;note time="183.187" string="1" fret="5" /&gt;</v>
      </c>
      <c r="N585" s="3" t="str">
        <f>chitar__3[[#This Row],[Column1.14]]</f>
        <v>183.187</v>
      </c>
      <c r="O585" s="6" t="s">
        <v>1698</v>
      </c>
    </row>
    <row r="586" spans="1:15" x14ac:dyDescent="0.45">
      <c r="A586" s="1" t="s">
        <v>16</v>
      </c>
      <c r="B586" s="1">
        <f t="shared" si="41"/>
        <v>183.40700000000001</v>
      </c>
      <c r="C586" s="1" t="str">
        <f t="shared" si="42"/>
        <v>183.407</v>
      </c>
      <c r="D586" s="1" t="str">
        <f t="shared" si="43"/>
        <v>183.407</v>
      </c>
      <c r="E586" s="1" t="str">
        <f>RIGHT(chitar__3[[#This Row],[Column1.2]],LEN(chitar__3[[#This Row],[Column1.2]])-7)</f>
        <v>" string="0" fret="10" palmMute="1" /&gt;</v>
      </c>
      <c r="F586" s="1" t="s">
        <v>374</v>
      </c>
      <c r="G586" s="1"/>
      <c r="H586" s="1"/>
      <c r="I586" s="1"/>
      <c r="J586" s="1"/>
      <c r="L586" s="2" t="s">
        <v>16</v>
      </c>
      <c r="M586" s="3" t="str">
        <f t="shared" si="40"/>
        <v xml:space="preserve">        &lt;note time="183.407" string="1" fret="5" /&gt;</v>
      </c>
      <c r="N586" s="3" t="str">
        <f>chitar__3[[#This Row],[Column1.14]]</f>
        <v>183.407</v>
      </c>
      <c r="O586" s="4" t="s">
        <v>1699</v>
      </c>
    </row>
    <row r="587" spans="1:15" x14ac:dyDescent="0.45">
      <c r="A587" s="1" t="s">
        <v>16</v>
      </c>
      <c r="B587" s="1">
        <f t="shared" si="41"/>
        <v>183.63900000000001</v>
      </c>
      <c r="C587" s="1" t="str">
        <f t="shared" si="42"/>
        <v>183.639</v>
      </c>
      <c r="D587" s="1" t="str">
        <f t="shared" si="43"/>
        <v>183.639</v>
      </c>
      <c r="E587" s="1" t="str">
        <f>RIGHT(chitar__3[[#This Row],[Column1.2]],LEN(chitar__3[[#This Row],[Column1.2]])-7)</f>
        <v>" string="0" fret="10" palmMute="1" /&gt;</v>
      </c>
      <c r="F587" s="1" t="s">
        <v>375</v>
      </c>
      <c r="G587" s="1"/>
      <c r="H587" s="1"/>
      <c r="I587" s="1"/>
      <c r="J587" s="1"/>
      <c r="L587" s="5" t="s">
        <v>16</v>
      </c>
      <c r="M587" s="3" t="str">
        <f t="shared" si="40"/>
        <v xml:space="preserve">        &lt;note time="183.639" string="1" fret="5" /&gt;</v>
      </c>
      <c r="N587" s="3" t="str">
        <f>chitar__3[[#This Row],[Column1.14]]</f>
        <v>183.639</v>
      </c>
      <c r="O587" s="6" t="s">
        <v>1700</v>
      </c>
    </row>
    <row r="588" spans="1:15" x14ac:dyDescent="0.45">
      <c r="A588" s="1" t="s">
        <v>388</v>
      </c>
      <c r="B588" s="1">
        <f t="shared" si="41"/>
        <v>183.95699999999999</v>
      </c>
      <c r="C588" s="1" t="str">
        <f t="shared" si="42"/>
        <v>183.957</v>
      </c>
      <c r="D588" s="1" t="str">
        <f t="shared" si="43"/>
        <v>183.957</v>
      </c>
      <c r="E588" s="1" t="str">
        <f>RIGHT(chitar__3[[#This Row],[Column1.2]],LEN(chitar__3[[#This Row],[Column1.2]])-7)</f>
        <v xml:space="preserve">" chordId="4" &gt;&lt;chordNote </v>
      </c>
      <c r="F588" s="1" t="s">
        <v>614</v>
      </c>
      <c r="G588" s="1" t="s">
        <v>1079</v>
      </c>
      <c r="H588" s="1" t="s">
        <v>1080</v>
      </c>
      <c r="I588" s="1"/>
      <c r="J588" s="1"/>
      <c r="L588" s="2" t="s">
        <v>16</v>
      </c>
      <c r="M588" s="3" t="str">
        <f t="shared" si="40"/>
        <v xml:space="preserve">        &lt;note time="183.957" string="2" fret="5" /&gt;</v>
      </c>
      <c r="N588" s="3" t="str">
        <f>chitar__3[[#This Row],[Column1.14]]</f>
        <v>183.957</v>
      </c>
      <c r="O588" s="4" t="s">
        <v>1701</v>
      </c>
    </row>
    <row r="589" spans="1:15" x14ac:dyDescent="0.45">
      <c r="A589" s="1" t="s">
        <v>388</v>
      </c>
      <c r="B589" s="1">
        <f t="shared" si="41"/>
        <v>184.34700000000001</v>
      </c>
      <c r="C589" s="1" t="str">
        <f t="shared" si="42"/>
        <v>184.347</v>
      </c>
      <c r="D589" s="1" t="str">
        <f t="shared" si="43"/>
        <v>184.347</v>
      </c>
      <c r="E589" s="1" t="str">
        <f>RIGHT(chitar__3[[#This Row],[Column1.2]],LEN(chitar__3[[#This Row],[Column1.2]])-7)</f>
        <v xml:space="preserve">" chordId="5" &gt;&lt;chordNote </v>
      </c>
      <c r="F589" s="1" t="s">
        <v>615</v>
      </c>
      <c r="G589" s="1" t="s">
        <v>1081</v>
      </c>
      <c r="H589" s="1" t="s">
        <v>1082</v>
      </c>
      <c r="I589" s="1"/>
      <c r="J589" s="1"/>
      <c r="L589" s="5" t="s">
        <v>16</v>
      </c>
      <c r="M589" s="3" t="str">
        <f t="shared" si="40"/>
        <v xml:space="preserve">        &lt;note time="184.347" string="2" fret="3" sustain="0.21" /&gt;</v>
      </c>
      <c r="N589" s="3" t="str">
        <f>chitar__3[[#This Row],[Column1.14]]</f>
        <v>184.347</v>
      </c>
      <c r="O589" s="6" t="s">
        <v>1788</v>
      </c>
    </row>
    <row r="590" spans="1:15" x14ac:dyDescent="0.45">
      <c r="A590" s="1" t="s">
        <v>388</v>
      </c>
      <c r="B590" s="1">
        <f t="shared" si="41"/>
        <v>184.78800000000001</v>
      </c>
      <c r="C590" s="1" t="str">
        <f t="shared" si="42"/>
        <v>184.788</v>
      </c>
      <c r="D590" s="1" t="str">
        <f t="shared" si="43"/>
        <v>184.788</v>
      </c>
      <c r="E590" s="1" t="str">
        <f>RIGHT(chitar__3[[#This Row],[Column1.2]],LEN(chitar__3[[#This Row],[Column1.2]])-7)</f>
        <v xml:space="preserve">" chordId="7" &gt;&lt;chordNote </v>
      </c>
      <c r="F590" s="1" t="s">
        <v>616</v>
      </c>
      <c r="G590" s="1" t="s">
        <v>1083</v>
      </c>
      <c r="H590" s="1" t="s">
        <v>1084</v>
      </c>
      <c r="I590" s="1"/>
      <c r="J590" s="1"/>
      <c r="L590" s="2" t="s">
        <v>16</v>
      </c>
      <c r="M590" s="3" t="str">
        <f t="shared" si="40"/>
        <v xml:space="preserve">        &lt;note time="184.788" string="1" fret="5" /&gt;</v>
      </c>
      <c r="N590" s="3" t="str">
        <f>chitar__3[[#This Row],[Column1.14]]</f>
        <v>184.788</v>
      </c>
      <c r="O590" s="4" t="s">
        <v>1703</v>
      </c>
    </row>
    <row r="591" spans="1:15" x14ac:dyDescent="0.45">
      <c r="A591" s="1" t="s">
        <v>16</v>
      </c>
      <c r="B591" s="1">
        <f t="shared" si="41"/>
        <v>185.017</v>
      </c>
      <c r="C591" s="1" t="str">
        <f t="shared" si="42"/>
        <v>185.017</v>
      </c>
      <c r="D591" s="1" t="str">
        <f t="shared" si="43"/>
        <v>185.017</v>
      </c>
      <c r="E591" s="1" t="str">
        <f>RIGHT(chitar__3[[#This Row],[Column1.2]],LEN(chitar__3[[#This Row],[Column1.2]])-7)</f>
        <v>" string="0" fret="10" palmMute="1" /&gt;</v>
      </c>
      <c r="F591" s="1" t="s">
        <v>376</v>
      </c>
      <c r="G591" s="1"/>
      <c r="H591" s="1"/>
      <c r="I591" s="1"/>
      <c r="J591" s="1"/>
      <c r="L591" s="5" t="s">
        <v>16</v>
      </c>
      <c r="M591" s="3" t="str">
        <f t="shared" si="40"/>
        <v xml:space="preserve">        &lt;note time="185.017" string="1" fret="5" /&gt;</v>
      </c>
      <c r="N591" s="3" t="str">
        <f>chitar__3[[#This Row],[Column1.14]]</f>
        <v>185.017</v>
      </c>
      <c r="O591" s="6" t="s">
        <v>1704</v>
      </c>
    </row>
    <row r="592" spans="1:15" x14ac:dyDescent="0.45">
      <c r="A592" s="1" t="s">
        <v>16</v>
      </c>
      <c r="B592" s="1">
        <f t="shared" si="41"/>
        <v>185.23699999999999</v>
      </c>
      <c r="C592" s="1" t="str">
        <f t="shared" si="42"/>
        <v>185.237</v>
      </c>
      <c r="D592" s="1" t="str">
        <f t="shared" si="43"/>
        <v>185.237</v>
      </c>
      <c r="E592" s="1" t="str">
        <f>RIGHT(chitar__3[[#This Row],[Column1.2]],LEN(chitar__3[[#This Row],[Column1.2]])-7)</f>
        <v>" string="0" fret="10" palmMute="1" /&gt;</v>
      </c>
      <c r="F592" s="1" t="s">
        <v>377</v>
      </c>
      <c r="G592" s="1"/>
      <c r="H592" s="1"/>
      <c r="I592" s="1"/>
      <c r="J592" s="1"/>
      <c r="L592" s="2" t="s">
        <v>16</v>
      </c>
      <c r="M592" s="3" t="str">
        <f t="shared" si="40"/>
        <v xml:space="preserve">        &lt;note time="185.237" string="1" fret="5" /&gt;</v>
      </c>
      <c r="N592" s="3" t="str">
        <f>chitar__3[[#This Row],[Column1.14]]</f>
        <v>185.237</v>
      </c>
      <c r="O592" s="4" t="s">
        <v>1705</v>
      </c>
    </row>
    <row r="593" spans="1:15" x14ac:dyDescent="0.45">
      <c r="A593" s="1" t="s">
        <v>16</v>
      </c>
      <c r="B593" s="1">
        <f t="shared" si="41"/>
        <v>185.46899999999999</v>
      </c>
      <c r="C593" s="1" t="str">
        <f t="shared" si="42"/>
        <v>185.469</v>
      </c>
      <c r="D593" s="1" t="str">
        <f t="shared" si="43"/>
        <v>185.469</v>
      </c>
      <c r="E593" s="1" t="str">
        <f>RIGHT(chitar__3[[#This Row],[Column1.2]],LEN(chitar__3[[#This Row],[Column1.2]])-7)</f>
        <v>" string="0" fret="10" palmMute="1" /&gt;</v>
      </c>
      <c r="F593" s="1" t="s">
        <v>378</v>
      </c>
      <c r="G593" s="1"/>
      <c r="H593" s="1"/>
      <c r="I593" s="1"/>
      <c r="J593" s="1"/>
      <c r="L593" s="5" t="s">
        <v>16</v>
      </c>
      <c r="M593" s="3" t="str">
        <f t="shared" si="40"/>
        <v xml:space="preserve">        &lt;note time="185.469" string="1" fret="5" /&gt;</v>
      </c>
      <c r="N593" s="3" t="str">
        <f>chitar__3[[#This Row],[Column1.14]]</f>
        <v>185.469</v>
      </c>
      <c r="O593" s="6" t="s">
        <v>1706</v>
      </c>
    </row>
    <row r="594" spans="1:15" x14ac:dyDescent="0.45">
      <c r="A594" s="1" t="s">
        <v>388</v>
      </c>
      <c r="B594" s="1">
        <f t="shared" si="41"/>
        <v>185.679</v>
      </c>
      <c r="C594" s="1" t="str">
        <f t="shared" si="42"/>
        <v>185.679</v>
      </c>
      <c r="D594" s="1" t="str">
        <f t="shared" si="43"/>
        <v>185.679</v>
      </c>
      <c r="E594" s="1" t="str">
        <f>RIGHT(chitar__3[[#This Row],[Column1.2]],LEN(chitar__3[[#This Row],[Column1.2]])-7)</f>
        <v xml:space="preserve">" chordId="4" &gt;&lt;chordNote </v>
      </c>
      <c r="F594" s="1" t="s">
        <v>617</v>
      </c>
      <c r="G594" s="1" t="s">
        <v>1085</v>
      </c>
      <c r="H594" s="1" t="s">
        <v>1086</v>
      </c>
      <c r="I594" s="1"/>
      <c r="J594" s="1"/>
      <c r="L594" s="2" t="s">
        <v>16</v>
      </c>
      <c r="M594" s="3" t="str">
        <f t="shared" si="40"/>
        <v xml:space="preserve">        &lt;note time="185.679" string="2" fret="5" sustain="0.1" /&gt;</v>
      </c>
      <c r="N594" s="3" t="str">
        <f>chitar__3[[#This Row],[Column1.14]]</f>
        <v>185.679</v>
      </c>
      <c r="O594" s="4" t="s">
        <v>1800</v>
      </c>
    </row>
    <row r="595" spans="1:15" x14ac:dyDescent="0.45">
      <c r="A595" s="1" t="s">
        <v>388</v>
      </c>
      <c r="B595" s="1">
        <f t="shared" si="41"/>
        <v>186.06899999999999</v>
      </c>
      <c r="C595" s="1" t="str">
        <f t="shared" si="42"/>
        <v>186.069</v>
      </c>
      <c r="D595" s="1" t="str">
        <f t="shared" si="43"/>
        <v>186.069</v>
      </c>
      <c r="E595" s="1" t="str">
        <f>RIGHT(chitar__3[[#This Row],[Column1.2]],LEN(chitar__3[[#This Row],[Column1.2]])-7)</f>
        <v xml:space="preserve">" chordId="5" &gt;&lt;chordNote </v>
      </c>
      <c r="F595" s="1" t="s">
        <v>618</v>
      </c>
      <c r="G595" s="1" t="s">
        <v>1087</v>
      </c>
      <c r="H595" s="1" t="s">
        <v>1088</v>
      </c>
      <c r="I595" s="1"/>
      <c r="J595" s="1"/>
    </row>
    <row r="596" spans="1:15" x14ac:dyDescent="0.45">
      <c r="A596" s="1" t="s">
        <v>388</v>
      </c>
      <c r="B596" s="1">
        <f t="shared" si="41"/>
        <v>186.51</v>
      </c>
      <c r="C596" s="1" t="str">
        <f t="shared" si="42"/>
        <v>186.510</v>
      </c>
      <c r="D596" s="1" t="str">
        <f t="shared" si="43"/>
        <v>186.510</v>
      </c>
      <c r="E596" s="1" t="str">
        <f>RIGHT(chitar__3[[#This Row],[Column1.2]],LEN(chitar__3[[#This Row],[Column1.2]])-7)</f>
        <v xml:space="preserve">" chordId="7" &gt;&lt;chordNote </v>
      </c>
      <c r="F596" s="1" t="s">
        <v>619</v>
      </c>
      <c r="G596" s="1" t="s">
        <v>1089</v>
      </c>
      <c r="H596" s="1" t="s">
        <v>1090</v>
      </c>
      <c r="I596" s="1"/>
      <c r="J596" s="1"/>
      <c r="L596" s="5" t="s">
        <v>16</v>
      </c>
      <c r="M596" s="3" t="str">
        <f>L596&amp;"time="""&amp;N596&amp;RIGHT(O596,LEN(O596)-7)</f>
        <v xml:space="preserve">        &lt;note time="186.510" string="1" fret="5" /&gt;</v>
      </c>
      <c r="N596" s="3" t="str">
        <f>chitar__3[[#This Row],[Column1.14]]</f>
        <v>186.510</v>
      </c>
      <c r="O596" s="6" t="s">
        <v>1708</v>
      </c>
    </row>
    <row r="597" spans="1:15" x14ac:dyDescent="0.45">
      <c r="A597" s="1" t="s">
        <v>16</v>
      </c>
      <c r="B597" s="1">
        <f t="shared" si="41"/>
        <v>186.739</v>
      </c>
      <c r="C597" s="1" t="str">
        <f t="shared" si="42"/>
        <v>186.739</v>
      </c>
      <c r="D597" s="1" t="str">
        <f t="shared" si="43"/>
        <v>186.739</v>
      </c>
      <c r="E597" s="1" t="str">
        <f>RIGHT(chitar__3[[#This Row],[Column1.2]],LEN(chitar__3[[#This Row],[Column1.2]])-7)</f>
        <v>" string="0" fret="10" palmMute="1" /&gt;</v>
      </c>
      <c r="F597" s="1" t="s">
        <v>379</v>
      </c>
      <c r="G597" s="1"/>
      <c r="H597" s="1"/>
      <c r="I597" s="1"/>
      <c r="J597" s="1"/>
      <c r="L597" s="2" t="s">
        <v>16</v>
      </c>
      <c r="M597" s="3" t="str">
        <f>L597&amp;"time="""&amp;N597&amp;RIGHT(O597,LEN(O597)-7)</f>
        <v xml:space="preserve">        &lt;note time="186.739" string="1" fret="5" /&gt;</v>
      </c>
      <c r="N597" s="3" t="str">
        <f>chitar__3[[#This Row],[Column1.14]]</f>
        <v>186.739</v>
      </c>
      <c r="O597" s="4" t="s">
        <v>1709</v>
      </c>
    </row>
    <row r="598" spans="1:15" x14ac:dyDescent="0.45">
      <c r="A598" s="1" t="s">
        <v>16</v>
      </c>
      <c r="B598" s="1">
        <f t="shared" si="41"/>
        <v>186.959</v>
      </c>
      <c r="C598" s="1" t="str">
        <f t="shared" si="42"/>
        <v>186.959</v>
      </c>
      <c r="D598" s="1" t="str">
        <f t="shared" si="43"/>
        <v>186.959</v>
      </c>
      <c r="E598" s="1" t="str">
        <f>RIGHT(chitar__3[[#This Row],[Column1.2]],LEN(chitar__3[[#This Row],[Column1.2]])-7)</f>
        <v>" string="0" fret="10" palmMute="1" /&gt;</v>
      </c>
      <c r="F598" s="1" t="s">
        <v>380</v>
      </c>
      <c r="G598" s="1"/>
      <c r="H598" s="1"/>
      <c r="I598" s="1"/>
      <c r="J598" s="1"/>
      <c r="L598" s="5" t="s">
        <v>16</v>
      </c>
      <c r="M598" s="3" t="str">
        <f>L598&amp;"time="""&amp;N598&amp;RIGHT(O598,LEN(O598)-7)</f>
        <v xml:space="preserve">        &lt;note time="186.959" string="1" fret="5" /&gt;</v>
      </c>
      <c r="N598" s="3" t="str">
        <f>chitar__3[[#This Row],[Column1.14]]</f>
        <v>186.959</v>
      </c>
      <c r="O598" s="6" t="s">
        <v>1710</v>
      </c>
    </row>
    <row r="599" spans="1:15" x14ac:dyDescent="0.45">
      <c r="A599" s="1" t="s">
        <v>16</v>
      </c>
      <c r="B599" s="1">
        <f t="shared" si="41"/>
        <v>187.191</v>
      </c>
      <c r="C599" s="1" t="str">
        <f t="shared" si="42"/>
        <v>187.191</v>
      </c>
      <c r="D599" s="1" t="str">
        <f t="shared" si="43"/>
        <v>187.191</v>
      </c>
      <c r="E599" s="1" t="str">
        <f>RIGHT(chitar__3[[#This Row],[Column1.2]],LEN(chitar__3[[#This Row],[Column1.2]])-7)</f>
        <v>" string="0" fret="10" palmMute="1" /&gt;</v>
      </c>
      <c r="F599" s="1" t="s">
        <v>381</v>
      </c>
      <c r="G599" s="1"/>
      <c r="H599" s="1"/>
      <c r="I599" s="1"/>
      <c r="J599" s="1"/>
      <c r="L599" s="2" t="s">
        <v>16</v>
      </c>
      <c r="M599" s="3" t="str">
        <f>L599&amp;"time="""&amp;N599&amp;RIGHT(O599,LEN(O599)-7)</f>
        <v xml:space="preserve">        &lt;note time="187.191" string="1" fret="5" /&gt;</v>
      </c>
      <c r="N599" s="3" t="str">
        <f>chitar__3[[#This Row],[Column1.14]]</f>
        <v>187.191</v>
      </c>
      <c r="O599" s="4" t="s">
        <v>1711</v>
      </c>
    </row>
    <row r="600" spans="1:15" x14ac:dyDescent="0.45">
      <c r="A600" s="1" t="s">
        <v>388</v>
      </c>
      <c r="B600" s="1">
        <f t="shared" si="41"/>
        <v>187.38900000000001</v>
      </c>
      <c r="C600" s="1" t="str">
        <f t="shared" si="42"/>
        <v>187.389</v>
      </c>
      <c r="D600" s="1" t="str">
        <f t="shared" si="43"/>
        <v>187.389</v>
      </c>
      <c r="E600" s="1" t="str">
        <f>RIGHT(chitar__3[[#This Row],[Column1.2]],LEN(chitar__3[[#This Row],[Column1.2]])-7)</f>
        <v xml:space="preserve">" chordId="4" &gt;&lt;chordNote </v>
      </c>
      <c r="F600" s="1" t="s">
        <v>620</v>
      </c>
      <c r="G600" s="1" t="s">
        <v>1091</v>
      </c>
      <c r="H600" s="1" t="s">
        <v>1092</v>
      </c>
      <c r="I600" s="1"/>
      <c r="J600" s="1"/>
      <c r="L600" s="5" t="s">
        <v>16</v>
      </c>
      <c r="M600" s="3" t="str">
        <f>L600&amp;"time="""&amp;N600&amp;RIGHT(O600,LEN(O600)-7)</f>
        <v xml:space="preserve">        &lt;note time="187.389" string="2" fret="5" /&gt;</v>
      </c>
      <c r="N600" s="3" t="str">
        <f>chitar__3[[#This Row],[Column1.14]]</f>
        <v>187.389</v>
      </c>
      <c r="O600" s="6" t="s">
        <v>1712</v>
      </c>
    </row>
    <row r="601" spans="1:15" x14ac:dyDescent="0.45">
      <c r="A601" s="1" t="s">
        <v>388</v>
      </c>
      <c r="B601" s="1">
        <f t="shared" si="41"/>
        <v>187.779</v>
      </c>
      <c r="C601" s="1" t="str">
        <f t="shared" si="42"/>
        <v>187.779</v>
      </c>
      <c r="D601" s="1" t="str">
        <f t="shared" si="43"/>
        <v>187.779</v>
      </c>
      <c r="E601" s="1" t="str">
        <f>RIGHT(chitar__3[[#This Row],[Column1.2]],LEN(chitar__3[[#This Row],[Column1.2]])-7)</f>
        <v xml:space="preserve">" chordId="5" &gt;&lt;chordNote </v>
      </c>
      <c r="F601" s="1" t="s">
        <v>621</v>
      </c>
      <c r="G601" s="1" t="s">
        <v>1093</v>
      </c>
      <c r="H601" s="1" t="s">
        <v>1094</v>
      </c>
      <c r="I601" s="1"/>
      <c r="J601" s="1"/>
      <c r="L601" s="2" t="s">
        <v>16</v>
      </c>
      <c r="M601" s="3" t="str">
        <f>L601&amp;"time="""&amp;N601&amp;RIGHT(O601,LEN(O601)-7)</f>
        <v xml:space="preserve">        &lt;note time="187.779" string="2" fret="3" sustain="0.21" /&gt;</v>
      </c>
      <c r="N601" s="3" t="str">
        <f>chitar__3[[#This Row],[Column1.14]]</f>
        <v>187.779</v>
      </c>
      <c r="O601" s="4" t="s">
        <v>1789</v>
      </c>
    </row>
    <row r="602" spans="1:15" x14ac:dyDescent="0.45">
      <c r="A602" s="1" t="s">
        <v>388</v>
      </c>
      <c r="B602" s="1">
        <f t="shared" si="41"/>
        <v>188.20699999999999</v>
      </c>
      <c r="C602" s="1" t="str">
        <f t="shared" si="42"/>
        <v>188.207</v>
      </c>
      <c r="D602" s="1" t="str">
        <f t="shared" si="43"/>
        <v>188.207</v>
      </c>
      <c r="E602" s="1" t="str">
        <f>RIGHT(chitar__3[[#This Row],[Column1.2]],LEN(chitar__3[[#This Row],[Column1.2]])-7)</f>
        <v xml:space="preserve">" chordId="7" &gt;&lt;chordNote </v>
      </c>
      <c r="F602" s="1" t="s">
        <v>622</v>
      </c>
      <c r="G602" s="1" t="s">
        <v>1095</v>
      </c>
      <c r="H602" s="1" t="s">
        <v>1096</v>
      </c>
      <c r="I602" s="1"/>
      <c r="J602" s="1"/>
      <c r="L602" s="5" t="s">
        <v>16</v>
      </c>
      <c r="M602" s="3" t="str">
        <f>L602&amp;"time="""&amp;N602&amp;RIGHT(O602,LEN(O602)-7)</f>
        <v xml:space="preserve">        &lt;note time="188.207" string="1" fret="5" /&gt;</v>
      </c>
      <c r="N602" s="3" t="str">
        <f>chitar__3[[#This Row],[Column1.14]]</f>
        <v>188.207</v>
      </c>
      <c r="O602" s="6" t="s">
        <v>1714</v>
      </c>
    </row>
    <row r="603" spans="1:15" x14ac:dyDescent="0.45">
      <c r="A603" s="1" t="s">
        <v>16</v>
      </c>
      <c r="B603" s="1">
        <f t="shared" si="41"/>
        <v>188.43600000000001</v>
      </c>
      <c r="C603" s="1" t="str">
        <f t="shared" si="42"/>
        <v>188.436</v>
      </c>
      <c r="D603" s="1" t="str">
        <f t="shared" si="43"/>
        <v>188.436</v>
      </c>
      <c r="E603" s="1" t="str">
        <f>RIGHT(chitar__3[[#This Row],[Column1.2]],LEN(chitar__3[[#This Row],[Column1.2]])-7)</f>
        <v>" string="0" fret="10" palmMute="1" /&gt;</v>
      </c>
      <c r="F603" s="1" t="s">
        <v>382</v>
      </c>
      <c r="G603" s="1"/>
      <c r="H603" s="1"/>
      <c r="I603" s="1"/>
      <c r="J603" s="1"/>
      <c r="L603" s="2" t="s">
        <v>16</v>
      </c>
      <c r="M603" s="3" t="str">
        <f>L603&amp;"time="""&amp;N603&amp;RIGHT(O603,LEN(O603)-7)</f>
        <v xml:space="preserve">        &lt;note time="188.436" string="1" fret="5" /&gt;</v>
      </c>
      <c r="N603" s="3" t="str">
        <f>chitar__3[[#This Row],[Column1.14]]</f>
        <v>188.436</v>
      </c>
      <c r="O603" s="4" t="s">
        <v>1715</v>
      </c>
    </row>
    <row r="604" spans="1:15" x14ac:dyDescent="0.45">
      <c r="A604" s="1" t="s">
        <v>16</v>
      </c>
      <c r="B604" s="1">
        <f t="shared" si="41"/>
        <v>188.65600000000001</v>
      </c>
      <c r="C604" s="1" t="str">
        <f t="shared" si="42"/>
        <v>188.656</v>
      </c>
      <c r="D604" s="1" t="str">
        <f t="shared" si="43"/>
        <v>188.656</v>
      </c>
      <c r="E604" s="1" t="str">
        <f>RIGHT(chitar__3[[#This Row],[Column1.2]],LEN(chitar__3[[#This Row],[Column1.2]])-7)</f>
        <v>" string="0" fret="10" palmMute="1" /&gt;</v>
      </c>
      <c r="F604" s="1" t="s">
        <v>383</v>
      </c>
      <c r="G604" s="1"/>
      <c r="H604" s="1"/>
      <c r="I604" s="1"/>
      <c r="J604" s="1"/>
      <c r="L604" s="5" t="s">
        <v>16</v>
      </c>
      <c r="M604" s="3" t="str">
        <f>L604&amp;"time="""&amp;N604&amp;RIGHT(O604,LEN(O604)-7)</f>
        <v xml:space="preserve">        &lt;note time="188.656" string="1" fret="5" /&gt;</v>
      </c>
      <c r="N604" s="3" t="str">
        <f>chitar__3[[#This Row],[Column1.14]]</f>
        <v>188.656</v>
      </c>
      <c r="O604" s="6" t="s">
        <v>1716</v>
      </c>
    </row>
    <row r="605" spans="1:15" x14ac:dyDescent="0.45">
      <c r="A605" s="1" t="s">
        <v>16</v>
      </c>
      <c r="B605" s="1">
        <f t="shared" si="41"/>
        <v>188.88800000000001</v>
      </c>
      <c r="C605" s="1" t="str">
        <f t="shared" si="42"/>
        <v>188.888</v>
      </c>
      <c r="D605" s="1" t="str">
        <f t="shared" si="43"/>
        <v>188.888</v>
      </c>
      <c r="E605" s="1" t="str">
        <f>RIGHT(chitar__3[[#This Row],[Column1.2]],LEN(chitar__3[[#This Row],[Column1.2]])-7)</f>
        <v>" string="0" fret="10" palmMute="1" /&gt;</v>
      </c>
      <c r="F605" s="1" t="s">
        <v>384</v>
      </c>
      <c r="G605" s="1"/>
      <c r="H605" s="1"/>
      <c r="I605" s="1"/>
      <c r="J605" s="1"/>
      <c r="L605" s="2" t="s">
        <v>16</v>
      </c>
      <c r="M605" s="3" t="str">
        <f>L605&amp;"time="""&amp;N605&amp;RIGHT(O605,LEN(O605)-7)</f>
        <v xml:space="preserve">        &lt;note time="188.888" string="1" fret="5" /&gt;</v>
      </c>
      <c r="N605" s="3" t="str">
        <f>chitar__3[[#This Row],[Column1.14]]</f>
        <v>188.888</v>
      </c>
      <c r="O605" s="4" t="s">
        <v>1717</v>
      </c>
    </row>
    <row r="606" spans="1:15" x14ac:dyDescent="0.45">
      <c r="A606" s="1" t="s">
        <v>388</v>
      </c>
      <c r="B606" s="1">
        <f t="shared" si="41"/>
        <v>189.20599999999999</v>
      </c>
      <c r="C606" s="1" t="str">
        <f t="shared" si="42"/>
        <v>189.206</v>
      </c>
      <c r="D606" s="1" t="str">
        <f t="shared" si="43"/>
        <v>189.206</v>
      </c>
      <c r="E606" s="1" t="str">
        <f>RIGHT(chitar__3[[#This Row],[Column1.2]],LEN(chitar__3[[#This Row],[Column1.2]])-7)</f>
        <v xml:space="preserve">" chordId="4" &gt;&lt;chordNote </v>
      </c>
      <c r="F606" s="1" t="s">
        <v>623</v>
      </c>
      <c r="G606" s="1" t="s">
        <v>1097</v>
      </c>
      <c r="H606" s="1" t="s">
        <v>1098</v>
      </c>
      <c r="I606" s="1"/>
      <c r="J606" s="1"/>
      <c r="L606" s="5" t="s">
        <v>16</v>
      </c>
      <c r="M606" s="3" t="str">
        <f>L606&amp;"time="""&amp;N606&amp;RIGHT(O606,LEN(O606)-7)</f>
        <v xml:space="preserve">        &lt;note time="189.206" string="2" fret="5" /&gt;</v>
      </c>
      <c r="N606" s="3" t="str">
        <f>chitar__3[[#This Row],[Column1.14]]</f>
        <v>189.206</v>
      </c>
      <c r="O606" s="6" t="s">
        <v>1718</v>
      </c>
    </row>
    <row r="607" spans="1:15" x14ac:dyDescent="0.45">
      <c r="A607" s="1" t="s">
        <v>388</v>
      </c>
      <c r="B607" s="1">
        <f t="shared" si="41"/>
        <v>189.596</v>
      </c>
      <c r="C607" s="1" t="str">
        <f t="shared" si="42"/>
        <v>189.596</v>
      </c>
      <c r="D607" s="1" t="str">
        <f t="shared" si="43"/>
        <v>189.596</v>
      </c>
      <c r="E607" s="1" t="str">
        <f>RIGHT(chitar__3[[#This Row],[Column1.2]],LEN(chitar__3[[#This Row],[Column1.2]])-7)</f>
        <v xml:space="preserve">" chordId="5" &gt;&lt;chordNote </v>
      </c>
      <c r="F607" s="1" t="s">
        <v>624</v>
      </c>
      <c r="G607" s="1" t="s">
        <v>1099</v>
      </c>
      <c r="H607" s="1" t="s">
        <v>1100</v>
      </c>
      <c r="I607" s="1"/>
      <c r="J607" s="1"/>
      <c r="L607" s="2" t="s">
        <v>16</v>
      </c>
      <c r="M607" s="3" t="str">
        <f>L607&amp;"time="""&amp;N607&amp;RIGHT(O607,LEN(O607)-7)</f>
        <v xml:space="preserve">        &lt;note time="189.596" string="2" fret="3" sustain="0.21" /&gt;</v>
      </c>
      <c r="N607" s="3" t="str">
        <f>chitar__3[[#This Row],[Column1.14]]</f>
        <v>189.596</v>
      </c>
      <c r="O607" s="4" t="s">
        <v>1790</v>
      </c>
    </row>
    <row r="608" spans="1:15" x14ac:dyDescent="0.45">
      <c r="A608" s="1" t="s">
        <v>388</v>
      </c>
      <c r="B608" s="1">
        <f t="shared" si="41"/>
        <v>190.03700000000001</v>
      </c>
      <c r="C608" s="1" t="str">
        <f t="shared" si="42"/>
        <v>190.037</v>
      </c>
      <c r="D608" s="1" t="str">
        <f t="shared" si="43"/>
        <v>190.037</v>
      </c>
      <c r="E608" s="1" t="str">
        <f>RIGHT(chitar__3[[#This Row],[Column1.2]],LEN(chitar__3[[#This Row],[Column1.2]])-7)</f>
        <v xml:space="preserve">" chordId="7" &gt;&lt;chordNote </v>
      </c>
      <c r="F608" s="1" t="s">
        <v>625</v>
      </c>
      <c r="G608" s="1" t="s">
        <v>1101</v>
      </c>
      <c r="H608" s="1" t="s">
        <v>1102</v>
      </c>
      <c r="I608" s="1"/>
      <c r="J608" s="1"/>
      <c r="L608" s="5" t="s">
        <v>16</v>
      </c>
      <c r="M608" s="3" t="str">
        <f>L608&amp;"time="""&amp;N608&amp;RIGHT(O608,LEN(O608)-7)</f>
        <v xml:space="preserve">        &lt;note time="190.037" string="1" fret="5" /&gt;</v>
      </c>
      <c r="N608" s="3" t="str">
        <f>chitar__3[[#This Row],[Column1.14]]</f>
        <v>190.037</v>
      </c>
      <c r="O608" s="6" t="s">
        <v>1720</v>
      </c>
    </row>
    <row r="609" spans="1:15" x14ac:dyDescent="0.45">
      <c r="A609" s="1" t="s">
        <v>16</v>
      </c>
      <c r="B609" s="1">
        <f t="shared" si="41"/>
        <v>190.26599999999999</v>
      </c>
      <c r="C609" s="1" t="str">
        <f t="shared" si="42"/>
        <v>190.266</v>
      </c>
      <c r="D609" s="1" t="str">
        <f t="shared" si="43"/>
        <v>190.266</v>
      </c>
      <c r="E609" s="1" t="str">
        <f>RIGHT(chitar__3[[#This Row],[Column1.2]],LEN(chitar__3[[#This Row],[Column1.2]])-7)</f>
        <v>" string="0" fret="10" palmMute="1" /&gt;</v>
      </c>
      <c r="F609" s="1" t="s">
        <v>385</v>
      </c>
      <c r="G609" s="1"/>
      <c r="H609" s="1"/>
      <c r="I609" s="1"/>
      <c r="J609" s="1"/>
      <c r="L609" s="2" t="s">
        <v>16</v>
      </c>
      <c r="M609" s="3" t="str">
        <f>L609&amp;"time="""&amp;N609&amp;RIGHT(O609,LEN(O609)-7)</f>
        <v xml:space="preserve">        &lt;note time="190.266" string="1" fret="5" /&gt;</v>
      </c>
      <c r="N609" s="3" t="str">
        <f>chitar__3[[#This Row],[Column1.14]]</f>
        <v>190.266</v>
      </c>
      <c r="O609" s="4" t="s">
        <v>1721</v>
      </c>
    </row>
    <row r="610" spans="1:15" x14ac:dyDescent="0.45">
      <c r="A610" s="1" t="s">
        <v>16</v>
      </c>
      <c r="B610" s="1">
        <f t="shared" si="41"/>
        <v>190.48599999999999</v>
      </c>
      <c r="C610" s="1" t="str">
        <f t="shared" si="42"/>
        <v>190.486</v>
      </c>
      <c r="D610" s="1" t="str">
        <f t="shared" si="43"/>
        <v>190.486</v>
      </c>
      <c r="E610" s="1" t="str">
        <f>RIGHT(chitar__3[[#This Row],[Column1.2]],LEN(chitar__3[[#This Row],[Column1.2]])-7)</f>
        <v>" string="0" fret="10" palmMute="1" /&gt;</v>
      </c>
      <c r="F610" s="1" t="s">
        <v>386</v>
      </c>
      <c r="G610" s="1"/>
      <c r="H610" s="1"/>
      <c r="I610" s="1"/>
      <c r="J610" s="1"/>
      <c r="L610" s="5" t="s">
        <v>16</v>
      </c>
      <c r="M610" s="3" t="str">
        <f>L610&amp;"time="""&amp;N610&amp;RIGHT(O610,LEN(O610)-7)</f>
        <v xml:space="preserve">        &lt;note time="190.486" string="1" fret="5" /&gt;</v>
      </c>
      <c r="N610" s="3" t="str">
        <f>chitar__3[[#This Row],[Column1.14]]</f>
        <v>190.486</v>
      </c>
      <c r="O610" s="6" t="s">
        <v>1722</v>
      </c>
    </row>
    <row r="611" spans="1:15" x14ac:dyDescent="0.45">
      <c r="A611" s="1" t="s">
        <v>16</v>
      </c>
      <c r="B611" s="1">
        <f t="shared" si="41"/>
        <v>190.71799999999999</v>
      </c>
      <c r="C611" s="1" t="str">
        <f t="shared" si="42"/>
        <v>190.718</v>
      </c>
      <c r="D611" s="1" t="str">
        <f t="shared" si="43"/>
        <v>190.718</v>
      </c>
      <c r="E611" s="1" t="str">
        <f>RIGHT(chitar__3[[#This Row],[Column1.2]],LEN(chitar__3[[#This Row],[Column1.2]])-7)</f>
        <v>" string="0" fret="10" palmMute="1" /&gt;</v>
      </c>
      <c r="F611" s="1" t="s">
        <v>387</v>
      </c>
      <c r="G611" s="1"/>
      <c r="H611" s="1"/>
      <c r="I611" s="1"/>
      <c r="J611" s="1"/>
      <c r="L611" s="2" t="s">
        <v>16</v>
      </c>
      <c r="M611" s="3" t="str">
        <f>L611&amp;"time="""&amp;N611&amp;RIGHT(O611,LEN(O611)-7)</f>
        <v xml:space="preserve">        &lt;note time="190.718" string="1" fret="5" /&gt;</v>
      </c>
      <c r="N611" s="3" t="str">
        <f>chitar__3[[#This Row],[Column1.14]]</f>
        <v>190.718</v>
      </c>
      <c r="O611" s="4" t="s">
        <v>1723</v>
      </c>
    </row>
    <row r="612" spans="1:15" x14ac:dyDescent="0.45">
      <c r="A612" s="1" t="s">
        <v>388</v>
      </c>
      <c r="B612" s="1">
        <f t="shared" si="41"/>
        <v>190.94200000000001</v>
      </c>
      <c r="C612" s="1" t="str">
        <f t="shared" si="42"/>
        <v>190.942</v>
      </c>
      <c r="D612" s="1" t="str">
        <f t="shared" si="43"/>
        <v>190.942</v>
      </c>
      <c r="E612" s="1" t="str">
        <f>RIGHT(chitar__3[[#This Row],[Column1.2]],LEN(chitar__3[[#This Row],[Column1.2]])-7)</f>
        <v xml:space="preserve">" chordId="6" &gt;&lt;chordNote </v>
      </c>
      <c r="F612" s="1" t="s">
        <v>626</v>
      </c>
      <c r="G612" s="1" t="s">
        <v>1103</v>
      </c>
      <c r="H612" s="1" t="s">
        <v>1104</v>
      </c>
      <c r="I612" s="1"/>
      <c r="J612" s="1"/>
      <c r="L612" s="5" t="s">
        <v>16</v>
      </c>
      <c r="M612" s="3" t="str">
        <f>L612&amp;"time="""&amp;N612&amp;RIGHT(O612,LEN(O612)-7)</f>
        <v xml:space="preserve">        &lt;note time="190.942" string="1" fret="3" /&gt;</v>
      </c>
      <c r="N612" s="3" t="str">
        <f>chitar__3[[#This Row],[Column1.14]]</f>
        <v>190.942</v>
      </c>
      <c r="O612" s="6" t="s">
        <v>1724</v>
      </c>
    </row>
    <row r="613" spans="1:15" x14ac:dyDescent="0.45">
      <c r="A613" s="1" t="s">
        <v>388</v>
      </c>
      <c r="B613" s="1">
        <f t="shared" si="41"/>
        <v>191.16200000000001</v>
      </c>
      <c r="C613" s="1" t="str">
        <f t="shared" si="42"/>
        <v>191.162</v>
      </c>
      <c r="D613" s="1" t="str">
        <f t="shared" si="43"/>
        <v>191.162</v>
      </c>
      <c r="E613" s="1" t="str">
        <f>RIGHT(chitar__3[[#This Row],[Column1.2]],LEN(chitar__3[[#This Row],[Column1.2]])-7)</f>
        <v xml:space="preserve">" chordId="6" highDensity="1" &gt;&lt;chordNote </v>
      </c>
      <c r="F613" s="1" t="s">
        <v>627</v>
      </c>
      <c r="G613" s="1" t="s">
        <v>1105</v>
      </c>
      <c r="H613" s="1" t="s">
        <v>1106</v>
      </c>
      <c r="I613" s="1"/>
      <c r="J613" s="1"/>
      <c r="L613" s="2" t="s">
        <v>16</v>
      </c>
      <c r="M613" s="3" t="str">
        <f>L613&amp;"time="""&amp;N613&amp;RIGHT(O613,LEN(O613)-7)</f>
        <v xml:space="preserve">        &lt;note time="191.162" string="1" fret="3" /&gt;</v>
      </c>
      <c r="N613" s="3" t="str">
        <f>chitar__3[[#This Row],[Column1.14]]</f>
        <v>191.162</v>
      </c>
      <c r="O613" s="4" t="s">
        <v>1725</v>
      </c>
    </row>
    <row r="614" spans="1:15" x14ac:dyDescent="0.45">
      <c r="A614" s="1" t="s">
        <v>388</v>
      </c>
      <c r="B614" s="1">
        <f t="shared" si="41"/>
        <v>191.38200000000001</v>
      </c>
      <c r="C614" s="1" t="str">
        <f t="shared" si="42"/>
        <v>191.382</v>
      </c>
      <c r="D614" s="1" t="str">
        <f t="shared" si="43"/>
        <v>191.382</v>
      </c>
      <c r="E614" s="1" t="str">
        <f>RIGHT(chitar__3[[#This Row],[Column1.2]],LEN(chitar__3[[#This Row],[Column1.2]])-7)</f>
        <v xml:space="preserve">" chordId="7" &gt;&lt;chordNote </v>
      </c>
      <c r="F614" s="1" t="s">
        <v>628</v>
      </c>
      <c r="G614" s="1" t="s">
        <v>1107</v>
      </c>
      <c r="H614" s="1" t="s">
        <v>1108</v>
      </c>
      <c r="I614" s="1"/>
      <c r="J614" s="1"/>
      <c r="L614" s="5" t="s">
        <v>16</v>
      </c>
      <c r="M614" s="3" t="str">
        <f>L614&amp;"time="""&amp;N614&amp;RIGHT(O614,LEN(O614)-7)</f>
        <v xml:space="preserve">        &lt;note time="191.382" string="1" fret="5" sustain="2.250" /&gt;</v>
      </c>
      <c r="N614" s="3" t="str">
        <f>chitar__3[[#This Row],[Column1.14]]</f>
        <v>191.382</v>
      </c>
      <c r="O614" s="6" t="s">
        <v>1726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C90F-854D-4E84-840F-54AD39BBD20A}">
  <dimension ref="A1:B611"/>
  <sheetViews>
    <sheetView topLeftCell="A595" workbookViewId="0">
      <selection activeCell="B639" sqref="B639"/>
    </sheetView>
  </sheetViews>
  <sheetFormatPr defaultRowHeight="14.25" x14ac:dyDescent="0.45"/>
  <cols>
    <col min="1" max="1" width="11.73046875" bestFit="1" customWidth="1"/>
    <col min="2" max="2" width="38.929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 t="s">
        <v>1116</v>
      </c>
      <c r="B2" s="1" t="s">
        <v>1117</v>
      </c>
    </row>
    <row r="3" spans="1:2" x14ac:dyDescent="0.45">
      <c r="A3" s="1" t="s">
        <v>16</v>
      </c>
      <c r="B3" s="1" t="s">
        <v>1118</v>
      </c>
    </row>
    <row r="4" spans="1:2" x14ac:dyDescent="0.45">
      <c r="A4" s="1" t="s">
        <v>16</v>
      </c>
      <c r="B4" s="1" t="s">
        <v>1119</v>
      </c>
    </row>
    <row r="5" spans="1:2" x14ac:dyDescent="0.45">
      <c r="A5" s="1" t="s">
        <v>16</v>
      </c>
      <c r="B5" s="1" t="s">
        <v>1120</v>
      </c>
    </row>
    <row r="6" spans="1:2" x14ac:dyDescent="0.45">
      <c r="A6" s="1" t="s">
        <v>16</v>
      </c>
      <c r="B6" s="1" t="s">
        <v>1121</v>
      </c>
    </row>
    <row r="7" spans="1:2" x14ac:dyDescent="0.45">
      <c r="A7" s="1" t="s">
        <v>16</v>
      </c>
      <c r="B7" s="1" t="s">
        <v>1122</v>
      </c>
    </row>
    <row r="8" spans="1:2" x14ac:dyDescent="0.45">
      <c r="A8" s="1" t="s">
        <v>16</v>
      </c>
      <c r="B8" s="1" t="s">
        <v>1123</v>
      </c>
    </row>
    <row r="9" spans="1:2" x14ac:dyDescent="0.45">
      <c r="A9" s="1" t="s">
        <v>16</v>
      </c>
      <c r="B9" s="1" t="s">
        <v>1124</v>
      </c>
    </row>
    <row r="10" spans="1:2" x14ac:dyDescent="0.45">
      <c r="A10" s="1" t="s">
        <v>16</v>
      </c>
      <c r="B10" s="1" t="s">
        <v>1125</v>
      </c>
    </row>
    <row r="11" spans="1:2" x14ac:dyDescent="0.45">
      <c r="A11" s="1" t="s">
        <v>16</v>
      </c>
      <c r="B11" s="1" t="s">
        <v>1126</v>
      </c>
    </row>
    <row r="12" spans="1:2" x14ac:dyDescent="0.45">
      <c r="A12" s="1" t="s">
        <v>16</v>
      </c>
      <c r="B12" s="1" t="s">
        <v>1127</v>
      </c>
    </row>
    <row r="13" spans="1:2" x14ac:dyDescent="0.45">
      <c r="A13" s="1" t="s">
        <v>16</v>
      </c>
      <c r="B13" s="1" t="s">
        <v>1128</v>
      </c>
    </row>
    <row r="14" spans="1:2" x14ac:dyDescent="0.45">
      <c r="A14" s="1" t="s">
        <v>16</v>
      </c>
      <c r="B14" s="1" t="s">
        <v>1129</v>
      </c>
    </row>
    <row r="15" spans="1:2" x14ac:dyDescent="0.45">
      <c r="A15" s="1" t="s">
        <v>16</v>
      </c>
      <c r="B15" s="1" t="s">
        <v>1130</v>
      </c>
    </row>
    <row r="16" spans="1:2" x14ac:dyDescent="0.45">
      <c r="A16" s="1" t="s">
        <v>16</v>
      </c>
      <c r="B16" s="1" t="s">
        <v>1131</v>
      </c>
    </row>
    <row r="17" spans="1:2" x14ac:dyDescent="0.45">
      <c r="A17" s="1" t="s">
        <v>16</v>
      </c>
      <c r="B17" s="1" t="s">
        <v>1132</v>
      </c>
    </row>
    <row r="18" spans="1:2" x14ac:dyDescent="0.45">
      <c r="A18" s="1" t="s">
        <v>16</v>
      </c>
      <c r="B18" s="1" t="s">
        <v>1133</v>
      </c>
    </row>
    <row r="19" spans="1:2" x14ac:dyDescent="0.45">
      <c r="A19" s="1" t="s">
        <v>16</v>
      </c>
      <c r="B19" s="1" t="s">
        <v>1134</v>
      </c>
    </row>
    <row r="20" spans="1:2" x14ac:dyDescent="0.45">
      <c r="A20" s="1" t="s">
        <v>16</v>
      </c>
      <c r="B20" s="1" t="s">
        <v>1135</v>
      </c>
    </row>
    <row r="21" spans="1:2" x14ac:dyDescent="0.45">
      <c r="A21" s="1" t="s">
        <v>16</v>
      </c>
      <c r="B21" s="1" t="s">
        <v>1136</v>
      </c>
    </row>
    <row r="22" spans="1:2" x14ac:dyDescent="0.45">
      <c r="A22" s="1" t="s">
        <v>16</v>
      </c>
      <c r="B22" s="1" t="s">
        <v>1137</v>
      </c>
    </row>
    <row r="23" spans="1:2" x14ac:dyDescent="0.45">
      <c r="A23" s="1" t="s">
        <v>16</v>
      </c>
      <c r="B23" s="1" t="s">
        <v>1138</v>
      </c>
    </row>
    <row r="24" spans="1:2" x14ac:dyDescent="0.45">
      <c r="A24" s="1" t="s">
        <v>16</v>
      </c>
      <c r="B24" s="1" t="s">
        <v>1139</v>
      </c>
    </row>
    <row r="25" spans="1:2" x14ac:dyDescent="0.45">
      <c r="A25" s="1" t="s">
        <v>16</v>
      </c>
      <c r="B25" s="1" t="s">
        <v>1140</v>
      </c>
    </row>
    <row r="26" spans="1:2" x14ac:dyDescent="0.45">
      <c r="A26" s="1" t="s">
        <v>16</v>
      </c>
      <c r="B26" s="1" t="s">
        <v>1141</v>
      </c>
    </row>
    <row r="27" spans="1:2" x14ac:dyDescent="0.45">
      <c r="A27" s="1" t="s">
        <v>16</v>
      </c>
      <c r="B27" s="1" t="s">
        <v>1142</v>
      </c>
    </row>
    <row r="28" spans="1:2" x14ac:dyDescent="0.45">
      <c r="A28" s="1" t="s">
        <v>16</v>
      </c>
      <c r="B28" s="1" t="s">
        <v>1143</v>
      </c>
    </row>
    <row r="29" spans="1:2" x14ac:dyDescent="0.45">
      <c r="A29" s="1" t="s">
        <v>16</v>
      </c>
      <c r="B29" s="1" t="s">
        <v>1144</v>
      </c>
    </row>
    <row r="30" spans="1:2" x14ac:dyDescent="0.45">
      <c r="A30" s="1" t="s">
        <v>16</v>
      </c>
      <c r="B30" s="1" t="s">
        <v>1145</v>
      </c>
    </row>
    <row r="31" spans="1:2" x14ac:dyDescent="0.45">
      <c r="A31" s="1" t="s">
        <v>16</v>
      </c>
      <c r="B31" s="1" t="s">
        <v>1146</v>
      </c>
    </row>
    <row r="32" spans="1:2" x14ac:dyDescent="0.45">
      <c r="A32" s="1" t="s">
        <v>16</v>
      </c>
      <c r="B32" s="1" t="s">
        <v>1147</v>
      </c>
    </row>
    <row r="33" spans="1:2" x14ac:dyDescent="0.45">
      <c r="A33" s="1" t="s">
        <v>16</v>
      </c>
      <c r="B33" s="1" t="s">
        <v>1148</v>
      </c>
    </row>
    <row r="34" spans="1:2" x14ac:dyDescent="0.45">
      <c r="A34" s="1" t="s">
        <v>16</v>
      </c>
      <c r="B34" s="1" t="s">
        <v>1149</v>
      </c>
    </row>
    <row r="35" spans="1:2" x14ac:dyDescent="0.45">
      <c r="A35" s="1" t="s">
        <v>16</v>
      </c>
      <c r="B35" s="1" t="s">
        <v>1150</v>
      </c>
    </row>
    <row r="36" spans="1:2" x14ac:dyDescent="0.45">
      <c r="A36" s="1" t="s">
        <v>16</v>
      </c>
      <c r="B36" s="1" t="s">
        <v>1151</v>
      </c>
    </row>
    <row r="37" spans="1:2" x14ac:dyDescent="0.45">
      <c r="A37" s="1" t="s">
        <v>16</v>
      </c>
      <c r="B37" s="1" t="s">
        <v>1152</v>
      </c>
    </row>
    <row r="38" spans="1:2" x14ac:dyDescent="0.45">
      <c r="A38" s="1" t="s">
        <v>16</v>
      </c>
      <c r="B38" s="1" t="s">
        <v>1153</v>
      </c>
    </row>
    <row r="39" spans="1:2" x14ac:dyDescent="0.45">
      <c r="A39" s="1" t="s">
        <v>16</v>
      </c>
      <c r="B39" s="1" t="s">
        <v>1154</v>
      </c>
    </row>
    <row r="40" spans="1:2" x14ac:dyDescent="0.45">
      <c r="A40" s="1" t="s">
        <v>16</v>
      </c>
      <c r="B40" s="1" t="s">
        <v>1155</v>
      </c>
    </row>
    <row r="41" spans="1:2" x14ac:dyDescent="0.45">
      <c r="A41" s="1" t="s">
        <v>16</v>
      </c>
      <c r="B41" s="1" t="s">
        <v>1156</v>
      </c>
    </row>
    <row r="42" spans="1:2" x14ac:dyDescent="0.45">
      <c r="A42" s="1" t="s">
        <v>16</v>
      </c>
      <c r="B42" s="1" t="s">
        <v>1157</v>
      </c>
    </row>
    <row r="43" spans="1:2" x14ac:dyDescent="0.45">
      <c r="A43" s="1" t="s">
        <v>16</v>
      </c>
      <c r="B43" s="1" t="s">
        <v>1158</v>
      </c>
    </row>
    <row r="44" spans="1:2" x14ac:dyDescent="0.45">
      <c r="A44" s="1" t="s">
        <v>16</v>
      </c>
      <c r="B44" s="1" t="s">
        <v>1159</v>
      </c>
    </row>
    <row r="45" spans="1:2" x14ac:dyDescent="0.45">
      <c r="A45" s="1" t="s">
        <v>16</v>
      </c>
      <c r="B45" s="1" t="s">
        <v>1160</v>
      </c>
    </row>
    <row r="46" spans="1:2" x14ac:dyDescent="0.45">
      <c r="A46" s="1" t="s">
        <v>16</v>
      </c>
      <c r="B46" s="1" t="s">
        <v>1161</v>
      </c>
    </row>
    <row r="47" spans="1:2" x14ac:dyDescent="0.45">
      <c r="A47" s="1" t="s">
        <v>16</v>
      </c>
      <c r="B47" s="1" t="s">
        <v>1162</v>
      </c>
    </row>
    <row r="48" spans="1:2" x14ac:dyDescent="0.45">
      <c r="A48" s="1" t="s">
        <v>16</v>
      </c>
      <c r="B48" s="1" t="s">
        <v>1163</v>
      </c>
    </row>
    <row r="49" spans="1:2" x14ac:dyDescent="0.45">
      <c r="A49" s="1" t="s">
        <v>16</v>
      </c>
      <c r="B49" s="1" t="s">
        <v>1164</v>
      </c>
    </row>
    <row r="50" spans="1:2" x14ac:dyDescent="0.45">
      <c r="A50" s="1" t="s">
        <v>16</v>
      </c>
      <c r="B50" s="1" t="s">
        <v>1165</v>
      </c>
    </row>
    <row r="51" spans="1:2" x14ac:dyDescent="0.45">
      <c r="A51" s="1" t="s">
        <v>16</v>
      </c>
      <c r="B51" s="1" t="s">
        <v>1166</v>
      </c>
    </row>
    <row r="52" spans="1:2" x14ac:dyDescent="0.45">
      <c r="A52" s="1" t="s">
        <v>16</v>
      </c>
      <c r="B52" s="1" t="s">
        <v>1167</v>
      </c>
    </row>
    <row r="53" spans="1:2" x14ac:dyDescent="0.45">
      <c r="A53" s="1" t="s">
        <v>16</v>
      </c>
      <c r="B53" s="1" t="s">
        <v>1168</v>
      </c>
    </row>
    <row r="54" spans="1:2" x14ac:dyDescent="0.45">
      <c r="A54" s="1" t="s">
        <v>16</v>
      </c>
      <c r="B54" s="1" t="s">
        <v>1169</v>
      </c>
    </row>
    <row r="55" spans="1:2" x14ac:dyDescent="0.45">
      <c r="A55" s="1" t="s">
        <v>16</v>
      </c>
      <c r="B55" s="1" t="s">
        <v>1170</v>
      </c>
    </row>
    <row r="56" spans="1:2" x14ac:dyDescent="0.45">
      <c r="A56" s="1" t="s">
        <v>16</v>
      </c>
      <c r="B56" s="1" t="s">
        <v>1171</v>
      </c>
    </row>
    <row r="57" spans="1:2" x14ac:dyDescent="0.45">
      <c r="A57" s="1" t="s">
        <v>16</v>
      </c>
      <c r="B57" s="1" t="s">
        <v>1172</v>
      </c>
    </row>
    <row r="58" spans="1:2" x14ac:dyDescent="0.45">
      <c r="A58" s="1" t="s">
        <v>16</v>
      </c>
      <c r="B58" s="1" t="s">
        <v>1173</v>
      </c>
    </row>
    <row r="59" spans="1:2" x14ac:dyDescent="0.45">
      <c r="A59" s="1" t="s">
        <v>16</v>
      </c>
      <c r="B59" s="1" t="s">
        <v>1174</v>
      </c>
    </row>
    <row r="60" spans="1:2" x14ac:dyDescent="0.45">
      <c r="A60" s="1" t="s">
        <v>16</v>
      </c>
      <c r="B60" s="1" t="s">
        <v>1175</v>
      </c>
    </row>
    <row r="61" spans="1:2" x14ac:dyDescent="0.45">
      <c r="A61" s="1" t="s">
        <v>16</v>
      </c>
      <c r="B61" s="1" t="s">
        <v>1176</v>
      </c>
    </row>
    <row r="62" spans="1:2" x14ac:dyDescent="0.45">
      <c r="A62" s="1" t="s">
        <v>16</v>
      </c>
      <c r="B62" s="1" t="s">
        <v>1177</v>
      </c>
    </row>
    <row r="63" spans="1:2" x14ac:dyDescent="0.45">
      <c r="A63" s="1" t="s">
        <v>16</v>
      </c>
      <c r="B63" s="1" t="s">
        <v>1178</v>
      </c>
    </row>
    <row r="64" spans="1:2" x14ac:dyDescent="0.45">
      <c r="A64" s="1" t="s">
        <v>16</v>
      </c>
      <c r="B64" s="1" t="s">
        <v>1179</v>
      </c>
    </row>
    <row r="65" spans="1:2" x14ac:dyDescent="0.45">
      <c r="A65" s="1" t="s">
        <v>16</v>
      </c>
      <c r="B65" s="1" t="s">
        <v>1180</v>
      </c>
    </row>
    <row r="66" spans="1:2" x14ac:dyDescent="0.45">
      <c r="A66" s="1" t="s">
        <v>16</v>
      </c>
      <c r="B66" s="1" t="s">
        <v>1181</v>
      </c>
    </row>
    <row r="67" spans="1:2" x14ac:dyDescent="0.45">
      <c r="A67" s="1" t="s">
        <v>16</v>
      </c>
      <c r="B67" s="1" t="s">
        <v>1182</v>
      </c>
    </row>
    <row r="68" spans="1:2" x14ac:dyDescent="0.45">
      <c r="A68" s="1" t="s">
        <v>16</v>
      </c>
      <c r="B68" s="1" t="s">
        <v>1183</v>
      </c>
    </row>
    <row r="69" spans="1:2" x14ac:dyDescent="0.45">
      <c r="A69" s="1" t="s">
        <v>16</v>
      </c>
      <c r="B69" s="1" t="s">
        <v>1184</v>
      </c>
    </row>
    <row r="70" spans="1:2" x14ac:dyDescent="0.45">
      <c r="A70" s="1" t="s">
        <v>16</v>
      </c>
      <c r="B70" s="1" t="s">
        <v>1185</v>
      </c>
    </row>
    <row r="71" spans="1:2" x14ac:dyDescent="0.45">
      <c r="A71" s="1" t="s">
        <v>16</v>
      </c>
      <c r="B71" s="1" t="s">
        <v>1186</v>
      </c>
    </row>
    <row r="72" spans="1:2" x14ac:dyDescent="0.45">
      <c r="A72" s="1" t="s">
        <v>16</v>
      </c>
      <c r="B72" s="1" t="s">
        <v>1187</v>
      </c>
    </row>
    <row r="73" spans="1:2" x14ac:dyDescent="0.45">
      <c r="A73" s="1" t="s">
        <v>16</v>
      </c>
      <c r="B73" s="1" t="s">
        <v>1188</v>
      </c>
    </row>
    <row r="74" spans="1:2" x14ac:dyDescent="0.45">
      <c r="A74" s="1" t="s">
        <v>16</v>
      </c>
      <c r="B74" s="1" t="s">
        <v>1189</v>
      </c>
    </row>
    <row r="75" spans="1:2" x14ac:dyDescent="0.45">
      <c r="A75" s="1" t="s">
        <v>16</v>
      </c>
      <c r="B75" s="1" t="s">
        <v>1190</v>
      </c>
    </row>
    <row r="76" spans="1:2" x14ac:dyDescent="0.45">
      <c r="A76" s="1" t="s">
        <v>16</v>
      </c>
      <c r="B76" s="1" t="s">
        <v>1191</v>
      </c>
    </row>
    <row r="77" spans="1:2" x14ac:dyDescent="0.45">
      <c r="A77" s="1" t="s">
        <v>16</v>
      </c>
      <c r="B77" s="1" t="s">
        <v>1192</v>
      </c>
    </row>
    <row r="78" spans="1:2" x14ac:dyDescent="0.45">
      <c r="A78" s="1" t="s">
        <v>16</v>
      </c>
      <c r="B78" s="1" t="s">
        <v>1193</v>
      </c>
    </row>
    <row r="79" spans="1:2" x14ac:dyDescent="0.45">
      <c r="A79" s="1" t="s">
        <v>16</v>
      </c>
      <c r="B79" s="1" t="s">
        <v>1194</v>
      </c>
    </row>
    <row r="80" spans="1:2" x14ac:dyDescent="0.45">
      <c r="A80" s="1" t="s">
        <v>16</v>
      </c>
      <c r="B80" s="1" t="s">
        <v>1195</v>
      </c>
    </row>
    <row r="81" spans="1:2" x14ac:dyDescent="0.45">
      <c r="A81" s="1" t="s">
        <v>16</v>
      </c>
      <c r="B81" s="1" t="s">
        <v>1196</v>
      </c>
    </row>
    <row r="82" spans="1:2" x14ac:dyDescent="0.45">
      <c r="A82" s="1" t="s">
        <v>16</v>
      </c>
      <c r="B82" s="1" t="s">
        <v>1197</v>
      </c>
    </row>
    <row r="83" spans="1:2" x14ac:dyDescent="0.45">
      <c r="A83" s="1" t="s">
        <v>16</v>
      </c>
      <c r="B83" s="1" t="s">
        <v>1198</v>
      </c>
    </row>
    <row r="84" spans="1:2" x14ac:dyDescent="0.45">
      <c r="A84" s="1" t="s">
        <v>16</v>
      </c>
      <c r="B84" s="1" t="s">
        <v>1199</v>
      </c>
    </row>
    <row r="85" spans="1:2" x14ac:dyDescent="0.45">
      <c r="A85" s="1" t="s">
        <v>16</v>
      </c>
      <c r="B85" s="1" t="s">
        <v>1200</v>
      </c>
    </row>
    <row r="86" spans="1:2" x14ac:dyDescent="0.45">
      <c r="A86" s="1" t="s">
        <v>16</v>
      </c>
      <c r="B86" s="1" t="s">
        <v>1201</v>
      </c>
    </row>
    <row r="87" spans="1:2" x14ac:dyDescent="0.45">
      <c r="A87" s="1" t="s">
        <v>16</v>
      </c>
      <c r="B87" s="1" t="s">
        <v>1202</v>
      </c>
    </row>
    <row r="88" spans="1:2" x14ac:dyDescent="0.45">
      <c r="A88" s="1" t="s">
        <v>16</v>
      </c>
      <c r="B88" s="1" t="s">
        <v>1203</v>
      </c>
    </row>
    <row r="89" spans="1:2" x14ac:dyDescent="0.45">
      <c r="A89" s="1" t="s">
        <v>16</v>
      </c>
      <c r="B89" s="1" t="s">
        <v>1204</v>
      </c>
    </row>
    <row r="90" spans="1:2" x14ac:dyDescent="0.45">
      <c r="A90" s="1" t="s">
        <v>16</v>
      </c>
      <c r="B90" s="1" t="s">
        <v>1205</v>
      </c>
    </row>
    <row r="91" spans="1:2" x14ac:dyDescent="0.45">
      <c r="A91" s="1" t="s">
        <v>16</v>
      </c>
      <c r="B91" s="1" t="s">
        <v>1206</v>
      </c>
    </row>
    <row r="92" spans="1:2" x14ac:dyDescent="0.45">
      <c r="A92" s="1" t="s">
        <v>16</v>
      </c>
      <c r="B92" s="1" t="s">
        <v>1207</v>
      </c>
    </row>
    <row r="93" spans="1:2" x14ac:dyDescent="0.45">
      <c r="A93" s="1" t="s">
        <v>16</v>
      </c>
      <c r="B93" s="1" t="s">
        <v>1208</v>
      </c>
    </row>
    <row r="94" spans="1:2" x14ac:dyDescent="0.45">
      <c r="A94" s="1" t="s">
        <v>16</v>
      </c>
      <c r="B94" s="1" t="s">
        <v>1209</v>
      </c>
    </row>
    <row r="95" spans="1:2" x14ac:dyDescent="0.45">
      <c r="A95" s="1" t="s">
        <v>16</v>
      </c>
      <c r="B95" s="1" t="s">
        <v>1210</v>
      </c>
    </row>
    <row r="96" spans="1:2" x14ac:dyDescent="0.45">
      <c r="A96" s="1" t="s">
        <v>16</v>
      </c>
      <c r="B96" s="1" t="s">
        <v>1211</v>
      </c>
    </row>
    <row r="97" spans="1:2" x14ac:dyDescent="0.45">
      <c r="A97" s="1" t="s">
        <v>16</v>
      </c>
      <c r="B97" s="1" t="s">
        <v>1212</v>
      </c>
    </row>
    <row r="98" spans="1:2" x14ac:dyDescent="0.45">
      <c r="A98" s="1" t="s">
        <v>16</v>
      </c>
      <c r="B98" s="1" t="s">
        <v>1213</v>
      </c>
    </row>
    <row r="99" spans="1:2" x14ac:dyDescent="0.45">
      <c r="A99" s="1" t="s">
        <v>16</v>
      </c>
      <c r="B99" s="1" t="s">
        <v>1214</v>
      </c>
    </row>
    <row r="100" spans="1:2" x14ac:dyDescent="0.45">
      <c r="A100" s="1" t="s">
        <v>16</v>
      </c>
      <c r="B100" s="1" t="s">
        <v>1215</v>
      </c>
    </row>
    <row r="101" spans="1:2" x14ac:dyDescent="0.45">
      <c r="A101" s="1" t="s">
        <v>16</v>
      </c>
      <c r="B101" s="1" t="s">
        <v>1216</v>
      </c>
    </row>
    <row r="102" spans="1:2" x14ac:dyDescent="0.45">
      <c r="A102" s="1" t="s">
        <v>16</v>
      </c>
      <c r="B102" s="1" t="s">
        <v>1217</v>
      </c>
    </row>
    <row r="103" spans="1:2" x14ac:dyDescent="0.45">
      <c r="A103" s="1" t="s">
        <v>16</v>
      </c>
      <c r="B103" s="1" t="s">
        <v>1218</v>
      </c>
    </row>
    <row r="104" spans="1:2" x14ac:dyDescent="0.45">
      <c r="A104" s="1" t="s">
        <v>16</v>
      </c>
      <c r="B104" s="1" t="s">
        <v>1219</v>
      </c>
    </row>
    <row r="105" spans="1:2" x14ac:dyDescent="0.45">
      <c r="A105" s="1" t="s">
        <v>16</v>
      </c>
      <c r="B105" s="1" t="s">
        <v>1220</v>
      </c>
    </row>
    <row r="106" spans="1:2" x14ac:dyDescent="0.45">
      <c r="A106" s="1" t="s">
        <v>16</v>
      </c>
      <c r="B106" s="1" t="s">
        <v>1221</v>
      </c>
    </row>
    <row r="107" spans="1:2" x14ac:dyDescent="0.45">
      <c r="A107" s="1" t="s">
        <v>16</v>
      </c>
      <c r="B107" s="1" t="s">
        <v>1222</v>
      </c>
    </row>
    <row r="108" spans="1:2" x14ac:dyDescent="0.45">
      <c r="A108" s="1" t="s">
        <v>16</v>
      </c>
      <c r="B108" s="1" t="s">
        <v>1223</v>
      </c>
    </row>
    <row r="109" spans="1:2" x14ac:dyDescent="0.45">
      <c r="A109" s="1" t="s">
        <v>16</v>
      </c>
      <c r="B109" s="1" t="s">
        <v>1224</v>
      </c>
    </row>
    <row r="110" spans="1:2" x14ac:dyDescent="0.45">
      <c r="A110" s="1" t="s">
        <v>16</v>
      </c>
      <c r="B110" s="1" t="s">
        <v>1225</v>
      </c>
    </row>
    <row r="111" spans="1:2" x14ac:dyDescent="0.45">
      <c r="A111" s="1" t="s">
        <v>16</v>
      </c>
      <c r="B111" s="1" t="s">
        <v>1226</v>
      </c>
    </row>
    <row r="112" spans="1:2" x14ac:dyDescent="0.45">
      <c r="A112" s="1" t="s">
        <v>16</v>
      </c>
      <c r="B112" s="1" t="s">
        <v>1227</v>
      </c>
    </row>
    <row r="113" spans="1:2" x14ac:dyDescent="0.45">
      <c r="A113" s="1" t="s">
        <v>16</v>
      </c>
      <c r="B113" s="1" t="s">
        <v>1228</v>
      </c>
    </row>
    <row r="114" spans="1:2" x14ac:dyDescent="0.45">
      <c r="A114" s="1" t="s">
        <v>16</v>
      </c>
      <c r="B114" s="1" t="s">
        <v>1229</v>
      </c>
    </row>
    <row r="115" spans="1:2" x14ac:dyDescent="0.45">
      <c r="A115" s="1" t="s">
        <v>16</v>
      </c>
      <c r="B115" s="1" t="s">
        <v>1230</v>
      </c>
    </row>
    <row r="116" spans="1:2" x14ac:dyDescent="0.45">
      <c r="A116" s="1" t="s">
        <v>16</v>
      </c>
      <c r="B116" s="1" t="s">
        <v>1231</v>
      </c>
    </row>
    <row r="117" spans="1:2" x14ac:dyDescent="0.45">
      <c r="A117" s="1" t="s">
        <v>16</v>
      </c>
      <c r="B117" s="1" t="s">
        <v>1232</v>
      </c>
    </row>
    <row r="118" spans="1:2" x14ac:dyDescent="0.45">
      <c r="A118" s="1" t="s">
        <v>16</v>
      </c>
      <c r="B118" s="1" t="s">
        <v>1233</v>
      </c>
    </row>
    <row r="119" spans="1:2" x14ac:dyDescent="0.45">
      <c r="A119" s="1" t="s">
        <v>16</v>
      </c>
      <c r="B119" s="1" t="s">
        <v>1234</v>
      </c>
    </row>
    <row r="120" spans="1:2" x14ac:dyDescent="0.45">
      <c r="A120" s="1" t="s">
        <v>16</v>
      </c>
      <c r="B120" s="1" t="s">
        <v>1235</v>
      </c>
    </row>
    <row r="121" spans="1:2" x14ac:dyDescent="0.45">
      <c r="A121" s="1" t="s">
        <v>16</v>
      </c>
      <c r="B121" s="1" t="s">
        <v>1236</v>
      </c>
    </row>
    <row r="122" spans="1:2" x14ac:dyDescent="0.45">
      <c r="A122" s="1" t="s">
        <v>16</v>
      </c>
      <c r="B122" s="1" t="s">
        <v>1237</v>
      </c>
    </row>
    <row r="123" spans="1:2" x14ac:dyDescent="0.45">
      <c r="A123" s="1" t="s">
        <v>16</v>
      </c>
      <c r="B123" s="1" t="s">
        <v>1238</v>
      </c>
    </row>
    <row r="124" spans="1:2" x14ac:dyDescent="0.45">
      <c r="A124" s="1" t="s">
        <v>16</v>
      </c>
      <c r="B124" s="1" t="s">
        <v>1239</v>
      </c>
    </row>
    <row r="125" spans="1:2" x14ac:dyDescent="0.45">
      <c r="A125" s="1" t="s">
        <v>16</v>
      </c>
      <c r="B125" s="1" t="s">
        <v>1240</v>
      </c>
    </row>
    <row r="126" spans="1:2" x14ac:dyDescent="0.45">
      <c r="A126" s="1" t="s">
        <v>16</v>
      </c>
      <c r="B126" s="1" t="s">
        <v>1241</v>
      </c>
    </row>
    <row r="127" spans="1:2" x14ac:dyDescent="0.45">
      <c r="A127" s="1" t="s">
        <v>16</v>
      </c>
      <c r="B127" s="1" t="s">
        <v>1242</v>
      </c>
    </row>
    <row r="128" spans="1:2" x14ac:dyDescent="0.45">
      <c r="A128" s="1" t="s">
        <v>16</v>
      </c>
      <c r="B128" s="1" t="s">
        <v>1243</v>
      </c>
    </row>
    <row r="129" spans="1:2" x14ac:dyDescent="0.45">
      <c r="A129" s="1" t="s">
        <v>16</v>
      </c>
      <c r="B129" s="1" t="s">
        <v>1244</v>
      </c>
    </row>
    <row r="130" spans="1:2" x14ac:dyDescent="0.45">
      <c r="A130" s="1" t="s">
        <v>16</v>
      </c>
      <c r="B130" s="1" t="s">
        <v>1245</v>
      </c>
    </row>
    <row r="131" spans="1:2" x14ac:dyDescent="0.45">
      <c r="A131" s="1" t="s">
        <v>16</v>
      </c>
      <c r="B131" s="1" t="s">
        <v>1246</v>
      </c>
    </row>
    <row r="132" spans="1:2" x14ac:dyDescent="0.45">
      <c r="A132" s="1" t="s">
        <v>16</v>
      </c>
      <c r="B132" s="1" t="s">
        <v>1247</v>
      </c>
    </row>
    <row r="133" spans="1:2" x14ac:dyDescent="0.45">
      <c r="A133" s="1" t="s">
        <v>16</v>
      </c>
      <c r="B133" s="1" t="s">
        <v>1248</v>
      </c>
    </row>
    <row r="134" spans="1:2" x14ac:dyDescent="0.45">
      <c r="A134" s="1" t="s">
        <v>16</v>
      </c>
      <c r="B134" s="1" t="s">
        <v>1249</v>
      </c>
    </row>
    <row r="135" spans="1:2" x14ac:dyDescent="0.45">
      <c r="A135" s="1" t="s">
        <v>16</v>
      </c>
      <c r="B135" s="1" t="s">
        <v>1250</v>
      </c>
    </row>
    <row r="136" spans="1:2" x14ac:dyDescent="0.45">
      <c r="A136" s="1" t="s">
        <v>16</v>
      </c>
      <c r="B136" s="1" t="s">
        <v>1251</v>
      </c>
    </row>
    <row r="137" spans="1:2" x14ac:dyDescent="0.45">
      <c r="A137" s="1" t="s">
        <v>16</v>
      </c>
      <c r="B137" s="1" t="s">
        <v>1252</v>
      </c>
    </row>
    <row r="138" spans="1:2" x14ac:dyDescent="0.45">
      <c r="A138" s="1" t="s">
        <v>16</v>
      </c>
      <c r="B138" s="1" t="s">
        <v>1253</v>
      </c>
    </row>
    <row r="139" spans="1:2" x14ac:dyDescent="0.45">
      <c r="A139" s="1" t="s">
        <v>16</v>
      </c>
      <c r="B139" s="1" t="s">
        <v>1254</v>
      </c>
    </row>
    <row r="140" spans="1:2" x14ac:dyDescent="0.45">
      <c r="A140" s="1" t="s">
        <v>16</v>
      </c>
      <c r="B140" s="1" t="s">
        <v>1255</v>
      </c>
    </row>
    <row r="141" spans="1:2" x14ac:dyDescent="0.45">
      <c r="A141" s="1" t="s">
        <v>16</v>
      </c>
      <c r="B141" s="1" t="s">
        <v>1256</v>
      </c>
    </row>
    <row r="142" spans="1:2" x14ac:dyDescent="0.45">
      <c r="A142" s="1" t="s">
        <v>16</v>
      </c>
      <c r="B142" s="1" t="s">
        <v>1257</v>
      </c>
    </row>
    <row r="143" spans="1:2" x14ac:dyDescent="0.45">
      <c r="A143" s="1" t="s">
        <v>16</v>
      </c>
      <c r="B143" s="1" t="s">
        <v>1258</v>
      </c>
    </row>
    <row r="144" spans="1:2" x14ac:dyDescent="0.45">
      <c r="A144" s="1" t="s">
        <v>16</v>
      </c>
      <c r="B144" s="1" t="s">
        <v>1259</v>
      </c>
    </row>
    <row r="145" spans="1:2" x14ac:dyDescent="0.45">
      <c r="A145" s="1" t="s">
        <v>16</v>
      </c>
      <c r="B145" s="1" t="s">
        <v>1260</v>
      </c>
    </row>
    <row r="146" spans="1:2" x14ac:dyDescent="0.45">
      <c r="A146" s="1" t="s">
        <v>16</v>
      </c>
      <c r="B146" s="1" t="s">
        <v>1261</v>
      </c>
    </row>
    <row r="147" spans="1:2" x14ac:dyDescent="0.45">
      <c r="A147" s="1" t="s">
        <v>16</v>
      </c>
      <c r="B147" s="1" t="s">
        <v>1262</v>
      </c>
    </row>
    <row r="148" spans="1:2" x14ac:dyDescent="0.45">
      <c r="A148" s="1" t="s">
        <v>16</v>
      </c>
      <c r="B148" s="1" t="s">
        <v>1263</v>
      </c>
    </row>
    <row r="149" spans="1:2" x14ac:dyDescent="0.45">
      <c r="A149" s="1" t="s">
        <v>16</v>
      </c>
      <c r="B149" s="1" t="s">
        <v>1264</v>
      </c>
    </row>
    <row r="150" spans="1:2" x14ac:dyDescent="0.45">
      <c r="A150" s="1" t="s">
        <v>16</v>
      </c>
      <c r="B150" s="1" t="s">
        <v>1265</v>
      </c>
    </row>
    <row r="151" spans="1:2" x14ac:dyDescent="0.45">
      <c r="A151" s="1" t="s">
        <v>16</v>
      </c>
      <c r="B151" s="1" t="s">
        <v>1266</v>
      </c>
    </row>
    <row r="152" spans="1:2" x14ac:dyDescent="0.45">
      <c r="A152" s="1" t="s">
        <v>16</v>
      </c>
      <c r="B152" s="1" t="s">
        <v>1267</v>
      </c>
    </row>
    <row r="153" spans="1:2" x14ac:dyDescent="0.45">
      <c r="A153" s="1" t="s">
        <v>16</v>
      </c>
      <c r="B153" s="1" t="s">
        <v>1268</v>
      </c>
    </row>
    <row r="154" spans="1:2" x14ac:dyDescent="0.45">
      <c r="A154" s="1" t="s">
        <v>16</v>
      </c>
      <c r="B154" s="1" t="s">
        <v>1269</v>
      </c>
    </row>
    <row r="155" spans="1:2" x14ac:dyDescent="0.45">
      <c r="A155" s="1" t="s">
        <v>16</v>
      </c>
      <c r="B155" s="1" t="s">
        <v>1270</v>
      </c>
    </row>
    <row r="156" spans="1:2" x14ac:dyDescent="0.45">
      <c r="A156" s="1" t="s">
        <v>16</v>
      </c>
      <c r="B156" s="1" t="s">
        <v>1271</v>
      </c>
    </row>
    <row r="157" spans="1:2" x14ac:dyDescent="0.45">
      <c r="A157" s="1" t="s">
        <v>16</v>
      </c>
      <c r="B157" s="1" t="s">
        <v>1272</v>
      </c>
    </row>
    <row r="158" spans="1:2" x14ac:dyDescent="0.45">
      <c r="A158" s="1" t="s">
        <v>16</v>
      </c>
      <c r="B158" s="1" t="s">
        <v>1273</v>
      </c>
    </row>
    <row r="159" spans="1:2" x14ac:dyDescent="0.45">
      <c r="A159" s="1" t="s">
        <v>16</v>
      </c>
      <c r="B159" s="1" t="s">
        <v>1274</v>
      </c>
    </row>
    <row r="160" spans="1:2" x14ac:dyDescent="0.45">
      <c r="A160" s="1" t="s">
        <v>16</v>
      </c>
      <c r="B160" s="1" t="s">
        <v>1275</v>
      </c>
    </row>
    <row r="161" spans="1:2" x14ac:dyDescent="0.45">
      <c r="A161" s="1" t="s">
        <v>16</v>
      </c>
      <c r="B161" s="1" t="s">
        <v>1276</v>
      </c>
    </row>
    <row r="162" spans="1:2" x14ac:dyDescent="0.45">
      <c r="A162" s="1" t="s">
        <v>16</v>
      </c>
      <c r="B162" s="1" t="s">
        <v>1277</v>
      </c>
    </row>
    <row r="163" spans="1:2" x14ac:dyDescent="0.45">
      <c r="A163" s="1" t="s">
        <v>16</v>
      </c>
      <c r="B163" s="1" t="s">
        <v>1278</v>
      </c>
    </row>
    <row r="164" spans="1:2" x14ac:dyDescent="0.45">
      <c r="A164" s="1" t="s">
        <v>16</v>
      </c>
      <c r="B164" s="1" t="s">
        <v>1279</v>
      </c>
    </row>
    <row r="165" spans="1:2" x14ac:dyDescent="0.45">
      <c r="A165" s="1" t="s">
        <v>16</v>
      </c>
      <c r="B165" s="1" t="s">
        <v>1280</v>
      </c>
    </row>
    <row r="166" spans="1:2" x14ac:dyDescent="0.45">
      <c r="A166" s="1" t="s">
        <v>16</v>
      </c>
      <c r="B166" s="1" t="s">
        <v>1281</v>
      </c>
    </row>
    <row r="167" spans="1:2" x14ac:dyDescent="0.45">
      <c r="A167" s="1" t="s">
        <v>16</v>
      </c>
      <c r="B167" s="1" t="s">
        <v>1282</v>
      </c>
    </row>
    <row r="168" spans="1:2" x14ac:dyDescent="0.45">
      <c r="A168" s="1" t="s">
        <v>16</v>
      </c>
      <c r="B168" s="1" t="s">
        <v>1283</v>
      </c>
    </row>
    <row r="169" spans="1:2" x14ac:dyDescent="0.45">
      <c r="A169" s="1" t="s">
        <v>16</v>
      </c>
      <c r="B169" s="1" t="s">
        <v>1284</v>
      </c>
    </row>
    <row r="170" spans="1:2" x14ac:dyDescent="0.45">
      <c r="A170" s="1" t="s">
        <v>16</v>
      </c>
      <c r="B170" s="1" t="s">
        <v>1285</v>
      </c>
    </row>
    <row r="171" spans="1:2" x14ac:dyDescent="0.45">
      <c r="A171" s="1" t="s">
        <v>16</v>
      </c>
      <c r="B171" s="1" t="s">
        <v>1286</v>
      </c>
    </row>
    <row r="172" spans="1:2" x14ac:dyDescent="0.45">
      <c r="A172" s="1" t="s">
        <v>16</v>
      </c>
      <c r="B172" s="1" t="s">
        <v>1287</v>
      </c>
    </row>
    <row r="173" spans="1:2" x14ac:dyDescent="0.45">
      <c r="A173" s="1" t="s">
        <v>16</v>
      </c>
      <c r="B173" s="1" t="s">
        <v>1288</v>
      </c>
    </row>
    <row r="174" spans="1:2" x14ac:dyDescent="0.45">
      <c r="A174" s="1" t="s">
        <v>16</v>
      </c>
      <c r="B174" s="1" t="s">
        <v>1289</v>
      </c>
    </row>
    <row r="175" spans="1:2" x14ac:dyDescent="0.45">
      <c r="A175" s="1" t="s">
        <v>16</v>
      </c>
      <c r="B175" s="1" t="s">
        <v>1290</v>
      </c>
    </row>
    <row r="176" spans="1:2" x14ac:dyDescent="0.45">
      <c r="A176" s="1" t="s">
        <v>16</v>
      </c>
      <c r="B176" s="1" t="s">
        <v>1291</v>
      </c>
    </row>
    <row r="177" spans="1:2" x14ac:dyDescent="0.45">
      <c r="A177" s="1" t="s">
        <v>16</v>
      </c>
      <c r="B177" s="1" t="s">
        <v>1292</v>
      </c>
    </row>
    <row r="178" spans="1:2" x14ac:dyDescent="0.45">
      <c r="A178" s="1" t="s">
        <v>16</v>
      </c>
      <c r="B178" s="1" t="s">
        <v>1293</v>
      </c>
    </row>
    <row r="179" spans="1:2" x14ac:dyDescent="0.45">
      <c r="A179" s="1" t="s">
        <v>16</v>
      </c>
      <c r="B179" s="1" t="s">
        <v>1294</v>
      </c>
    </row>
    <row r="180" spans="1:2" x14ac:dyDescent="0.45">
      <c r="A180" s="1" t="s">
        <v>16</v>
      </c>
      <c r="B180" s="1" t="s">
        <v>1295</v>
      </c>
    </row>
    <row r="181" spans="1:2" x14ac:dyDescent="0.45">
      <c r="A181" s="1" t="s">
        <v>16</v>
      </c>
      <c r="B181" s="1" t="s">
        <v>1296</v>
      </c>
    </row>
    <row r="182" spans="1:2" x14ac:dyDescent="0.45">
      <c r="A182" s="1" t="s">
        <v>16</v>
      </c>
      <c r="B182" s="1" t="s">
        <v>1297</v>
      </c>
    </row>
    <row r="183" spans="1:2" x14ac:dyDescent="0.45">
      <c r="A183" s="1" t="s">
        <v>16</v>
      </c>
      <c r="B183" s="1" t="s">
        <v>1298</v>
      </c>
    </row>
    <row r="184" spans="1:2" x14ac:dyDescent="0.45">
      <c r="A184" s="1" t="s">
        <v>16</v>
      </c>
      <c r="B184" s="1" t="s">
        <v>1299</v>
      </c>
    </row>
    <row r="185" spans="1:2" x14ac:dyDescent="0.45">
      <c r="A185" s="1" t="s">
        <v>16</v>
      </c>
      <c r="B185" s="1" t="s">
        <v>1300</v>
      </c>
    </row>
    <row r="186" spans="1:2" x14ac:dyDescent="0.45">
      <c r="A186" s="1" t="s">
        <v>16</v>
      </c>
      <c r="B186" s="1" t="s">
        <v>1301</v>
      </c>
    </row>
    <row r="187" spans="1:2" x14ac:dyDescent="0.45">
      <c r="A187" s="1" t="s">
        <v>16</v>
      </c>
      <c r="B187" s="1" t="s">
        <v>1302</v>
      </c>
    </row>
    <row r="188" spans="1:2" x14ac:dyDescent="0.45">
      <c r="A188" s="1" t="s">
        <v>16</v>
      </c>
      <c r="B188" s="1" t="s">
        <v>1303</v>
      </c>
    </row>
    <row r="189" spans="1:2" x14ac:dyDescent="0.45">
      <c r="A189" s="1" t="s">
        <v>16</v>
      </c>
      <c r="B189" s="1" t="s">
        <v>1304</v>
      </c>
    </row>
    <row r="190" spans="1:2" x14ac:dyDescent="0.45">
      <c r="A190" s="1" t="s">
        <v>16</v>
      </c>
      <c r="B190" s="1" t="s">
        <v>1305</v>
      </c>
    </row>
    <row r="191" spans="1:2" x14ac:dyDescent="0.45">
      <c r="A191" s="1" t="s">
        <v>16</v>
      </c>
      <c r="B191" s="1" t="s">
        <v>1306</v>
      </c>
    </row>
    <row r="192" spans="1:2" x14ac:dyDescent="0.45">
      <c r="A192" s="1" t="s">
        <v>16</v>
      </c>
      <c r="B192" s="1" t="s">
        <v>1307</v>
      </c>
    </row>
    <row r="193" spans="1:2" x14ac:dyDescent="0.45">
      <c r="A193" s="1" t="s">
        <v>16</v>
      </c>
      <c r="B193" s="1" t="s">
        <v>1308</v>
      </c>
    </row>
    <row r="194" spans="1:2" x14ac:dyDescent="0.45">
      <c r="A194" s="1" t="s">
        <v>16</v>
      </c>
      <c r="B194" s="1" t="s">
        <v>1309</v>
      </c>
    </row>
    <row r="195" spans="1:2" x14ac:dyDescent="0.45">
      <c r="A195" s="1" t="s">
        <v>16</v>
      </c>
      <c r="B195" s="1" t="s">
        <v>1310</v>
      </c>
    </row>
    <row r="196" spans="1:2" x14ac:dyDescent="0.45">
      <c r="A196" s="1" t="s">
        <v>16</v>
      </c>
      <c r="B196" s="1" t="s">
        <v>1311</v>
      </c>
    </row>
    <row r="197" spans="1:2" x14ac:dyDescent="0.45">
      <c r="A197" s="1" t="s">
        <v>16</v>
      </c>
      <c r="B197" s="1" t="s">
        <v>1312</v>
      </c>
    </row>
    <row r="198" spans="1:2" x14ac:dyDescent="0.45">
      <c r="A198" s="1" t="s">
        <v>16</v>
      </c>
      <c r="B198" s="1" t="s">
        <v>1313</v>
      </c>
    </row>
    <row r="199" spans="1:2" x14ac:dyDescent="0.45">
      <c r="A199" s="1" t="s">
        <v>16</v>
      </c>
      <c r="B199" s="1" t="s">
        <v>1314</v>
      </c>
    </row>
    <row r="200" spans="1:2" x14ac:dyDescent="0.45">
      <c r="A200" s="1" t="s">
        <v>16</v>
      </c>
      <c r="B200" s="1" t="s">
        <v>1315</v>
      </c>
    </row>
    <row r="201" spans="1:2" x14ac:dyDescent="0.45">
      <c r="A201" s="1" t="s">
        <v>16</v>
      </c>
      <c r="B201" s="1" t="s">
        <v>1316</v>
      </c>
    </row>
    <row r="202" spans="1:2" x14ac:dyDescent="0.45">
      <c r="A202" s="1" t="s">
        <v>16</v>
      </c>
      <c r="B202" s="1" t="s">
        <v>1317</v>
      </c>
    </row>
    <row r="203" spans="1:2" x14ac:dyDescent="0.45">
      <c r="A203" s="1" t="s">
        <v>16</v>
      </c>
      <c r="B203" s="1" t="s">
        <v>1318</v>
      </c>
    </row>
    <row r="204" spans="1:2" x14ac:dyDescent="0.45">
      <c r="A204" s="1" t="s">
        <v>16</v>
      </c>
      <c r="B204" s="1" t="s">
        <v>1319</v>
      </c>
    </row>
    <row r="205" spans="1:2" x14ac:dyDescent="0.45">
      <c r="A205" s="1" t="s">
        <v>16</v>
      </c>
      <c r="B205" s="1" t="s">
        <v>1320</v>
      </c>
    </row>
    <row r="206" spans="1:2" x14ac:dyDescent="0.45">
      <c r="A206" s="1" t="s">
        <v>16</v>
      </c>
      <c r="B206" s="1" t="s">
        <v>1321</v>
      </c>
    </row>
    <row r="207" spans="1:2" x14ac:dyDescent="0.45">
      <c r="A207" s="1" t="s">
        <v>16</v>
      </c>
      <c r="B207" s="1" t="s">
        <v>1322</v>
      </c>
    </row>
    <row r="208" spans="1:2" x14ac:dyDescent="0.45">
      <c r="A208" s="1" t="s">
        <v>16</v>
      </c>
      <c r="B208" s="1" t="s">
        <v>1323</v>
      </c>
    </row>
    <row r="209" spans="1:2" x14ac:dyDescent="0.45">
      <c r="A209" s="1" t="s">
        <v>16</v>
      </c>
      <c r="B209" s="1" t="s">
        <v>1324</v>
      </c>
    </row>
    <row r="210" spans="1:2" x14ac:dyDescent="0.45">
      <c r="A210" s="1" t="s">
        <v>16</v>
      </c>
      <c r="B210" s="1" t="s">
        <v>1325</v>
      </c>
    </row>
    <row r="211" spans="1:2" x14ac:dyDescent="0.45">
      <c r="A211" s="1" t="s">
        <v>16</v>
      </c>
      <c r="B211" s="1" t="s">
        <v>1326</v>
      </c>
    </row>
    <row r="212" spans="1:2" x14ac:dyDescent="0.45">
      <c r="A212" s="1" t="s">
        <v>16</v>
      </c>
      <c r="B212" s="1" t="s">
        <v>1327</v>
      </c>
    </row>
    <row r="213" spans="1:2" x14ac:dyDescent="0.45">
      <c r="A213" s="1" t="s">
        <v>16</v>
      </c>
      <c r="B213" s="1" t="s">
        <v>1328</v>
      </c>
    </row>
    <row r="214" spans="1:2" x14ac:dyDescent="0.45">
      <c r="A214" s="1" t="s">
        <v>16</v>
      </c>
      <c r="B214" s="1" t="s">
        <v>1329</v>
      </c>
    </row>
    <row r="215" spans="1:2" x14ac:dyDescent="0.45">
      <c r="A215" s="1" t="s">
        <v>16</v>
      </c>
      <c r="B215" s="1" t="s">
        <v>1330</v>
      </c>
    </row>
    <row r="216" spans="1:2" x14ac:dyDescent="0.45">
      <c r="A216" s="1" t="s">
        <v>16</v>
      </c>
      <c r="B216" s="1" t="s">
        <v>1331</v>
      </c>
    </row>
    <row r="217" spans="1:2" x14ac:dyDescent="0.45">
      <c r="A217" s="1" t="s">
        <v>16</v>
      </c>
      <c r="B217" s="1" t="s">
        <v>1332</v>
      </c>
    </row>
    <row r="218" spans="1:2" x14ac:dyDescent="0.45">
      <c r="A218" s="1" t="s">
        <v>16</v>
      </c>
      <c r="B218" s="1" t="s">
        <v>1333</v>
      </c>
    </row>
    <row r="219" spans="1:2" x14ac:dyDescent="0.45">
      <c r="A219" s="1" t="s">
        <v>16</v>
      </c>
      <c r="B219" s="1" t="s">
        <v>1334</v>
      </c>
    </row>
    <row r="220" spans="1:2" x14ac:dyDescent="0.45">
      <c r="A220" s="1" t="s">
        <v>16</v>
      </c>
      <c r="B220" s="1" t="s">
        <v>1335</v>
      </c>
    </row>
    <row r="221" spans="1:2" x14ac:dyDescent="0.45">
      <c r="A221" s="1" t="s">
        <v>16</v>
      </c>
      <c r="B221" s="1" t="s">
        <v>1336</v>
      </c>
    </row>
    <row r="222" spans="1:2" x14ac:dyDescent="0.45">
      <c r="A222" s="1" t="s">
        <v>16</v>
      </c>
      <c r="B222" s="1" t="s">
        <v>1337</v>
      </c>
    </row>
    <row r="223" spans="1:2" x14ac:dyDescent="0.45">
      <c r="A223" s="1" t="s">
        <v>16</v>
      </c>
      <c r="B223" s="1" t="s">
        <v>1338</v>
      </c>
    </row>
    <row r="224" spans="1:2" x14ac:dyDescent="0.45">
      <c r="A224" s="1" t="s">
        <v>16</v>
      </c>
      <c r="B224" s="1" t="s">
        <v>1339</v>
      </c>
    </row>
    <row r="225" spans="1:2" x14ac:dyDescent="0.45">
      <c r="A225" s="1" t="s">
        <v>16</v>
      </c>
      <c r="B225" s="1" t="s">
        <v>1340</v>
      </c>
    </row>
    <row r="226" spans="1:2" x14ac:dyDescent="0.45">
      <c r="A226" s="1" t="s">
        <v>16</v>
      </c>
      <c r="B226" s="1" t="s">
        <v>1341</v>
      </c>
    </row>
    <row r="227" spans="1:2" x14ac:dyDescent="0.45">
      <c r="A227" s="1" t="s">
        <v>16</v>
      </c>
      <c r="B227" s="1" t="s">
        <v>1342</v>
      </c>
    </row>
    <row r="228" spans="1:2" x14ac:dyDescent="0.45">
      <c r="A228" s="1" t="s">
        <v>16</v>
      </c>
      <c r="B228" s="1" t="s">
        <v>1343</v>
      </c>
    </row>
    <row r="229" spans="1:2" x14ac:dyDescent="0.45">
      <c r="A229" s="1" t="s">
        <v>16</v>
      </c>
      <c r="B229" s="1" t="s">
        <v>1344</v>
      </c>
    </row>
    <row r="230" spans="1:2" x14ac:dyDescent="0.45">
      <c r="A230" s="1" t="s">
        <v>16</v>
      </c>
      <c r="B230" s="1" t="s">
        <v>1345</v>
      </c>
    </row>
    <row r="231" spans="1:2" x14ac:dyDescent="0.45">
      <c r="A231" s="1" t="s">
        <v>16</v>
      </c>
      <c r="B231" s="1" t="s">
        <v>1346</v>
      </c>
    </row>
    <row r="232" spans="1:2" x14ac:dyDescent="0.45">
      <c r="A232" s="1" t="s">
        <v>16</v>
      </c>
      <c r="B232" s="1" t="s">
        <v>1347</v>
      </c>
    </row>
    <row r="233" spans="1:2" x14ac:dyDescent="0.45">
      <c r="A233" s="1" t="s">
        <v>16</v>
      </c>
      <c r="B233" s="1" t="s">
        <v>1348</v>
      </c>
    </row>
    <row r="234" spans="1:2" x14ac:dyDescent="0.45">
      <c r="A234" s="1" t="s">
        <v>16</v>
      </c>
      <c r="B234" s="1" t="s">
        <v>1349</v>
      </c>
    </row>
    <row r="235" spans="1:2" x14ac:dyDescent="0.45">
      <c r="A235" s="1" t="s">
        <v>16</v>
      </c>
      <c r="B235" s="1" t="s">
        <v>1350</v>
      </c>
    </row>
    <row r="236" spans="1:2" x14ac:dyDescent="0.45">
      <c r="A236" s="1" t="s">
        <v>16</v>
      </c>
      <c r="B236" s="1" t="s">
        <v>1351</v>
      </c>
    </row>
    <row r="237" spans="1:2" x14ac:dyDescent="0.45">
      <c r="A237" s="1" t="s">
        <v>16</v>
      </c>
      <c r="B237" s="1" t="s">
        <v>1352</v>
      </c>
    </row>
    <row r="238" spans="1:2" x14ac:dyDescent="0.45">
      <c r="A238" s="1" t="s">
        <v>16</v>
      </c>
      <c r="B238" s="1" t="s">
        <v>1353</v>
      </c>
    </row>
    <row r="239" spans="1:2" x14ac:dyDescent="0.45">
      <c r="A239" s="1" t="s">
        <v>16</v>
      </c>
      <c r="B239" s="1" t="s">
        <v>1354</v>
      </c>
    </row>
    <row r="240" spans="1:2" x14ac:dyDescent="0.45">
      <c r="A240" s="1" t="s">
        <v>16</v>
      </c>
      <c r="B240" s="1" t="s">
        <v>1355</v>
      </c>
    </row>
    <row r="241" spans="1:2" x14ac:dyDescent="0.45">
      <c r="A241" s="1" t="s">
        <v>16</v>
      </c>
      <c r="B241" s="1" t="s">
        <v>1356</v>
      </c>
    </row>
    <row r="242" spans="1:2" x14ac:dyDescent="0.45">
      <c r="A242" s="1" t="s">
        <v>16</v>
      </c>
      <c r="B242" s="1" t="s">
        <v>1357</v>
      </c>
    </row>
    <row r="243" spans="1:2" x14ac:dyDescent="0.45">
      <c r="A243" s="1" t="s">
        <v>16</v>
      </c>
      <c r="B243" s="1" t="s">
        <v>1358</v>
      </c>
    </row>
    <row r="244" spans="1:2" x14ac:dyDescent="0.45">
      <c r="A244" s="1" t="s">
        <v>16</v>
      </c>
      <c r="B244" s="1" t="s">
        <v>1359</v>
      </c>
    </row>
    <row r="245" spans="1:2" x14ac:dyDescent="0.45">
      <c r="A245" s="1" t="s">
        <v>16</v>
      </c>
      <c r="B245" s="1" t="s">
        <v>1360</v>
      </c>
    </row>
    <row r="246" spans="1:2" x14ac:dyDescent="0.45">
      <c r="A246" s="1" t="s">
        <v>16</v>
      </c>
      <c r="B246" s="1" t="s">
        <v>1361</v>
      </c>
    </row>
    <row r="247" spans="1:2" x14ac:dyDescent="0.45">
      <c r="A247" s="1" t="s">
        <v>16</v>
      </c>
      <c r="B247" s="1" t="s">
        <v>1362</v>
      </c>
    </row>
    <row r="248" spans="1:2" x14ac:dyDescent="0.45">
      <c r="A248" s="1" t="s">
        <v>16</v>
      </c>
      <c r="B248" s="1" t="s">
        <v>1363</v>
      </c>
    </row>
    <row r="249" spans="1:2" x14ac:dyDescent="0.45">
      <c r="A249" s="1" t="s">
        <v>16</v>
      </c>
      <c r="B249" s="1" t="s">
        <v>1364</v>
      </c>
    </row>
    <row r="250" spans="1:2" x14ac:dyDescent="0.45">
      <c r="A250" s="1" t="s">
        <v>16</v>
      </c>
      <c r="B250" s="1" t="s">
        <v>1365</v>
      </c>
    </row>
    <row r="251" spans="1:2" x14ac:dyDescent="0.45">
      <c r="A251" s="1" t="s">
        <v>16</v>
      </c>
      <c r="B251" s="1" t="s">
        <v>1366</v>
      </c>
    </row>
    <row r="252" spans="1:2" x14ac:dyDescent="0.45">
      <c r="A252" s="1" t="s">
        <v>16</v>
      </c>
      <c r="B252" s="1" t="s">
        <v>1367</v>
      </c>
    </row>
    <row r="253" spans="1:2" x14ac:dyDescent="0.45">
      <c r="A253" s="1" t="s">
        <v>16</v>
      </c>
      <c r="B253" s="1" t="s">
        <v>1368</v>
      </c>
    </row>
    <row r="254" spans="1:2" x14ac:dyDescent="0.45">
      <c r="A254" s="1" t="s">
        <v>16</v>
      </c>
      <c r="B254" s="1" t="s">
        <v>1369</v>
      </c>
    </row>
    <row r="255" spans="1:2" x14ac:dyDescent="0.45">
      <c r="A255" s="1" t="s">
        <v>16</v>
      </c>
      <c r="B255" s="1" t="s">
        <v>1370</v>
      </c>
    </row>
    <row r="256" spans="1:2" x14ac:dyDescent="0.45">
      <c r="A256" s="1" t="s">
        <v>16</v>
      </c>
      <c r="B256" s="1" t="s">
        <v>1371</v>
      </c>
    </row>
    <row r="257" spans="1:2" x14ac:dyDescent="0.45">
      <c r="A257" s="1" t="s">
        <v>16</v>
      </c>
      <c r="B257" s="1" t="s">
        <v>1372</v>
      </c>
    </row>
    <row r="258" spans="1:2" x14ac:dyDescent="0.45">
      <c r="A258" s="1" t="s">
        <v>16</v>
      </c>
      <c r="B258" s="1" t="s">
        <v>1373</v>
      </c>
    </row>
    <row r="259" spans="1:2" x14ac:dyDescent="0.45">
      <c r="A259" s="1" t="s">
        <v>16</v>
      </c>
      <c r="B259" s="1" t="s">
        <v>1374</v>
      </c>
    </row>
    <row r="260" spans="1:2" x14ac:dyDescent="0.45">
      <c r="A260" s="1" t="s">
        <v>16</v>
      </c>
      <c r="B260" s="1" t="s">
        <v>1375</v>
      </c>
    </row>
    <row r="261" spans="1:2" x14ac:dyDescent="0.45">
      <c r="A261" s="1" t="s">
        <v>16</v>
      </c>
      <c r="B261" s="1" t="s">
        <v>1376</v>
      </c>
    </row>
    <row r="262" spans="1:2" x14ac:dyDescent="0.45">
      <c r="A262" s="1" t="s">
        <v>16</v>
      </c>
      <c r="B262" s="1" t="s">
        <v>1377</v>
      </c>
    </row>
    <row r="263" spans="1:2" x14ac:dyDescent="0.45">
      <c r="A263" s="1" t="s">
        <v>16</v>
      </c>
      <c r="B263" s="1" t="s">
        <v>1378</v>
      </c>
    </row>
    <row r="264" spans="1:2" x14ac:dyDescent="0.45">
      <c r="A264" s="1" t="s">
        <v>16</v>
      </c>
      <c r="B264" s="1" t="s">
        <v>1379</v>
      </c>
    </row>
    <row r="265" spans="1:2" x14ac:dyDescent="0.45">
      <c r="A265" s="1" t="s">
        <v>16</v>
      </c>
      <c r="B265" s="1" t="s">
        <v>1380</v>
      </c>
    </row>
    <row r="266" spans="1:2" x14ac:dyDescent="0.45">
      <c r="A266" s="1" t="s">
        <v>16</v>
      </c>
      <c r="B266" s="1" t="s">
        <v>1381</v>
      </c>
    </row>
    <row r="267" spans="1:2" x14ac:dyDescent="0.45">
      <c r="A267" s="1" t="s">
        <v>16</v>
      </c>
      <c r="B267" s="1" t="s">
        <v>1382</v>
      </c>
    </row>
    <row r="268" spans="1:2" x14ac:dyDescent="0.45">
      <c r="A268" s="1" t="s">
        <v>16</v>
      </c>
      <c r="B268" s="1" t="s">
        <v>1383</v>
      </c>
    </row>
    <row r="269" spans="1:2" x14ac:dyDescent="0.45">
      <c r="A269" s="1" t="s">
        <v>16</v>
      </c>
      <c r="B269" s="1" t="s">
        <v>1384</v>
      </c>
    </row>
    <row r="270" spans="1:2" x14ac:dyDescent="0.45">
      <c r="A270" s="1" t="s">
        <v>16</v>
      </c>
      <c r="B270" s="1" t="s">
        <v>1385</v>
      </c>
    </row>
    <row r="271" spans="1:2" x14ac:dyDescent="0.45">
      <c r="A271" s="1" t="s">
        <v>16</v>
      </c>
      <c r="B271" s="1" t="s">
        <v>1386</v>
      </c>
    </row>
    <row r="272" spans="1:2" x14ac:dyDescent="0.45">
      <c r="A272" s="1" t="s">
        <v>16</v>
      </c>
      <c r="B272" s="1" t="s">
        <v>1387</v>
      </c>
    </row>
    <row r="273" spans="1:2" x14ac:dyDescent="0.45">
      <c r="A273" s="1" t="s">
        <v>16</v>
      </c>
      <c r="B273" s="1" t="s">
        <v>1388</v>
      </c>
    </row>
    <row r="274" spans="1:2" x14ac:dyDescent="0.45">
      <c r="A274" s="1" t="s">
        <v>16</v>
      </c>
      <c r="B274" s="1" t="s">
        <v>1389</v>
      </c>
    </row>
    <row r="275" spans="1:2" x14ac:dyDescent="0.45">
      <c r="A275" s="1" t="s">
        <v>16</v>
      </c>
      <c r="B275" s="1" t="s">
        <v>1390</v>
      </c>
    </row>
    <row r="276" spans="1:2" x14ac:dyDescent="0.45">
      <c r="A276" s="1" t="s">
        <v>16</v>
      </c>
      <c r="B276" s="1" t="s">
        <v>1391</v>
      </c>
    </row>
    <row r="277" spans="1:2" x14ac:dyDescent="0.45">
      <c r="A277" s="1" t="s">
        <v>16</v>
      </c>
      <c r="B277" s="1" t="s">
        <v>1392</v>
      </c>
    </row>
    <row r="278" spans="1:2" x14ac:dyDescent="0.45">
      <c r="A278" s="1" t="s">
        <v>16</v>
      </c>
      <c r="B278" s="1" t="s">
        <v>1393</v>
      </c>
    </row>
    <row r="279" spans="1:2" x14ac:dyDescent="0.45">
      <c r="A279" s="1" t="s">
        <v>16</v>
      </c>
      <c r="B279" s="1" t="s">
        <v>1394</v>
      </c>
    </row>
    <row r="280" spans="1:2" x14ac:dyDescent="0.45">
      <c r="A280" s="1" t="s">
        <v>16</v>
      </c>
      <c r="B280" s="1" t="s">
        <v>1395</v>
      </c>
    </row>
    <row r="281" spans="1:2" x14ac:dyDescent="0.45">
      <c r="A281" s="1" t="s">
        <v>16</v>
      </c>
      <c r="B281" s="1" t="s">
        <v>1396</v>
      </c>
    </row>
    <row r="282" spans="1:2" x14ac:dyDescent="0.45">
      <c r="A282" s="1" t="s">
        <v>16</v>
      </c>
      <c r="B282" s="1" t="s">
        <v>1397</v>
      </c>
    </row>
    <row r="283" spans="1:2" x14ac:dyDescent="0.45">
      <c r="A283" s="1" t="s">
        <v>16</v>
      </c>
      <c r="B283" s="1" t="s">
        <v>1398</v>
      </c>
    </row>
    <row r="284" spans="1:2" x14ac:dyDescent="0.45">
      <c r="A284" s="1" t="s">
        <v>16</v>
      </c>
      <c r="B284" s="1" t="s">
        <v>1399</v>
      </c>
    </row>
    <row r="285" spans="1:2" x14ac:dyDescent="0.45">
      <c r="A285" s="1" t="s">
        <v>16</v>
      </c>
      <c r="B285" s="1" t="s">
        <v>1400</v>
      </c>
    </row>
    <row r="286" spans="1:2" x14ac:dyDescent="0.45">
      <c r="A286" s="1" t="s">
        <v>16</v>
      </c>
      <c r="B286" s="1" t="s">
        <v>1401</v>
      </c>
    </row>
    <row r="287" spans="1:2" x14ac:dyDescent="0.45">
      <c r="A287" s="1" t="s">
        <v>16</v>
      </c>
      <c r="B287" s="1" t="s">
        <v>1402</v>
      </c>
    </row>
    <row r="288" spans="1:2" x14ac:dyDescent="0.45">
      <c r="A288" s="1" t="s">
        <v>16</v>
      </c>
      <c r="B288" s="1" t="s">
        <v>1403</v>
      </c>
    </row>
    <row r="289" spans="1:2" x14ac:dyDescent="0.45">
      <c r="A289" s="1" t="s">
        <v>16</v>
      </c>
      <c r="B289" s="1" t="s">
        <v>1404</v>
      </c>
    </row>
    <row r="290" spans="1:2" x14ac:dyDescent="0.45">
      <c r="A290" s="1" t="s">
        <v>16</v>
      </c>
      <c r="B290" s="1" t="s">
        <v>1405</v>
      </c>
    </row>
    <row r="291" spans="1:2" x14ac:dyDescent="0.45">
      <c r="A291" s="1" t="s">
        <v>16</v>
      </c>
      <c r="B291" s="1" t="s">
        <v>1406</v>
      </c>
    </row>
    <row r="292" spans="1:2" x14ac:dyDescent="0.45">
      <c r="A292" s="1" t="s">
        <v>16</v>
      </c>
      <c r="B292" s="1" t="s">
        <v>1407</v>
      </c>
    </row>
    <row r="293" spans="1:2" x14ac:dyDescent="0.45">
      <c r="A293" s="1" t="s">
        <v>16</v>
      </c>
      <c r="B293" s="1" t="s">
        <v>1408</v>
      </c>
    </row>
    <row r="294" spans="1:2" x14ac:dyDescent="0.45">
      <c r="A294" s="1" t="s">
        <v>16</v>
      </c>
      <c r="B294" s="1" t="s">
        <v>1409</v>
      </c>
    </row>
    <row r="295" spans="1:2" x14ac:dyDescent="0.45">
      <c r="A295" s="1" t="s">
        <v>16</v>
      </c>
      <c r="B295" s="1" t="s">
        <v>1410</v>
      </c>
    </row>
    <row r="296" spans="1:2" x14ac:dyDescent="0.45">
      <c r="A296" s="1" t="s">
        <v>16</v>
      </c>
      <c r="B296" s="1" t="s">
        <v>1411</v>
      </c>
    </row>
    <row r="297" spans="1:2" x14ac:dyDescent="0.45">
      <c r="A297" s="1" t="s">
        <v>16</v>
      </c>
      <c r="B297" s="1" t="s">
        <v>1412</v>
      </c>
    </row>
    <row r="298" spans="1:2" x14ac:dyDescent="0.45">
      <c r="A298" s="1" t="s">
        <v>16</v>
      </c>
      <c r="B298" s="1" t="s">
        <v>1413</v>
      </c>
    </row>
    <row r="299" spans="1:2" x14ac:dyDescent="0.45">
      <c r="A299" s="1" t="s">
        <v>16</v>
      </c>
      <c r="B299" s="1" t="s">
        <v>1414</v>
      </c>
    </row>
    <row r="300" spans="1:2" x14ac:dyDescent="0.45">
      <c r="A300" s="1" t="s">
        <v>16</v>
      </c>
      <c r="B300" s="1" t="s">
        <v>1415</v>
      </c>
    </row>
    <row r="301" spans="1:2" x14ac:dyDescent="0.45">
      <c r="A301" s="1" t="s">
        <v>16</v>
      </c>
      <c r="B301" s="1" t="s">
        <v>1416</v>
      </c>
    </row>
    <row r="302" spans="1:2" x14ac:dyDescent="0.45">
      <c r="A302" s="1" t="s">
        <v>16</v>
      </c>
      <c r="B302" s="1" t="s">
        <v>1417</v>
      </c>
    </row>
    <row r="303" spans="1:2" x14ac:dyDescent="0.45">
      <c r="A303" s="1" t="s">
        <v>16</v>
      </c>
      <c r="B303" s="1" t="s">
        <v>1418</v>
      </c>
    </row>
    <row r="304" spans="1:2" x14ac:dyDescent="0.45">
      <c r="A304" s="1" t="s">
        <v>16</v>
      </c>
      <c r="B304" s="1" t="s">
        <v>1419</v>
      </c>
    </row>
    <row r="305" spans="1:2" x14ac:dyDescent="0.45">
      <c r="A305" s="1" t="s">
        <v>16</v>
      </c>
      <c r="B305" s="1" t="s">
        <v>1420</v>
      </c>
    </row>
    <row r="306" spans="1:2" x14ac:dyDescent="0.45">
      <c r="A306" s="1" t="s">
        <v>16</v>
      </c>
      <c r="B306" s="1" t="s">
        <v>1421</v>
      </c>
    </row>
    <row r="307" spans="1:2" x14ac:dyDescent="0.45">
      <c r="A307" s="1" t="s">
        <v>16</v>
      </c>
      <c r="B307" s="1" t="s">
        <v>1422</v>
      </c>
    </row>
    <row r="308" spans="1:2" x14ac:dyDescent="0.45">
      <c r="A308" s="1" t="s">
        <v>16</v>
      </c>
      <c r="B308" s="1" t="s">
        <v>1423</v>
      </c>
    </row>
    <row r="309" spans="1:2" x14ac:dyDescent="0.45">
      <c r="A309" s="1" t="s">
        <v>16</v>
      </c>
      <c r="B309" s="1" t="s">
        <v>1424</v>
      </c>
    </row>
    <row r="310" spans="1:2" x14ac:dyDescent="0.45">
      <c r="A310" s="1" t="s">
        <v>16</v>
      </c>
      <c r="B310" s="1" t="s">
        <v>1425</v>
      </c>
    </row>
    <row r="311" spans="1:2" x14ac:dyDescent="0.45">
      <c r="A311" s="1" t="s">
        <v>16</v>
      </c>
      <c r="B311" s="1" t="s">
        <v>1426</v>
      </c>
    </row>
    <row r="312" spans="1:2" x14ac:dyDescent="0.45">
      <c r="A312" s="1" t="s">
        <v>16</v>
      </c>
      <c r="B312" s="1" t="s">
        <v>1427</v>
      </c>
    </row>
    <row r="313" spans="1:2" x14ac:dyDescent="0.45">
      <c r="A313" s="1" t="s">
        <v>16</v>
      </c>
      <c r="B313" s="1" t="s">
        <v>1428</v>
      </c>
    </row>
    <row r="314" spans="1:2" x14ac:dyDescent="0.45">
      <c r="A314" s="1" t="s">
        <v>16</v>
      </c>
      <c r="B314" s="1" t="s">
        <v>1429</v>
      </c>
    </row>
    <row r="315" spans="1:2" x14ac:dyDescent="0.45">
      <c r="A315" s="1" t="s">
        <v>16</v>
      </c>
      <c r="B315" s="1" t="s">
        <v>1430</v>
      </c>
    </row>
    <row r="316" spans="1:2" x14ac:dyDescent="0.45">
      <c r="A316" s="1" t="s">
        <v>16</v>
      </c>
      <c r="B316" s="1" t="s">
        <v>1431</v>
      </c>
    </row>
    <row r="317" spans="1:2" x14ac:dyDescent="0.45">
      <c r="A317" s="1" t="s">
        <v>16</v>
      </c>
      <c r="B317" s="1" t="s">
        <v>1432</v>
      </c>
    </row>
    <row r="318" spans="1:2" x14ac:dyDescent="0.45">
      <c r="A318" s="1" t="s">
        <v>16</v>
      </c>
      <c r="B318" s="1" t="s">
        <v>1433</v>
      </c>
    </row>
    <row r="319" spans="1:2" x14ac:dyDescent="0.45">
      <c r="A319" s="1" t="s">
        <v>16</v>
      </c>
      <c r="B319" s="1" t="s">
        <v>1434</v>
      </c>
    </row>
    <row r="320" spans="1:2" x14ac:dyDescent="0.45">
      <c r="A320" s="1" t="s">
        <v>16</v>
      </c>
      <c r="B320" s="1" t="s">
        <v>1435</v>
      </c>
    </row>
    <row r="321" spans="1:2" x14ac:dyDescent="0.45">
      <c r="A321" s="1" t="s">
        <v>16</v>
      </c>
      <c r="B321" s="1" t="s">
        <v>1436</v>
      </c>
    </row>
    <row r="322" spans="1:2" x14ac:dyDescent="0.45">
      <c r="A322" s="1" t="s">
        <v>16</v>
      </c>
      <c r="B322" s="1" t="s">
        <v>1437</v>
      </c>
    </row>
    <row r="323" spans="1:2" x14ac:dyDescent="0.45">
      <c r="A323" s="1" t="s">
        <v>16</v>
      </c>
      <c r="B323" s="1" t="s">
        <v>1438</v>
      </c>
    </row>
    <row r="324" spans="1:2" x14ac:dyDescent="0.45">
      <c r="A324" s="1" t="s">
        <v>16</v>
      </c>
      <c r="B324" s="1" t="s">
        <v>1439</v>
      </c>
    </row>
    <row r="325" spans="1:2" x14ac:dyDescent="0.45">
      <c r="A325" s="1" t="s">
        <v>16</v>
      </c>
      <c r="B325" s="1" t="s">
        <v>1440</v>
      </c>
    </row>
    <row r="326" spans="1:2" x14ac:dyDescent="0.45">
      <c r="A326" s="1" t="s">
        <v>16</v>
      </c>
      <c r="B326" s="1" t="s">
        <v>1441</v>
      </c>
    </row>
    <row r="327" spans="1:2" x14ac:dyDescent="0.45">
      <c r="A327" s="1" t="s">
        <v>16</v>
      </c>
      <c r="B327" s="1" t="s">
        <v>1442</v>
      </c>
    </row>
    <row r="328" spans="1:2" x14ac:dyDescent="0.45">
      <c r="A328" s="1" t="s">
        <v>16</v>
      </c>
      <c r="B328" s="1" t="s">
        <v>1443</v>
      </c>
    </row>
    <row r="329" spans="1:2" x14ac:dyDescent="0.45">
      <c r="A329" s="1" t="s">
        <v>16</v>
      </c>
      <c r="B329" s="1" t="s">
        <v>1444</v>
      </c>
    </row>
    <row r="330" spans="1:2" x14ac:dyDescent="0.45">
      <c r="A330" s="1" t="s">
        <v>16</v>
      </c>
      <c r="B330" s="1" t="s">
        <v>1445</v>
      </c>
    </row>
    <row r="331" spans="1:2" x14ac:dyDescent="0.45">
      <c r="A331" s="1" t="s">
        <v>16</v>
      </c>
      <c r="B331" s="1" t="s">
        <v>1446</v>
      </c>
    </row>
    <row r="332" spans="1:2" x14ac:dyDescent="0.45">
      <c r="A332" s="1" t="s">
        <v>16</v>
      </c>
      <c r="B332" s="1" t="s">
        <v>1447</v>
      </c>
    </row>
    <row r="333" spans="1:2" x14ac:dyDescent="0.45">
      <c r="A333" s="1" t="s">
        <v>16</v>
      </c>
      <c r="B333" s="1" t="s">
        <v>1448</v>
      </c>
    </row>
    <row r="334" spans="1:2" x14ac:dyDescent="0.45">
      <c r="A334" s="1" t="s">
        <v>16</v>
      </c>
      <c r="B334" s="1" t="s">
        <v>1449</v>
      </c>
    </row>
    <row r="335" spans="1:2" x14ac:dyDescent="0.45">
      <c r="A335" s="1" t="s">
        <v>16</v>
      </c>
      <c r="B335" s="1" t="s">
        <v>1450</v>
      </c>
    </row>
    <row r="336" spans="1:2" x14ac:dyDescent="0.45">
      <c r="A336" s="1" t="s">
        <v>16</v>
      </c>
      <c r="B336" s="1" t="s">
        <v>1451</v>
      </c>
    </row>
    <row r="337" spans="1:2" x14ac:dyDescent="0.45">
      <c r="A337" s="1" t="s">
        <v>16</v>
      </c>
      <c r="B337" s="1" t="s">
        <v>1452</v>
      </c>
    </row>
    <row r="338" spans="1:2" x14ac:dyDescent="0.45">
      <c r="A338" s="1" t="s">
        <v>16</v>
      </c>
      <c r="B338" s="1" t="s">
        <v>1453</v>
      </c>
    </row>
    <row r="339" spans="1:2" x14ac:dyDescent="0.45">
      <c r="A339" s="1" t="s">
        <v>16</v>
      </c>
      <c r="B339" s="1" t="s">
        <v>1454</v>
      </c>
    </row>
    <row r="340" spans="1:2" x14ac:dyDescent="0.45">
      <c r="A340" s="1" t="s">
        <v>16</v>
      </c>
      <c r="B340" s="1" t="s">
        <v>1455</v>
      </c>
    </row>
    <row r="341" spans="1:2" x14ac:dyDescent="0.45">
      <c r="A341" s="1" t="s">
        <v>16</v>
      </c>
      <c r="B341" s="1" t="s">
        <v>1456</v>
      </c>
    </row>
    <row r="342" spans="1:2" x14ac:dyDescent="0.45">
      <c r="A342" s="1" t="s">
        <v>16</v>
      </c>
      <c r="B342" s="1" t="s">
        <v>1457</v>
      </c>
    </row>
    <row r="343" spans="1:2" x14ac:dyDescent="0.45">
      <c r="A343" s="1" t="s">
        <v>16</v>
      </c>
      <c r="B343" s="1" t="s">
        <v>1458</v>
      </c>
    </row>
    <row r="344" spans="1:2" x14ac:dyDescent="0.45">
      <c r="A344" s="1" t="s">
        <v>16</v>
      </c>
      <c r="B344" s="1" t="s">
        <v>1459</v>
      </c>
    </row>
    <row r="345" spans="1:2" x14ac:dyDescent="0.45">
      <c r="A345" s="1" t="s">
        <v>16</v>
      </c>
      <c r="B345" s="1" t="s">
        <v>1460</v>
      </c>
    </row>
    <row r="346" spans="1:2" x14ac:dyDescent="0.45">
      <c r="A346" s="1" t="s">
        <v>16</v>
      </c>
      <c r="B346" s="1" t="s">
        <v>1461</v>
      </c>
    </row>
    <row r="347" spans="1:2" x14ac:dyDescent="0.45">
      <c r="A347" s="1" t="s">
        <v>16</v>
      </c>
      <c r="B347" s="1" t="s">
        <v>1462</v>
      </c>
    </row>
    <row r="348" spans="1:2" x14ac:dyDescent="0.45">
      <c r="A348" s="1" t="s">
        <v>16</v>
      </c>
      <c r="B348" s="1" t="s">
        <v>1463</v>
      </c>
    </row>
    <row r="349" spans="1:2" x14ac:dyDescent="0.45">
      <c r="A349" s="1" t="s">
        <v>16</v>
      </c>
      <c r="B349" s="1" t="s">
        <v>1464</v>
      </c>
    </row>
    <row r="350" spans="1:2" x14ac:dyDescent="0.45">
      <c r="A350" s="1" t="s">
        <v>16</v>
      </c>
      <c r="B350" s="1" t="s">
        <v>1465</v>
      </c>
    </row>
    <row r="351" spans="1:2" x14ac:dyDescent="0.45">
      <c r="A351" s="1" t="s">
        <v>16</v>
      </c>
      <c r="B351" s="1" t="s">
        <v>1466</v>
      </c>
    </row>
    <row r="352" spans="1:2" x14ac:dyDescent="0.45">
      <c r="A352" s="1" t="s">
        <v>16</v>
      </c>
      <c r="B352" s="1" t="s">
        <v>1467</v>
      </c>
    </row>
    <row r="353" spans="1:2" x14ac:dyDescent="0.45">
      <c r="A353" s="1" t="s">
        <v>16</v>
      </c>
      <c r="B353" s="1" t="s">
        <v>1468</v>
      </c>
    </row>
    <row r="354" spans="1:2" x14ac:dyDescent="0.45">
      <c r="A354" s="1" t="s">
        <v>16</v>
      </c>
      <c r="B354" s="1" t="s">
        <v>1469</v>
      </c>
    </row>
    <row r="355" spans="1:2" x14ac:dyDescent="0.45">
      <c r="A355" s="1" t="s">
        <v>16</v>
      </c>
      <c r="B355" s="1" t="s">
        <v>1470</v>
      </c>
    </row>
    <row r="356" spans="1:2" x14ac:dyDescent="0.45">
      <c r="A356" s="1" t="s">
        <v>16</v>
      </c>
      <c r="B356" s="1" t="s">
        <v>1471</v>
      </c>
    </row>
    <row r="357" spans="1:2" x14ac:dyDescent="0.45">
      <c r="A357" s="1" t="s">
        <v>16</v>
      </c>
      <c r="B357" s="1" t="s">
        <v>1472</v>
      </c>
    </row>
    <row r="358" spans="1:2" x14ac:dyDescent="0.45">
      <c r="A358" s="1" t="s">
        <v>16</v>
      </c>
      <c r="B358" s="1" t="s">
        <v>1473</v>
      </c>
    </row>
    <row r="359" spans="1:2" x14ac:dyDescent="0.45">
      <c r="A359" s="1" t="s">
        <v>16</v>
      </c>
      <c r="B359" s="1" t="s">
        <v>1474</v>
      </c>
    </row>
    <row r="360" spans="1:2" x14ac:dyDescent="0.45">
      <c r="A360" s="1" t="s">
        <v>16</v>
      </c>
      <c r="B360" s="1" t="s">
        <v>1475</v>
      </c>
    </row>
    <row r="361" spans="1:2" x14ac:dyDescent="0.45">
      <c r="A361" s="1" t="s">
        <v>16</v>
      </c>
      <c r="B361" s="1" t="s">
        <v>1476</v>
      </c>
    </row>
    <row r="362" spans="1:2" x14ac:dyDescent="0.45">
      <c r="A362" s="1" t="s">
        <v>16</v>
      </c>
      <c r="B362" s="1" t="s">
        <v>1477</v>
      </c>
    </row>
    <row r="363" spans="1:2" x14ac:dyDescent="0.45">
      <c r="A363" s="1" t="s">
        <v>16</v>
      </c>
      <c r="B363" s="1" t="s">
        <v>1478</v>
      </c>
    </row>
    <row r="364" spans="1:2" x14ac:dyDescent="0.45">
      <c r="A364" s="1" t="s">
        <v>16</v>
      </c>
      <c r="B364" s="1" t="s">
        <v>1479</v>
      </c>
    </row>
    <row r="365" spans="1:2" x14ac:dyDescent="0.45">
      <c r="A365" s="1" t="s">
        <v>16</v>
      </c>
      <c r="B365" s="1" t="s">
        <v>1480</v>
      </c>
    </row>
    <row r="366" spans="1:2" x14ac:dyDescent="0.45">
      <c r="A366" s="1" t="s">
        <v>16</v>
      </c>
      <c r="B366" s="1" t="s">
        <v>1481</v>
      </c>
    </row>
    <row r="367" spans="1:2" x14ac:dyDescent="0.45">
      <c r="A367" s="1" t="s">
        <v>16</v>
      </c>
      <c r="B367" s="1" t="s">
        <v>1482</v>
      </c>
    </row>
    <row r="368" spans="1:2" x14ac:dyDescent="0.45">
      <c r="A368" s="1" t="s">
        <v>16</v>
      </c>
      <c r="B368" s="1" t="s">
        <v>1483</v>
      </c>
    </row>
    <row r="369" spans="1:2" x14ac:dyDescent="0.45">
      <c r="A369" s="1" t="s">
        <v>16</v>
      </c>
      <c r="B369" s="1" t="s">
        <v>1484</v>
      </c>
    </row>
    <row r="370" spans="1:2" x14ac:dyDescent="0.45">
      <c r="A370" s="1" t="s">
        <v>16</v>
      </c>
      <c r="B370" s="1" t="s">
        <v>1485</v>
      </c>
    </row>
    <row r="371" spans="1:2" x14ac:dyDescent="0.45">
      <c r="A371" s="1" t="s">
        <v>16</v>
      </c>
      <c r="B371" s="1" t="s">
        <v>1486</v>
      </c>
    </row>
    <row r="372" spans="1:2" x14ac:dyDescent="0.45">
      <c r="A372" s="1" t="s">
        <v>16</v>
      </c>
      <c r="B372" s="1" t="s">
        <v>1487</v>
      </c>
    </row>
    <row r="373" spans="1:2" x14ac:dyDescent="0.45">
      <c r="A373" s="1" t="s">
        <v>16</v>
      </c>
      <c r="B373" s="1" t="s">
        <v>1488</v>
      </c>
    </row>
    <row r="374" spans="1:2" x14ac:dyDescent="0.45">
      <c r="A374" s="1" t="s">
        <v>16</v>
      </c>
      <c r="B374" s="1" t="s">
        <v>1489</v>
      </c>
    </row>
    <row r="375" spans="1:2" x14ac:dyDescent="0.45">
      <c r="A375" s="1" t="s">
        <v>16</v>
      </c>
      <c r="B375" s="1" t="s">
        <v>1490</v>
      </c>
    </row>
    <row r="376" spans="1:2" x14ac:dyDescent="0.45">
      <c r="A376" s="1" t="s">
        <v>16</v>
      </c>
      <c r="B376" s="1" t="s">
        <v>1491</v>
      </c>
    </row>
    <row r="377" spans="1:2" x14ac:dyDescent="0.45">
      <c r="A377" s="1" t="s">
        <v>16</v>
      </c>
      <c r="B377" s="1" t="s">
        <v>1492</v>
      </c>
    </row>
    <row r="378" spans="1:2" x14ac:dyDescent="0.45">
      <c r="A378" s="1" t="s">
        <v>16</v>
      </c>
      <c r="B378" s="1" t="s">
        <v>1493</v>
      </c>
    </row>
    <row r="379" spans="1:2" x14ac:dyDescent="0.45">
      <c r="A379" s="1" t="s">
        <v>16</v>
      </c>
      <c r="B379" s="1" t="s">
        <v>1494</v>
      </c>
    </row>
    <row r="380" spans="1:2" x14ac:dyDescent="0.45">
      <c r="A380" s="1" t="s">
        <v>16</v>
      </c>
      <c r="B380" s="1" t="s">
        <v>1495</v>
      </c>
    </row>
    <row r="381" spans="1:2" x14ac:dyDescent="0.45">
      <c r="A381" s="1" t="s">
        <v>16</v>
      </c>
      <c r="B381" s="1" t="s">
        <v>1496</v>
      </c>
    </row>
    <row r="382" spans="1:2" x14ac:dyDescent="0.45">
      <c r="A382" s="1" t="s">
        <v>16</v>
      </c>
      <c r="B382" s="1" t="s">
        <v>1497</v>
      </c>
    </row>
    <row r="383" spans="1:2" x14ac:dyDescent="0.45">
      <c r="A383" s="1" t="s">
        <v>16</v>
      </c>
      <c r="B383" s="1" t="s">
        <v>1498</v>
      </c>
    </row>
    <row r="384" spans="1:2" x14ac:dyDescent="0.45">
      <c r="A384" s="1" t="s">
        <v>16</v>
      </c>
      <c r="B384" s="1" t="s">
        <v>1499</v>
      </c>
    </row>
    <row r="385" spans="1:2" x14ac:dyDescent="0.45">
      <c r="A385" s="1" t="s">
        <v>16</v>
      </c>
      <c r="B385" s="1" t="s">
        <v>1500</v>
      </c>
    </row>
    <row r="386" spans="1:2" x14ac:dyDescent="0.45">
      <c r="A386" s="1" t="s">
        <v>16</v>
      </c>
      <c r="B386" s="1" t="s">
        <v>1501</v>
      </c>
    </row>
    <row r="387" spans="1:2" x14ac:dyDescent="0.45">
      <c r="A387" s="1" t="s">
        <v>16</v>
      </c>
      <c r="B387" s="1" t="s">
        <v>1502</v>
      </c>
    </row>
    <row r="388" spans="1:2" x14ac:dyDescent="0.45">
      <c r="A388" s="1" t="s">
        <v>16</v>
      </c>
      <c r="B388" s="1" t="s">
        <v>1503</v>
      </c>
    </row>
    <row r="389" spans="1:2" x14ac:dyDescent="0.45">
      <c r="A389" s="1" t="s">
        <v>16</v>
      </c>
      <c r="B389" s="1" t="s">
        <v>1504</v>
      </c>
    </row>
    <row r="390" spans="1:2" x14ac:dyDescent="0.45">
      <c r="A390" s="1" t="s">
        <v>16</v>
      </c>
      <c r="B390" s="1" t="s">
        <v>1505</v>
      </c>
    </row>
    <row r="391" spans="1:2" x14ac:dyDescent="0.45">
      <c r="A391" s="1" t="s">
        <v>16</v>
      </c>
      <c r="B391" s="1" t="s">
        <v>1506</v>
      </c>
    </row>
    <row r="392" spans="1:2" x14ac:dyDescent="0.45">
      <c r="A392" s="1" t="s">
        <v>16</v>
      </c>
      <c r="B392" s="1" t="s">
        <v>1507</v>
      </c>
    </row>
    <row r="393" spans="1:2" x14ac:dyDescent="0.45">
      <c r="A393" s="1" t="s">
        <v>16</v>
      </c>
      <c r="B393" s="1" t="s">
        <v>1508</v>
      </c>
    </row>
    <row r="394" spans="1:2" x14ac:dyDescent="0.45">
      <c r="A394" s="1" t="s">
        <v>16</v>
      </c>
      <c r="B394" s="1" t="s">
        <v>1509</v>
      </c>
    </row>
    <row r="395" spans="1:2" x14ac:dyDescent="0.45">
      <c r="A395" s="1" t="s">
        <v>16</v>
      </c>
      <c r="B395" s="1" t="s">
        <v>1510</v>
      </c>
    </row>
    <row r="396" spans="1:2" x14ac:dyDescent="0.45">
      <c r="A396" s="1" t="s">
        <v>16</v>
      </c>
      <c r="B396" s="1" t="s">
        <v>1511</v>
      </c>
    </row>
    <row r="397" spans="1:2" x14ac:dyDescent="0.45">
      <c r="A397" s="1" t="s">
        <v>16</v>
      </c>
      <c r="B397" s="1" t="s">
        <v>1512</v>
      </c>
    </row>
    <row r="398" spans="1:2" x14ac:dyDescent="0.45">
      <c r="A398" s="1" t="s">
        <v>16</v>
      </c>
      <c r="B398" s="1" t="s">
        <v>1513</v>
      </c>
    </row>
    <row r="399" spans="1:2" x14ac:dyDescent="0.45">
      <c r="A399" s="1" t="s">
        <v>16</v>
      </c>
      <c r="B399" s="1" t="s">
        <v>1514</v>
      </c>
    </row>
    <row r="400" spans="1:2" x14ac:dyDescent="0.45">
      <c r="A400" s="1" t="s">
        <v>16</v>
      </c>
      <c r="B400" s="1" t="s">
        <v>1515</v>
      </c>
    </row>
    <row r="401" spans="1:2" x14ac:dyDescent="0.45">
      <c r="A401" s="1" t="s">
        <v>16</v>
      </c>
      <c r="B401" s="1" t="s">
        <v>1516</v>
      </c>
    </row>
    <row r="402" spans="1:2" x14ac:dyDescent="0.45">
      <c r="A402" s="1" t="s">
        <v>16</v>
      </c>
      <c r="B402" s="1" t="s">
        <v>1517</v>
      </c>
    </row>
    <row r="403" spans="1:2" x14ac:dyDescent="0.45">
      <c r="A403" s="1" t="s">
        <v>16</v>
      </c>
      <c r="B403" s="1" t="s">
        <v>1518</v>
      </c>
    </row>
    <row r="404" spans="1:2" x14ac:dyDescent="0.45">
      <c r="A404" s="1" t="s">
        <v>16</v>
      </c>
      <c r="B404" s="1" t="s">
        <v>1519</v>
      </c>
    </row>
    <row r="405" spans="1:2" x14ac:dyDescent="0.45">
      <c r="A405" s="1" t="s">
        <v>16</v>
      </c>
      <c r="B405" s="1" t="s">
        <v>1520</v>
      </c>
    </row>
    <row r="406" spans="1:2" x14ac:dyDescent="0.45">
      <c r="A406" s="1" t="s">
        <v>16</v>
      </c>
      <c r="B406" s="1" t="s">
        <v>1521</v>
      </c>
    </row>
    <row r="407" spans="1:2" x14ac:dyDescent="0.45">
      <c r="A407" s="1" t="s">
        <v>16</v>
      </c>
      <c r="B407" s="1" t="s">
        <v>1522</v>
      </c>
    </row>
    <row r="408" spans="1:2" x14ac:dyDescent="0.45">
      <c r="A408" s="1" t="s">
        <v>16</v>
      </c>
      <c r="B408" s="1" t="s">
        <v>1523</v>
      </c>
    </row>
    <row r="409" spans="1:2" x14ac:dyDescent="0.45">
      <c r="A409" s="1" t="s">
        <v>16</v>
      </c>
      <c r="B409" s="1" t="s">
        <v>1524</v>
      </c>
    </row>
    <row r="410" spans="1:2" x14ac:dyDescent="0.45">
      <c r="A410" s="1" t="s">
        <v>16</v>
      </c>
      <c r="B410" s="1" t="s">
        <v>1525</v>
      </c>
    </row>
    <row r="411" spans="1:2" x14ac:dyDescent="0.45">
      <c r="A411" s="1" t="s">
        <v>16</v>
      </c>
      <c r="B411" s="1" t="s">
        <v>1526</v>
      </c>
    </row>
    <row r="412" spans="1:2" x14ac:dyDescent="0.45">
      <c r="A412" s="1" t="s">
        <v>16</v>
      </c>
      <c r="B412" s="1" t="s">
        <v>1527</v>
      </c>
    </row>
    <row r="413" spans="1:2" x14ac:dyDescent="0.45">
      <c r="A413" s="1" t="s">
        <v>16</v>
      </c>
      <c r="B413" s="1" t="s">
        <v>1528</v>
      </c>
    </row>
    <row r="414" spans="1:2" x14ac:dyDescent="0.45">
      <c r="A414" s="1" t="s">
        <v>16</v>
      </c>
      <c r="B414" s="1" t="s">
        <v>1529</v>
      </c>
    </row>
    <row r="415" spans="1:2" x14ac:dyDescent="0.45">
      <c r="A415" s="1" t="s">
        <v>16</v>
      </c>
      <c r="B415" s="1" t="s">
        <v>1530</v>
      </c>
    </row>
    <row r="416" spans="1:2" x14ac:dyDescent="0.45">
      <c r="A416" s="1" t="s">
        <v>16</v>
      </c>
      <c r="B416" s="1" t="s">
        <v>1531</v>
      </c>
    </row>
    <row r="417" spans="1:2" x14ac:dyDescent="0.45">
      <c r="A417" s="1" t="s">
        <v>16</v>
      </c>
      <c r="B417" s="1" t="s">
        <v>1532</v>
      </c>
    </row>
    <row r="418" spans="1:2" x14ac:dyDescent="0.45">
      <c r="A418" s="1" t="s">
        <v>16</v>
      </c>
      <c r="B418" s="1" t="s">
        <v>1533</v>
      </c>
    </row>
    <row r="419" spans="1:2" x14ac:dyDescent="0.45">
      <c r="A419" s="1" t="s">
        <v>16</v>
      </c>
      <c r="B419" s="1" t="s">
        <v>1534</v>
      </c>
    </row>
    <row r="420" spans="1:2" x14ac:dyDescent="0.45">
      <c r="A420" s="1" t="s">
        <v>16</v>
      </c>
      <c r="B420" s="1" t="s">
        <v>1535</v>
      </c>
    </row>
    <row r="421" spans="1:2" x14ac:dyDescent="0.45">
      <c r="A421" s="1" t="s">
        <v>16</v>
      </c>
      <c r="B421" s="1" t="s">
        <v>1536</v>
      </c>
    </row>
    <row r="422" spans="1:2" x14ac:dyDescent="0.45">
      <c r="A422" s="1" t="s">
        <v>16</v>
      </c>
      <c r="B422" s="1" t="s">
        <v>1537</v>
      </c>
    </row>
    <row r="423" spans="1:2" x14ac:dyDescent="0.45">
      <c r="A423" s="1" t="s">
        <v>16</v>
      </c>
      <c r="B423" s="1" t="s">
        <v>1538</v>
      </c>
    </row>
    <row r="424" spans="1:2" x14ac:dyDescent="0.45">
      <c r="A424" s="1" t="s">
        <v>16</v>
      </c>
      <c r="B424" s="1" t="s">
        <v>1539</v>
      </c>
    </row>
    <row r="425" spans="1:2" x14ac:dyDescent="0.45">
      <c r="A425" s="1" t="s">
        <v>16</v>
      </c>
      <c r="B425" s="1" t="s">
        <v>1540</v>
      </c>
    </row>
    <row r="426" spans="1:2" x14ac:dyDescent="0.45">
      <c r="A426" s="1" t="s">
        <v>16</v>
      </c>
      <c r="B426" s="1" t="s">
        <v>1541</v>
      </c>
    </row>
    <row r="427" spans="1:2" x14ac:dyDescent="0.45">
      <c r="A427" s="1" t="s">
        <v>16</v>
      </c>
      <c r="B427" s="1" t="s">
        <v>1542</v>
      </c>
    </row>
    <row r="428" spans="1:2" x14ac:dyDescent="0.45">
      <c r="A428" s="1" t="s">
        <v>16</v>
      </c>
      <c r="B428" s="1" t="s">
        <v>1543</v>
      </c>
    </row>
    <row r="429" spans="1:2" x14ac:dyDescent="0.45">
      <c r="A429" s="1" t="s">
        <v>16</v>
      </c>
      <c r="B429" s="1" t="s">
        <v>1544</v>
      </c>
    </row>
    <row r="430" spans="1:2" x14ac:dyDescent="0.45">
      <c r="A430" s="1" t="s">
        <v>16</v>
      </c>
      <c r="B430" s="1" t="s">
        <v>1545</v>
      </c>
    </row>
    <row r="431" spans="1:2" x14ac:dyDescent="0.45">
      <c r="A431" s="1" t="s">
        <v>16</v>
      </c>
      <c r="B431" s="1" t="s">
        <v>1546</v>
      </c>
    </row>
    <row r="432" spans="1:2" x14ac:dyDescent="0.45">
      <c r="A432" s="1" t="s">
        <v>16</v>
      </c>
      <c r="B432" s="1" t="s">
        <v>1547</v>
      </c>
    </row>
    <row r="433" spans="1:2" x14ac:dyDescent="0.45">
      <c r="A433" s="1" t="s">
        <v>16</v>
      </c>
      <c r="B433" s="1" t="s">
        <v>1548</v>
      </c>
    </row>
    <row r="434" spans="1:2" x14ac:dyDescent="0.45">
      <c r="A434" s="1" t="s">
        <v>16</v>
      </c>
      <c r="B434" s="1" t="s">
        <v>1549</v>
      </c>
    </row>
    <row r="435" spans="1:2" x14ac:dyDescent="0.45">
      <c r="A435" s="1" t="s">
        <v>16</v>
      </c>
      <c r="B435" s="1" t="s">
        <v>1550</v>
      </c>
    </row>
    <row r="436" spans="1:2" x14ac:dyDescent="0.45">
      <c r="A436" s="1" t="s">
        <v>16</v>
      </c>
      <c r="B436" s="1" t="s">
        <v>1551</v>
      </c>
    </row>
    <row r="437" spans="1:2" x14ac:dyDescent="0.45">
      <c r="A437" s="1" t="s">
        <v>16</v>
      </c>
      <c r="B437" s="1" t="s">
        <v>1552</v>
      </c>
    </row>
    <row r="438" spans="1:2" x14ac:dyDescent="0.45">
      <c r="A438" s="1" t="s">
        <v>16</v>
      </c>
      <c r="B438" s="1" t="s">
        <v>1553</v>
      </c>
    </row>
    <row r="439" spans="1:2" x14ac:dyDescent="0.45">
      <c r="A439" s="1" t="s">
        <v>16</v>
      </c>
      <c r="B439" s="1" t="s">
        <v>1554</v>
      </c>
    </row>
    <row r="440" spans="1:2" x14ac:dyDescent="0.45">
      <c r="A440" s="1" t="s">
        <v>16</v>
      </c>
      <c r="B440" s="1" t="s">
        <v>1555</v>
      </c>
    </row>
    <row r="441" spans="1:2" x14ac:dyDescent="0.45">
      <c r="A441" s="1" t="s">
        <v>16</v>
      </c>
      <c r="B441" s="1" t="s">
        <v>1556</v>
      </c>
    </row>
    <row r="442" spans="1:2" x14ac:dyDescent="0.45">
      <c r="A442" s="1" t="s">
        <v>16</v>
      </c>
      <c r="B442" s="1" t="s">
        <v>1557</v>
      </c>
    </row>
    <row r="443" spans="1:2" x14ac:dyDescent="0.45">
      <c r="A443" s="1" t="s">
        <v>16</v>
      </c>
      <c r="B443" s="1" t="s">
        <v>1558</v>
      </c>
    </row>
    <row r="444" spans="1:2" x14ac:dyDescent="0.45">
      <c r="A444" s="1" t="s">
        <v>16</v>
      </c>
      <c r="B444" s="1" t="s">
        <v>1559</v>
      </c>
    </row>
    <row r="445" spans="1:2" x14ac:dyDescent="0.45">
      <c r="A445" s="1" t="s">
        <v>16</v>
      </c>
      <c r="B445" s="1" t="s">
        <v>1560</v>
      </c>
    </row>
    <row r="446" spans="1:2" x14ac:dyDescent="0.45">
      <c r="A446" s="1" t="s">
        <v>16</v>
      </c>
      <c r="B446" s="1" t="s">
        <v>1561</v>
      </c>
    </row>
    <row r="447" spans="1:2" x14ac:dyDescent="0.45">
      <c r="A447" s="1" t="s">
        <v>16</v>
      </c>
      <c r="B447" s="1" t="s">
        <v>1562</v>
      </c>
    </row>
    <row r="448" spans="1:2" x14ac:dyDescent="0.45">
      <c r="A448" s="1" t="s">
        <v>16</v>
      </c>
      <c r="B448" s="1" t="s">
        <v>1563</v>
      </c>
    </row>
    <row r="449" spans="1:2" x14ac:dyDescent="0.45">
      <c r="A449" s="1" t="s">
        <v>16</v>
      </c>
      <c r="B449" s="1" t="s">
        <v>1564</v>
      </c>
    </row>
    <row r="450" spans="1:2" x14ac:dyDescent="0.45">
      <c r="A450" s="1" t="s">
        <v>16</v>
      </c>
      <c r="B450" s="1" t="s">
        <v>1565</v>
      </c>
    </row>
    <row r="451" spans="1:2" x14ac:dyDescent="0.45">
      <c r="A451" s="1" t="s">
        <v>16</v>
      </c>
      <c r="B451" s="1" t="s">
        <v>1566</v>
      </c>
    </row>
    <row r="452" spans="1:2" x14ac:dyDescent="0.45">
      <c r="A452" s="1" t="s">
        <v>16</v>
      </c>
      <c r="B452" s="1" t="s">
        <v>1567</v>
      </c>
    </row>
    <row r="453" spans="1:2" x14ac:dyDescent="0.45">
      <c r="A453" s="1" t="s">
        <v>16</v>
      </c>
      <c r="B453" s="1" t="s">
        <v>1568</v>
      </c>
    </row>
    <row r="454" spans="1:2" x14ac:dyDescent="0.45">
      <c r="A454" s="1" t="s">
        <v>16</v>
      </c>
      <c r="B454" s="1" t="s">
        <v>1569</v>
      </c>
    </row>
    <row r="455" spans="1:2" x14ac:dyDescent="0.45">
      <c r="A455" s="1" t="s">
        <v>16</v>
      </c>
      <c r="B455" s="1" t="s">
        <v>1570</v>
      </c>
    </row>
    <row r="456" spans="1:2" x14ac:dyDescent="0.45">
      <c r="A456" s="1" t="s">
        <v>16</v>
      </c>
      <c r="B456" s="1" t="s">
        <v>1571</v>
      </c>
    </row>
    <row r="457" spans="1:2" x14ac:dyDescent="0.45">
      <c r="A457" s="1" t="s">
        <v>16</v>
      </c>
      <c r="B457" s="1" t="s">
        <v>1572</v>
      </c>
    </row>
    <row r="458" spans="1:2" x14ac:dyDescent="0.45">
      <c r="A458" s="1" t="s">
        <v>16</v>
      </c>
      <c r="B458" s="1" t="s">
        <v>1573</v>
      </c>
    </row>
    <row r="459" spans="1:2" x14ac:dyDescent="0.45">
      <c r="A459" s="1" t="s">
        <v>16</v>
      </c>
      <c r="B459" s="1" t="s">
        <v>1574</v>
      </c>
    </row>
    <row r="460" spans="1:2" x14ac:dyDescent="0.45">
      <c r="A460" s="1" t="s">
        <v>16</v>
      </c>
      <c r="B460" s="1" t="s">
        <v>1575</v>
      </c>
    </row>
    <row r="461" spans="1:2" x14ac:dyDescent="0.45">
      <c r="A461" s="1" t="s">
        <v>16</v>
      </c>
      <c r="B461" s="1" t="s">
        <v>1576</v>
      </c>
    </row>
    <row r="462" spans="1:2" x14ac:dyDescent="0.45">
      <c r="A462" s="1" t="s">
        <v>16</v>
      </c>
      <c r="B462" s="1" t="s">
        <v>1577</v>
      </c>
    </row>
    <row r="463" spans="1:2" x14ac:dyDescent="0.45">
      <c r="A463" s="1" t="s">
        <v>16</v>
      </c>
      <c r="B463" s="1" t="s">
        <v>1578</v>
      </c>
    </row>
    <row r="464" spans="1:2" x14ac:dyDescent="0.45">
      <c r="A464" s="1" t="s">
        <v>16</v>
      </c>
      <c r="B464" s="1" t="s">
        <v>1579</v>
      </c>
    </row>
    <row r="465" spans="1:2" x14ac:dyDescent="0.45">
      <c r="A465" s="1" t="s">
        <v>16</v>
      </c>
      <c r="B465" s="1" t="s">
        <v>1580</v>
      </c>
    </row>
    <row r="466" spans="1:2" x14ac:dyDescent="0.45">
      <c r="A466" s="1" t="s">
        <v>16</v>
      </c>
      <c r="B466" s="1" t="s">
        <v>1581</v>
      </c>
    </row>
    <row r="467" spans="1:2" x14ac:dyDescent="0.45">
      <c r="A467" s="1" t="s">
        <v>16</v>
      </c>
      <c r="B467" s="1" t="s">
        <v>1582</v>
      </c>
    </row>
    <row r="468" spans="1:2" x14ac:dyDescent="0.45">
      <c r="A468" s="1" t="s">
        <v>16</v>
      </c>
      <c r="B468" s="1" t="s">
        <v>1583</v>
      </c>
    </row>
    <row r="469" spans="1:2" x14ac:dyDescent="0.45">
      <c r="A469" s="1" t="s">
        <v>16</v>
      </c>
      <c r="B469" s="1" t="s">
        <v>1584</v>
      </c>
    </row>
    <row r="470" spans="1:2" x14ac:dyDescent="0.45">
      <c r="A470" s="1" t="s">
        <v>16</v>
      </c>
      <c r="B470" s="1" t="s">
        <v>1585</v>
      </c>
    </row>
    <row r="471" spans="1:2" x14ac:dyDescent="0.45">
      <c r="A471" s="1" t="s">
        <v>16</v>
      </c>
      <c r="B471" s="1" t="s">
        <v>1586</v>
      </c>
    </row>
    <row r="472" spans="1:2" x14ac:dyDescent="0.45">
      <c r="A472" s="1" t="s">
        <v>16</v>
      </c>
      <c r="B472" s="1" t="s">
        <v>1587</v>
      </c>
    </row>
    <row r="473" spans="1:2" x14ac:dyDescent="0.45">
      <c r="A473" s="1" t="s">
        <v>16</v>
      </c>
      <c r="B473" s="1" t="s">
        <v>1588</v>
      </c>
    </row>
    <row r="474" spans="1:2" x14ac:dyDescent="0.45">
      <c r="A474" s="1" t="s">
        <v>16</v>
      </c>
      <c r="B474" s="1" t="s">
        <v>1589</v>
      </c>
    </row>
    <row r="475" spans="1:2" x14ac:dyDescent="0.45">
      <c r="A475" s="1" t="s">
        <v>16</v>
      </c>
      <c r="B475" s="1" t="s">
        <v>1590</v>
      </c>
    </row>
    <row r="476" spans="1:2" x14ac:dyDescent="0.45">
      <c r="A476" s="1" t="s">
        <v>16</v>
      </c>
      <c r="B476" s="1" t="s">
        <v>1591</v>
      </c>
    </row>
    <row r="477" spans="1:2" x14ac:dyDescent="0.45">
      <c r="A477" s="1" t="s">
        <v>16</v>
      </c>
      <c r="B477" s="1" t="s">
        <v>1592</v>
      </c>
    </row>
    <row r="478" spans="1:2" x14ac:dyDescent="0.45">
      <c r="A478" s="1" t="s">
        <v>16</v>
      </c>
      <c r="B478" s="1" t="s">
        <v>1593</v>
      </c>
    </row>
    <row r="479" spans="1:2" x14ac:dyDescent="0.45">
      <c r="A479" s="1" t="s">
        <v>16</v>
      </c>
      <c r="B479" s="1" t="s">
        <v>1594</v>
      </c>
    </row>
    <row r="480" spans="1:2" x14ac:dyDescent="0.45">
      <c r="A480" s="1" t="s">
        <v>16</v>
      </c>
      <c r="B480" s="1" t="s">
        <v>1595</v>
      </c>
    </row>
    <row r="481" spans="1:2" x14ac:dyDescent="0.45">
      <c r="A481" s="1" t="s">
        <v>16</v>
      </c>
      <c r="B481" s="1" t="s">
        <v>1596</v>
      </c>
    </row>
    <row r="482" spans="1:2" x14ac:dyDescent="0.45">
      <c r="A482" s="1" t="s">
        <v>16</v>
      </c>
      <c r="B482" s="1" t="s">
        <v>1597</v>
      </c>
    </row>
    <row r="483" spans="1:2" x14ac:dyDescent="0.45">
      <c r="A483" s="1" t="s">
        <v>16</v>
      </c>
      <c r="B483" s="1" t="s">
        <v>1598</v>
      </c>
    </row>
    <row r="484" spans="1:2" x14ac:dyDescent="0.45">
      <c r="A484" s="1" t="s">
        <v>16</v>
      </c>
      <c r="B484" s="1" t="s">
        <v>1599</v>
      </c>
    </row>
    <row r="485" spans="1:2" x14ac:dyDescent="0.45">
      <c r="A485" s="1" t="s">
        <v>16</v>
      </c>
      <c r="B485" s="1" t="s">
        <v>1600</v>
      </c>
    </row>
    <row r="486" spans="1:2" x14ac:dyDescent="0.45">
      <c r="A486" s="1" t="s">
        <v>16</v>
      </c>
      <c r="B486" s="1" t="s">
        <v>1601</v>
      </c>
    </row>
    <row r="487" spans="1:2" x14ac:dyDescent="0.45">
      <c r="A487" s="1" t="s">
        <v>16</v>
      </c>
      <c r="B487" s="1" t="s">
        <v>1602</v>
      </c>
    </row>
    <row r="488" spans="1:2" x14ac:dyDescent="0.45">
      <c r="A488" s="1" t="s">
        <v>16</v>
      </c>
      <c r="B488" s="1" t="s">
        <v>1603</v>
      </c>
    </row>
    <row r="489" spans="1:2" x14ac:dyDescent="0.45">
      <c r="A489" s="1" t="s">
        <v>16</v>
      </c>
      <c r="B489" s="1" t="s">
        <v>1604</v>
      </c>
    </row>
    <row r="490" spans="1:2" x14ac:dyDescent="0.45">
      <c r="A490" s="1" t="s">
        <v>16</v>
      </c>
      <c r="B490" s="1" t="s">
        <v>1605</v>
      </c>
    </row>
    <row r="491" spans="1:2" x14ac:dyDescent="0.45">
      <c r="A491" s="1" t="s">
        <v>16</v>
      </c>
      <c r="B491" s="1" t="s">
        <v>1606</v>
      </c>
    </row>
    <row r="492" spans="1:2" x14ac:dyDescent="0.45">
      <c r="A492" s="1" t="s">
        <v>16</v>
      </c>
      <c r="B492" s="1" t="s">
        <v>1607</v>
      </c>
    </row>
    <row r="493" spans="1:2" x14ac:dyDescent="0.45">
      <c r="A493" s="1" t="s">
        <v>16</v>
      </c>
      <c r="B493" s="1" t="s">
        <v>1608</v>
      </c>
    </row>
    <row r="494" spans="1:2" x14ac:dyDescent="0.45">
      <c r="A494" s="1" t="s">
        <v>16</v>
      </c>
      <c r="B494" s="1" t="s">
        <v>1609</v>
      </c>
    </row>
    <row r="495" spans="1:2" x14ac:dyDescent="0.45">
      <c r="A495" s="1" t="s">
        <v>16</v>
      </c>
      <c r="B495" s="1" t="s">
        <v>1610</v>
      </c>
    </row>
    <row r="496" spans="1:2" x14ac:dyDescent="0.45">
      <c r="A496" s="1" t="s">
        <v>16</v>
      </c>
      <c r="B496" s="1" t="s">
        <v>1611</v>
      </c>
    </row>
    <row r="497" spans="1:2" x14ac:dyDescent="0.45">
      <c r="A497" s="1" t="s">
        <v>16</v>
      </c>
      <c r="B497" s="1" t="s">
        <v>1612</v>
      </c>
    </row>
    <row r="498" spans="1:2" x14ac:dyDescent="0.45">
      <c r="A498" s="1" t="s">
        <v>16</v>
      </c>
      <c r="B498" s="1" t="s">
        <v>1613</v>
      </c>
    </row>
    <row r="499" spans="1:2" x14ac:dyDescent="0.45">
      <c r="A499" s="1" t="s">
        <v>16</v>
      </c>
      <c r="B499" s="1" t="s">
        <v>1614</v>
      </c>
    </row>
    <row r="500" spans="1:2" x14ac:dyDescent="0.45">
      <c r="A500" s="1" t="s">
        <v>16</v>
      </c>
      <c r="B500" s="1" t="s">
        <v>1615</v>
      </c>
    </row>
    <row r="501" spans="1:2" x14ac:dyDescent="0.45">
      <c r="A501" s="1" t="s">
        <v>16</v>
      </c>
      <c r="B501" s="1" t="s">
        <v>1616</v>
      </c>
    </row>
    <row r="502" spans="1:2" x14ac:dyDescent="0.45">
      <c r="A502" s="1" t="s">
        <v>16</v>
      </c>
      <c r="B502" s="1" t="s">
        <v>1617</v>
      </c>
    </row>
    <row r="503" spans="1:2" x14ac:dyDescent="0.45">
      <c r="A503" s="1" t="s">
        <v>16</v>
      </c>
      <c r="B503" s="1" t="s">
        <v>1618</v>
      </c>
    </row>
    <row r="504" spans="1:2" x14ac:dyDescent="0.45">
      <c r="A504" s="1" t="s">
        <v>16</v>
      </c>
      <c r="B504" s="1" t="s">
        <v>1619</v>
      </c>
    </row>
    <row r="505" spans="1:2" x14ac:dyDescent="0.45">
      <c r="A505" s="1" t="s">
        <v>16</v>
      </c>
      <c r="B505" s="1" t="s">
        <v>1620</v>
      </c>
    </row>
    <row r="506" spans="1:2" x14ac:dyDescent="0.45">
      <c r="A506" s="1" t="s">
        <v>16</v>
      </c>
      <c r="B506" s="1" t="s">
        <v>1621</v>
      </c>
    </row>
    <row r="507" spans="1:2" x14ac:dyDescent="0.45">
      <c r="A507" s="1" t="s">
        <v>16</v>
      </c>
      <c r="B507" s="1" t="s">
        <v>1622</v>
      </c>
    </row>
    <row r="508" spans="1:2" x14ac:dyDescent="0.45">
      <c r="A508" s="1" t="s">
        <v>16</v>
      </c>
      <c r="B508" s="1" t="s">
        <v>1623</v>
      </c>
    </row>
    <row r="509" spans="1:2" x14ac:dyDescent="0.45">
      <c r="A509" s="1" t="s">
        <v>16</v>
      </c>
      <c r="B509" s="1" t="s">
        <v>1624</v>
      </c>
    </row>
    <row r="510" spans="1:2" x14ac:dyDescent="0.45">
      <c r="A510" s="1" t="s">
        <v>16</v>
      </c>
      <c r="B510" s="1" t="s">
        <v>1625</v>
      </c>
    </row>
    <row r="511" spans="1:2" x14ac:dyDescent="0.45">
      <c r="A511" s="1" t="s">
        <v>16</v>
      </c>
      <c r="B511" s="1" t="s">
        <v>1626</v>
      </c>
    </row>
    <row r="512" spans="1:2" x14ac:dyDescent="0.45">
      <c r="A512" s="1" t="s">
        <v>16</v>
      </c>
      <c r="B512" s="1" t="s">
        <v>1627</v>
      </c>
    </row>
    <row r="513" spans="1:2" x14ac:dyDescent="0.45">
      <c r="A513" s="1" t="s">
        <v>16</v>
      </c>
      <c r="B513" s="1" t="s">
        <v>1628</v>
      </c>
    </row>
    <row r="514" spans="1:2" x14ac:dyDescent="0.45">
      <c r="A514" s="1" t="s">
        <v>16</v>
      </c>
      <c r="B514" s="1" t="s">
        <v>1629</v>
      </c>
    </row>
    <row r="515" spans="1:2" x14ac:dyDescent="0.45">
      <c r="A515" s="1" t="s">
        <v>16</v>
      </c>
      <c r="B515" s="1" t="s">
        <v>1630</v>
      </c>
    </row>
    <row r="516" spans="1:2" x14ac:dyDescent="0.45">
      <c r="A516" s="1" t="s">
        <v>16</v>
      </c>
      <c r="B516" s="1" t="s">
        <v>1631</v>
      </c>
    </row>
    <row r="517" spans="1:2" x14ac:dyDescent="0.45">
      <c r="A517" s="1" t="s">
        <v>16</v>
      </c>
      <c r="B517" s="1" t="s">
        <v>1632</v>
      </c>
    </row>
    <row r="518" spans="1:2" x14ac:dyDescent="0.45">
      <c r="A518" s="1" t="s">
        <v>16</v>
      </c>
      <c r="B518" s="1" t="s">
        <v>1633</v>
      </c>
    </row>
    <row r="519" spans="1:2" x14ac:dyDescent="0.45">
      <c r="A519" s="1" t="s">
        <v>16</v>
      </c>
      <c r="B519" s="1" t="s">
        <v>1634</v>
      </c>
    </row>
    <row r="520" spans="1:2" x14ac:dyDescent="0.45">
      <c r="A520" s="1" t="s">
        <v>16</v>
      </c>
      <c r="B520" s="1" t="s">
        <v>1635</v>
      </c>
    </row>
    <row r="521" spans="1:2" x14ac:dyDescent="0.45">
      <c r="A521" s="1" t="s">
        <v>16</v>
      </c>
      <c r="B521" s="1" t="s">
        <v>1636</v>
      </c>
    </row>
    <row r="522" spans="1:2" x14ac:dyDescent="0.45">
      <c r="A522" s="1" t="s">
        <v>16</v>
      </c>
      <c r="B522" s="1" t="s">
        <v>1637</v>
      </c>
    </row>
    <row r="523" spans="1:2" x14ac:dyDescent="0.45">
      <c r="A523" s="1" t="s">
        <v>16</v>
      </c>
      <c r="B523" s="1" t="s">
        <v>1638</v>
      </c>
    </row>
    <row r="524" spans="1:2" x14ac:dyDescent="0.45">
      <c r="A524" s="1" t="s">
        <v>16</v>
      </c>
      <c r="B524" s="1" t="s">
        <v>1639</v>
      </c>
    </row>
    <row r="525" spans="1:2" x14ac:dyDescent="0.45">
      <c r="A525" s="1" t="s">
        <v>16</v>
      </c>
      <c r="B525" s="1" t="s">
        <v>1640</v>
      </c>
    </row>
    <row r="526" spans="1:2" x14ac:dyDescent="0.45">
      <c r="A526" s="1" t="s">
        <v>16</v>
      </c>
      <c r="B526" s="1" t="s">
        <v>1641</v>
      </c>
    </row>
    <row r="527" spans="1:2" x14ac:dyDescent="0.45">
      <c r="A527" s="1" t="s">
        <v>16</v>
      </c>
      <c r="B527" s="1" t="s">
        <v>1642</v>
      </c>
    </row>
    <row r="528" spans="1:2" x14ac:dyDescent="0.45">
      <c r="A528" s="1" t="s">
        <v>16</v>
      </c>
      <c r="B528" s="1" t="s">
        <v>1643</v>
      </c>
    </row>
    <row r="529" spans="1:2" x14ac:dyDescent="0.45">
      <c r="A529" s="1" t="s">
        <v>16</v>
      </c>
      <c r="B529" s="1" t="s">
        <v>1644</v>
      </c>
    </row>
    <row r="530" spans="1:2" x14ac:dyDescent="0.45">
      <c r="A530" s="1" t="s">
        <v>16</v>
      </c>
      <c r="B530" s="1" t="s">
        <v>1645</v>
      </c>
    </row>
    <row r="531" spans="1:2" x14ac:dyDescent="0.45">
      <c r="A531" s="1" t="s">
        <v>16</v>
      </c>
      <c r="B531" s="1" t="s">
        <v>1646</v>
      </c>
    </row>
    <row r="532" spans="1:2" x14ac:dyDescent="0.45">
      <c r="A532" s="1" t="s">
        <v>16</v>
      </c>
      <c r="B532" s="1" t="s">
        <v>1647</v>
      </c>
    </row>
    <row r="533" spans="1:2" x14ac:dyDescent="0.45">
      <c r="A533" s="1" t="s">
        <v>16</v>
      </c>
      <c r="B533" s="1" t="s">
        <v>1648</v>
      </c>
    </row>
    <row r="534" spans="1:2" x14ac:dyDescent="0.45">
      <c r="A534" s="1" t="s">
        <v>16</v>
      </c>
      <c r="B534" s="1" t="s">
        <v>1649</v>
      </c>
    </row>
    <row r="535" spans="1:2" x14ac:dyDescent="0.45">
      <c r="A535" s="1" t="s">
        <v>16</v>
      </c>
      <c r="B535" s="1" t="s">
        <v>1650</v>
      </c>
    </row>
    <row r="536" spans="1:2" x14ac:dyDescent="0.45">
      <c r="A536" s="1" t="s">
        <v>16</v>
      </c>
      <c r="B536" s="1" t="s">
        <v>1651</v>
      </c>
    </row>
    <row r="537" spans="1:2" x14ac:dyDescent="0.45">
      <c r="A537" s="1" t="s">
        <v>16</v>
      </c>
      <c r="B537" s="1" t="s">
        <v>1652</v>
      </c>
    </row>
    <row r="538" spans="1:2" x14ac:dyDescent="0.45">
      <c r="A538" s="1" t="s">
        <v>16</v>
      </c>
      <c r="B538" s="1" t="s">
        <v>1653</v>
      </c>
    </row>
    <row r="539" spans="1:2" x14ac:dyDescent="0.45">
      <c r="A539" s="1" t="s">
        <v>16</v>
      </c>
      <c r="B539" s="1" t="s">
        <v>1654</v>
      </c>
    </row>
    <row r="540" spans="1:2" x14ac:dyDescent="0.45">
      <c r="A540" s="1" t="s">
        <v>16</v>
      </c>
      <c r="B540" s="1" t="s">
        <v>1655</v>
      </c>
    </row>
    <row r="541" spans="1:2" x14ac:dyDescent="0.45">
      <c r="A541" s="1" t="s">
        <v>16</v>
      </c>
      <c r="B541" s="1" t="s">
        <v>1656</v>
      </c>
    </row>
    <row r="542" spans="1:2" x14ac:dyDescent="0.45">
      <c r="A542" s="1" t="s">
        <v>16</v>
      </c>
      <c r="B542" s="1" t="s">
        <v>1657</v>
      </c>
    </row>
    <row r="543" spans="1:2" x14ac:dyDescent="0.45">
      <c r="A543" s="1" t="s">
        <v>16</v>
      </c>
      <c r="B543" s="1" t="s">
        <v>1658</v>
      </c>
    </row>
    <row r="544" spans="1:2" x14ac:dyDescent="0.45">
      <c r="A544" s="1" t="s">
        <v>16</v>
      </c>
      <c r="B544" s="1" t="s">
        <v>1659</v>
      </c>
    </row>
    <row r="545" spans="1:2" x14ac:dyDescent="0.45">
      <c r="A545" s="1" t="s">
        <v>16</v>
      </c>
      <c r="B545" s="1" t="s">
        <v>1660</v>
      </c>
    </row>
    <row r="546" spans="1:2" x14ac:dyDescent="0.45">
      <c r="A546" s="1" t="s">
        <v>16</v>
      </c>
      <c r="B546" s="1" t="s">
        <v>1661</v>
      </c>
    </row>
    <row r="547" spans="1:2" x14ac:dyDescent="0.45">
      <c r="A547" s="1" t="s">
        <v>16</v>
      </c>
      <c r="B547" s="1" t="s">
        <v>1662</v>
      </c>
    </row>
    <row r="548" spans="1:2" x14ac:dyDescent="0.45">
      <c r="A548" s="1" t="s">
        <v>16</v>
      </c>
      <c r="B548" s="1" t="s">
        <v>1663</v>
      </c>
    </row>
    <row r="549" spans="1:2" x14ac:dyDescent="0.45">
      <c r="A549" s="1" t="s">
        <v>16</v>
      </c>
      <c r="B549" s="1" t="s">
        <v>1664</v>
      </c>
    </row>
    <row r="550" spans="1:2" x14ac:dyDescent="0.45">
      <c r="A550" s="1" t="s">
        <v>16</v>
      </c>
      <c r="B550" s="1" t="s">
        <v>1665</v>
      </c>
    </row>
    <row r="551" spans="1:2" x14ac:dyDescent="0.45">
      <c r="A551" s="1" t="s">
        <v>16</v>
      </c>
      <c r="B551" s="1" t="s">
        <v>1666</v>
      </c>
    </row>
    <row r="552" spans="1:2" x14ac:dyDescent="0.45">
      <c r="A552" s="1" t="s">
        <v>16</v>
      </c>
      <c r="B552" s="1" t="s">
        <v>1667</v>
      </c>
    </row>
    <row r="553" spans="1:2" x14ac:dyDescent="0.45">
      <c r="A553" s="1" t="s">
        <v>16</v>
      </c>
      <c r="B553" s="1" t="s">
        <v>1668</v>
      </c>
    </row>
    <row r="554" spans="1:2" x14ac:dyDescent="0.45">
      <c r="A554" s="1" t="s">
        <v>16</v>
      </c>
      <c r="B554" s="1" t="s">
        <v>1669</v>
      </c>
    </row>
    <row r="555" spans="1:2" x14ac:dyDescent="0.45">
      <c r="A555" s="1" t="s">
        <v>16</v>
      </c>
      <c r="B555" s="1" t="s">
        <v>1670</v>
      </c>
    </row>
    <row r="556" spans="1:2" x14ac:dyDescent="0.45">
      <c r="A556" s="1" t="s">
        <v>16</v>
      </c>
      <c r="B556" s="1" t="s">
        <v>1671</v>
      </c>
    </row>
    <row r="557" spans="1:2" x14ac:dyDescent="0.45">
      <c r="A557" s="1" t="s">
        <v>16</v>
      </c>
      <c r="B557" s="1" t="s">
        <v>1672</v>
      </c>
    </row>
    <row r="558" spans="1:2" x14ac:dyDescent="0.45">
      <c r="A558" s="1" t="s">
        <v>16</v>
      </c>
      <c r="B558" s="1" t="s">
        <v>1673</v>
      </c>
    </row>
    <row r="559" spans="1:2" x14ac:dyDescent="0.45">
      <c r="A559" s="1" t="s">
        <v>16</v>
      </c>
      <c r="B559" s="1" t="s">
        <v>1674</v>
      </c>
    </row>
    <row r="560" spans="1:2" x14ac:dyDescent="0.45">
      <c r="A560" s="1" t="s">
        <v>16</v>
      </c>
      <c r="B560" s="1" t="s">
        <v>1675</v>
      </c>
    </row>
    <row r="561" spans="1:2" x14ac:dyDescent="0.45">
      <c r="A561" s="1" t="s">
        <v>16</v>
      </c>
      <c r="B561" s="1" t="s">
        <v>1676</v>
      </c>
    </row>
    <row r="562" spans="1:2" x14ac:dyDescent="0.45">
      <c r="A562" s="1" t="s">
        <v>16</v>
      </c>
      <c r="B562" s="1" t="s">
        <v>1677</v>
      </c>
    </row>
    <row r="563" spans="1:2" x14ac:dyDescent="0.45">
      <c r="A563" s="1" t="s">
        <v>16</v>
      </c>
      <c r="B563" s="1" t="s">
        <v>1678</v>
      </c>
    </row>
    <row r="564" spans="1:2" x14ac:dyDescent="0.45">
      <c r="A564" s="1" t="s">
        <v>16</v>
      </c>
      <c r="B564" s="1" t="s">
        <v>1679</v>
      </c>
    </row>
    <row r="565" spans="1:2" x14ac:dyDescent="0.45">
      <c r="A565" s="1" t="s">
        <v>16</v>
      </c>
      <c r="B565" s="1" t="s">
        <v>1680</v>
      </c>
    </row>
    <row r="566" spans="1:2" x14ac:dyDescent="0.45">
      <c r="A566" s="1" t="s">
        <v>16</v>
      </c>
      <c r="B566" s="1" t="s">
        <v>1681</v>
      </c>
    </row>
    <row r="567" spans="1:2" x14ac:dyDescent="0.45">
      <c r="A567" s="1" t="s">
        <v>16</v>
      </c>
      <c r="B567" s="1" t="s">
        <v>1682</v>
      </c>
    </row>
    <row r="568" spans="1:2" x14ac:dyDescent="0.45">
      <c r="A568" s="1" t="s">
        <v>16</v>
      </c>
      <c r="B568" s="1" t="s">
        <v>1683</v>
      </c>
    </row>
    <row r="569" spans="1:2" x14ac:dyDescent="0.45">
      <c r="A569" s="1" t="s">
        <v>16</v>
      </c>
      <c r="B569" s="1" t="s">
        <v>1684</v>
      </c>
    </row>
    <row r="570" spans="1:2" x14ac:dyDescent="0.45">
      <c r="A570" s="1" t="s">
        <v>16</v>
      </c>
      <c r="B570" s="1" t="s">
        <v>1685</v>
      </c>
    </row>
    <row r="571" spans="1:2" x14ac:dyDescent="0.45">
      <c r="A571" s="1" t="s">
        <v>16</v>
      </c>
      <c r="B571" s="1" t="s">
        <v>1686</v>
      </c>
    </row>
    <row r="572" spans="1:2" x14ac:dyDescent="0.45">
      <c r="A572" s="1" t="s">
        <v>16</v>
      </c>
      <c r="B572" s="1" t="s">
        <v>1687</v>
      </c>
    </row>
    <row r="573" spans="1:2" x14ac:dyDescent="0.45">
      <c r="A573" s="1" t="s">
        <v>16</v>
      </c>
      <c r="B573" s="1" t="s">
        <v>1688</v>
      </c>
    </row>
    <row r="574" spans="1:2" x14ac:dyDescent="0.45">
      <c r="A574" s="1" t="s">
        <v>16</v>
      </c>
      <c r="B574" s="1" t="s">
        <v>1689</v>
      </c>
    </row>
    <row r="575" spans="1:2" x14ac:dyDescent="0.45">
      <c r="A575" s="1" t="s">
        <v>16</v>
      </c>
      <c r="B575" s="1" t="s">
        <v>1690</v>
      </c>
    </row>
    <row r="576" spans="1:2" x14ac:dyDescent="0.45">
      <c r="A576" s="1" t="s">
        <v>16</v>
      </c>
      <c r="B576" s="1" t="s">
        <v>1691</v>
      </c>
    </row>
    <row r="577" spans="1:2" x14ac:dyDescent="0.45">
      <c r="A577" s="1" t="s">
        <v>16</v>
      </c>
      <c r="B577" s="1" t="s">
        <v>1692</v>
      </c>
    </row>
    <row r="578" spans="1:2" x14ac:dyDescent="0.45">
      <c r="A578" s="1" t="s">
        <v>16</v>
      </c>
      <c r="B578" s="1" t="s">
        <v>1693</v>
      </c>
    </row>
    <row r="579" spans="1:2" x14ac:dyDescent="0.45">
      <c r="A579" s="1" t="s">
        <v>16</v>
      </c>
      <c r="B579" s="1" t="s">
        <v>1694</v>
      </c>
    </row>
    <row r="580" spans="1:2" x14ac:dyDescent="0.45">
      <c r="A580" s="1" t="s">
        <v>16</v>
      </c>
      <c r="B580" s="1" t="s">
        <v>1695</v>
      </c>
    </row>
    <row r="581" spans="1:2" x14ac:dyDescent="0.45">
      <c r="A581" s="1" t="s">
        <v>16</v>
      </c>
      <c r="B581" s="1" t="s">
        <v>1696</v>
      </c>
    </row>
    <row r="582" spans="1:2" x14ac:dyDescent="0.45">
      <c r="A582" s="1" t="s">
        <v>16</v>
      </c>
      <c r="B582" s="1" t="s">
        <v>1697</v>
      </c>
    </row>
    <row r="583" spans="1:2" x14ac:dyDescent="0.45">
      <c r="A583" s="1" t="s">
        <v>16</v>
      </c>
      <c r="B583" s="1" t="s">
        <v>1698</v>
      </c>
    </row>
    <row r="584" spans="1:2" x14ac:dyDescent="0.45">
      <c r="A584" s="1" t="s">
        <v>16</v>
      </c>
      <c r="B584" s="1" t="s">
        <v>1699</v>
      </c>
    </row>
    <row r="585" spans="1:2" x14ac:dyDescent="0.45">
      <c r="A585" s="1" t="s">
        <v>16</v>
      </c>
      <c r="B585" s="1" t="s">
        <v>1700</v>
      </c>
    </row>
    <row r="586" spans="1:2" x14ac:dyDescent="0.45">
      <c r="A586" s="1" t="s">
        <v>16</v>
      </c>
      <c r="B586" s="1" t="s">
        <v>1701</v>
      </c>
    </row>
    <row r="587" spans="1:2" x14ac:dyDescent="0.45">
      <c r="A587" s="1" t="s">
        <v>16</v>
      </c>
      <c r="B587" s="1" t="s">
        <v>1702</v>
      </c>
    </row>
    <row r="588" spans="1:2" x14ac:dyDescent="0.45">
      <c r="A588" s="1" t="s">
        <v>16</v>
      </c>
      <c r="B588" s="1" t="s">
        <v>1703</v>
      </c>
    </row>
    <row r="589" spans="1:2" x14ac:dyDescent="0.45">
      <c r="A589" s="1" t="s">
        <v>16</v>
      </c>
      <c r="B589" s="1" t="s">
        <v>1704</v>
      </c>
    </row>
    <row r="590" spans="1:2" x14ac:dyDescent="0.45">
      <c r="A590" s="1" t="s">
        <v>16</v>
      </c>
      <c r="B590" s="1" t="s">
        <v>1705</v>
      </c>
    </row>
    <row r="591" spans="1:2" x14ac:dyDescent="0.45">
      <c r="A591" s="1" t="s">
        <v>16</v>
      </c>
      <c r="B591" s="1" t="s">
        <v>1706</v>
      </c>
    </row>
    <row r="592" spans="1:2" x14ac:dyDescent="0.45">
      <c r="A592" s="1" t="s">
        <v>16</v>
      </c>
      <c r="B592" s="1" t="s">
        <v>1707</v>
      </c>
    </row>
    <row r="593" spans="1:2" x14ac:dyDescent="0.45">
      <c r="A593" s="1" t="s">
        <v>16</v>
      </c>
      <c r="B593" s="1" t="s">
        <v>1708</v>
      </c>
    </row>
    <row r="594" spans="1:2" x14ac:dyDescent="0.45">
      <c r="A594" s="1" t="s">
        <v>16</v>
      </c>
      <c r="B594" s="1" t="s">
        <v>1709</v>
      </c>
    </row>
    <row r="595" spans="1:2" x14ac:dyDescent="0.45">
      <c r="A595" s="1" t="s">
        <v>16</v>
      </c>
      <c r="B595" s="1" t="s">
        <v>1710</v>
      </c>
    </row>
    <row r="596" spans="1:2" x14ac:dyDescent="0.45">
      <c r="A596" s="1" t="s">
        <v>16</v>
      </c>
      <c r="B596" s="1" t="s">
        <v>1711</v>
      </c>
    </row>
    <row r="597" spans="1:2" x14ac:dyDescent="0.45">
      <c r="A597" s="1" t="s">
        <v>16</v>
      </c>
      <c r="B597" s="1" t="s">
        <v>1712</v>
      </c>
    </row>
    <row r="598" spans="1:2" x14ac:dyDescent="0.45">
      <c r="A598" s="1" t="s">
        <v>16</v>
      </c>
      <c r="B598" s="1" t="s">
        <v>1713</v>
      </c>
    </row>
    <row r="599" spans="1:2" x14ac:dyDescent="0.45">
      <c r="A599" s="1" t="s">
        <v>16</v>
      </c>
      <c r="B599" s="1" t="s">
        <v>1714</v>
      </c>
    </row>
    <row r="600" spans="1:2" x14ac:dyDescent="0.45">
      <c r="A600" s="1" t="s">
        <v>16</v>
      </c>
      <c r="B600" s="1" t="s">
        <v>1715</v>
      </c>
    </row>
    <row r="601" spans="1:2" x14ac:dyDescent="0.45">
      <c r="A601" s="1" t="s">
        <v>16</v>
      </c>
      <c r="B601" s="1" t="s">
        <v>1716</v>
      </c>
    </row>
    <row r="602" spans="1:2" x14ac:dyDescent="0.45">
      <c r="A602" s="1" t="s">
        <v>16</v>
      </c>
      <c r="B602" s="1" t="s">
        <v>1717</v>
      </c>
    </row>
    <row r="603" spans="1:2" x14ac:dyDescent="0.45">
      <c r="A603" s="1" t="s">
        <v>16</v>
      </c>
      <c r="B603" s="1" t="s">
        <v>1718</v>
      </c>
    </row>
    <row r="604" spans="1:2" x14ac:dyDescent="0.45">
      <c r="A604" s="1" t="s">
        <v>16</v>
      </c>
      <c r="B604" s="1" t="s">
        <v>1719</v>
      </c>
    </row>
    <row r="605" spans="1:2" x14ac:dyDescent="0.45">
      <c r="A605" s="1" t="s">
        <v>16</v>
      </c>
      <c r="B605" s="1" t="s">
        <v>1720</v>
      </c>
    </row>
    <row r="606" spans="1:2" x14ac:dyDescent="0.45">
      <c r="A606" s="1" t="s">
        <v>16</v>
      </c>
      <c r="B606" s="1" t="s">
        <v>1721</v>
      </c>
    </row>
    <row r="607" spans="1:2" x14ac:dyDescent="0.45">
      <c r="A607" s="1" t="s">
        <v>16</v>
      </c>
      <c r="B607" s="1" t="s">
        <v>1722</v>
      </c>
    </row>
    <row r="608" spans="1:2" x14ac:dyDescent="0.45">
      <c r="A608" s="1" t="s">
        <v>16</v>
      </c>
      <c r="B608" s="1" t="s">
        <v>1723</v>
      </c>
    </row>
    <row r="609" spans="1:2" x14ac:dyDescent="0.45">
      <c r="A609" s="1" t="s">
        <v>16</v>
      </c>
      <c r="B609" s="1" t="s">
        <v>1724</v>
      </c>
    </row>
    <row r="610" spans="1:2" x14ac:dyDescent="0.45">
      <c r="A610" s="1" t="s">
        <v>16</v>
      </c>
      <c r="B610" s="1" t="s">
        <v>1725</v>
      </c>
    </row>
    <row r="611" spans="1:2" x14ac:dyDescent="0.45">
      <c r="A611" s="1" t="s">
        <v>16</v>
      </c>
      <c r="B611" s="1" t="s">
        <v>1726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A36F9-4745-4322-AFA5-A06B689858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guit</vt:lpstr>
      <vt:lpstr>Sheet3</vt:lpstr>
      <vt:lpstr>bass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radmin</dc:creator>
  <cp:lastModifiedBy>radmin</cp:lastModifiedBy>
  <dcterms:created xsi:type="dcterms:W3CDTF">2022-09-02T08:18:58Z</dcterms:created>
  <dcterms:modified xsi:type="dcterms:W3CDTF">2022-09-13T14:34:46Z</dcterms:modified>
</cp:coreProperties>
</file>